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leep1\Desktop\AMAZON\"/>
    </mc:Choice>
  </mc:AlternateContent>
  <xr:revisionPtr revIDLastSave="0" documentId="8_{F65B905E-27D0-433B-B281-F0EA02AE067C}" xr6:coauthVersionLast="47" xr6:coauthVersionMax="47" xr10:uidLastSave="{00000000-0000-0000-0000-000000000000}"/>
  <bookViews>
    <workbookView xWindow="-120" yWindow="-120" windowWidth="29040" windowHeight="17520" activeTab="2" xr2:uid="{E21A50A9-3D07-4404-9DAD-D57F596466DB}"/>
  </bookViews>
  <sheets>
    <sheet name="Backup" sheetId="2" r:id="rId1"/>
    <sheet name="Recon" sheetId="3" r:id="rId2"/>
    <sheet name="Dispute Summary" sheetId="4" r:id="rId3"/>
  </sheets>
  <externalReferences>
    <externalReference r:id="rId4"/>
  </externalReferences>
  <definedNames>
    <definedName name="_xlnm._FilterDatabase" localSheetId="1" hidden="1">Recon!$A$2:$J$438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8" i="3" l="1"/>
  <c r="E438" i="3"/>
  <c r="H438" i="3" s="1"/>
  <c r="D438" i="3"/>
  <c r="C438" i="3"/>
  <c r="J438" i="3" s="1"/>
  <c r="F437" i="3"/>
  <c r="E437" i="3"/>
  <c r="H437" i="3" s="1"/>
  <c r="D437" i="3"/>
  <c r="C437" i="3"/>
  <c r="J437" i="3" s="1"/>
  <c r="F436" i="3"/>
  <c r="E436" i="3"/>
  <c r="H436" i="3" s="1"/>
  <c r="D436" i="3"/>
  <c r="C436" i="3"/>
  <c r="J436" i="3" s="1"/>
  <c r="F435" i="3"/>
  <c r="E435" i="3"/>
  <c r="H435" i="3" s="1"/>
  <c r="D435" i="3"/>
  <c r="C435" i="3"/>
  <c r="J435" i="3" s="1"/>
  <c r="F434" i="3"/>
  <c r="E434" i="3"/>
  <c r="H434" i="3" s="1"/>
  <c r="D434" i="3"/>
  <c r="C434" i="3"/>
  <c r="J434" i="3" s="1"/>
  <c r="F433" i="3"/>
  <c r="E433" i="3"/>
  <c r="H433" i="3" s="1"/>
  <c r="D433" i="3"/>
  <c r="C433" i="3"/>
  <c r="J433" i="3" s="1"/>
  <c r="F432" i="3"/>
  <c r="E432" i="3"/>
  <c r="H432" i="3" s="1"/>
  <c r="D432" i="3"/>
  <c r="C432" i="3"/>
  <c r="J432" i="3" s="1"/>
  <c r="F431" i="3"/>
  <c r="E431" i="3"/>
  <c r="H431" i="3" s="1"/>
  <c r="I431" i="3" s="1"/>
  <c r="D431" i="3"/>
  <c r="C431" i="3"/>
  <c r="J431" i="3" s="1"/>
  <c r="H430" i="3"/>
  <c r="F430" i="3"/>
  <c r="E430" i="3"/>
  <c r="D430" i="3"/>
  <c r="C430" i="3"/>
  <c r="F429" i="3"/>
  <c r="E429" i="3"/>
  <c r="H429" i="3" s="1"/>
  <c r="D429" i="3"/>
  <c r="C429" i="3"/>
  <c r="H428" i="3"/>
  <c r="F428" i="3"/>
  <c r="E428" i="3"/>
  <c r="D428" i="3"/>
  <c r="C428" i="3"/>
  <c r="F427" i="3"/>
  <c r="E427" i="3"/>
  <c r="H427" i="3" s="1"/>
  <c r="D427" i="3"/>
  <c r="C427" i="3"/>
  <c r="J427" i="3" s="1"/>
  <c r="H426" i="3"/>
  <c r="F426" i="3"/>
  <c r="E426" i="3"/>
  <c r="D426" i="3"/>
  <c r="C426" i="3"/>
  <c r="J426" i="3" s="1"/>
  <c r="F425" i="3"/>
  <c r="E425" i="3"/>
  <c r="H425" i="3" s="1"/>
  <c r="D425" i="3"/>
  <c r="C425" i="3"/>
  <c r="J425" i="3" s="1"/>
  <c r="F424" i="3"/>
  <c r="E424" i="3"/>
  <c r="H424" i="3" s="1"/>
  <c r="D424" i="3"/>
  <c r="C424" i="3"/>
  <c r="J424" i="3" s="1"/>
  <c r="F423" i="3"/>
  <c r="E423" i="3"/>
  <c r="H423" i="3" s="1"/>
  <c r="D423" i="3"/>
  <c r="C423" i="3"/>
  <c r="F422" i="3"/>
  <c r="E422" i="3"/>
  <c r="H422" i="3" s="1"/>
  <c r="D422" i="3"/>
  <c r="C422" i="3"/>
  <c r="F421" i="3"/>
  <c r="E421" i="3"/>
  <c r="H421" i="3" s="1"/>
  <c r="D421" i="3"/>
  <c r="C421" i="3"/>
  <c r="F420" i="3"/>
  <c r="E420" i="3"/>
  <c r="H420" i="3" s="1"/>
  <c r="D420" i="3"/>
  <c r="C420" i="3"/>
  <c r="F419" i="3"/>
  <c r="E419" i="3"/>
  <c r="H419" i="3" s="1"/>
  <c r="D419" i="3"/>
  <c r="C419" i="3"/>
  <c r="F418" i="3"/>
  <c r="E418" i="3"/>
  <c r="H418" i="3" s="1"/>
  <c r="D418" i="3"/>
  <c r="C418" i="3"/>
  <c r="J418" i="3" s="1"/>
  <c r="F417" i="3"/>
  <c r="E417" i="3"/>
  <c r="H417" i="3" s="1"/>
  <c r="D417" i="3"/>
  <c r="C417" i="3"/>
  <c r="J417" i="3" s="1"/>
  <c r="F416" i="3"/>
  <c r="E416" i="3"/>
  <c r="H416" i="3" s="1"/>
  <c r="D416" i="3"/>
  <c r="C416" i="3"/>
  <c r="J416" i="3" s="1"/>
  <c r="F415" i="3"/>
  <c r="E415" i="3"/>
  <c r="H415" i="3" s="1"/>
  <c r="D415" i="3"/>
  <c r="C415" i="3"/>
  <c r="J415" i="3" s="1"/>
  <c r="F414" i="3"/>
  <c r="E414" i="3"/>
  <c r="H414" i="3" s="1"/>
  <c r="D414" i="3"/>
  <c r="C414" i="3"/>
  <c r="F413" i="3"/>
  <c r="E413" i="3"/>
  <c r="H413" i="3" s="1"/>
  <c r="D413" i="3"/>
  <c r="C413" i="3"/>
  <c r="F412" i="3"/>
  <c r="E412" i="3"/>
  <c r="H412" i="3" s="1"/>
  <c r="D412" i="3"/>
  <c r="C412" i="3"/>
  <c r="F411" i="3"/>
  <c r="E411" i="3"/>
  <c r="H411" i="3" s="1"/>
  <c r="D411" i="3"/>
  <c r="C411" i="3"/>
  <c r="F410" i="3"/>
  <c r="E410" i="3"/>
  <c r="H410" i="3" s="1"/>
  <c r="D410" i="3"/>
  <c r="C410" i="3"/>
  <c r="J410" i="3" s="1"/>
  <c r="F409" i="3"/>
  <c r="E409" i="3"/>
  <c r="H409" i="3" s="1"/>
  <c r="D409" i="3"/>
  <c r="C409" i="3"/>
  <c r="J409" i="3" s="1"/>
  <c r="F408" i="3"/>
  <c r="E408" i="3"/>
  <c r="H408" i="3" s="1"/>
  <c r="D408" i="3"/>
  <c r="C408" i="3"/>
  <c r="J408" i="3" s="1"/>
  <c r="F407" i="3"/>
  <c r="E407" i="3"/>
  <c r="H407" i="3" s="1"/>
  <c r="D407" i="3"/>
  <c r="C407" i="3"/>
  <c r="J407" i="3" s="1"/>
  <c r="F406" i="3"/>
  <c r="E406" i="3"/>
  <c r="H406" i="3" s="1"/>
  <c r="I406" i="3" s="1"/>
  <c r="D406" i="3"/>
  <c r="C406" i="3"/>
  <c r="F405" i="3"/>
  <c r="J405" i="3" s="1"/>
  <c r="E405" i="3"/>
  <c r="H405" i="3" s="1"/>
  <c r="D405" i="3"/>
  <c r="C405" i="3"/>
  <c r="J404" i="3"/>
  <c r="F404" i="3"/>
  <c r="E404" i="3"/>
  <c r="H404" i="3" s="1"/>
  <c r="D404" i="3"/>
  <c r="C404" i="3"/>
  <c r="H403" i="3"/>
  <c r="F403" i="3"/>
  <c r="J403" i="3" s="1"/>
  <c r="E403" i="3"/>
  <c r="D403" i="3"/>
  <c r="C403" i="3"/>
  <c r="J402" i="3"/>
  <c r="H402" i="3"/>
  <c r="F402" i="3"/>
  <c r="E402" i="3"/>
  <c r="D402" i="3"/>
  <c r="C402" i="3"/>
  <c r="F401" i="3"/>
  <c r="J401" i="3" s="1"/>
  <c r="E401" i="3"/>
  <c r="H401" i="3" s="1"/>
  <c r="D401" i="3"/>
  <c r="C401" i="3"/>
  <c r="J400" i="3"/>
  <c r="H400" i="3"/>
  <c r="F400" i="3"/>
  <c r="E400" i="3"/>
  <c r="D400" i="3"/>
  <c r="C400" i="3"/>
  <c r="F399" i="3"/>
  <c r="J399" i="3" s="1"/>
  <c r="E399" i="3"/>
  <c r="H399" i="3" s="1"/>
  <c r="D399" i="3"/>
  <c r="C399" i="3"/>
  <c r="J398" i="3"/>
  <c r="H398" i="3"/>
  <c r="F398" i="3"/>
  <c r="E398" i="3"/>
  <c r="D398" i="3"/>
  <c r="C398" i="3"/>
  <c r="H397" i="3"/>
  <c r="F397" i="3"/>
  <c r="J397" i="3" s="1"/>
  <c r="E397" i="3"/>
  <c r="D397" i="3"/>
  <c r="C397" i="3"/>
  <c r="H396" i="3"/>
  <c r="F396" i="3"/>
  <c r="J396" i="3" s="1"/>
  <c r="E396" i="3"/>
  <c r="D396" i="3"/>
  <c r="C396" i="3"/>
  <c r="F395" i="3"/>
  <c r="J395" i="3" s="1"/>
  <c r="E395" i="3"/>
  <c r="H395" i="3" s="1"/>
  <c r="D395" i="3"/>
  <c r="C395" i="3"/>
  <c r="F394" i="3"/>
  <c r="J394" i="3" s="1"/>
  <c r="E394" i="3"/>
  <c r="H394" i="3" s="1"/>
  <c r="D394" i="3"/>
  <c r="C394" i="3"/>
  <c r="F393" i="3"/>
  <c r="J393" i="3" s="1"/>
  <c r="E393" i="3"/>
  <c r="H393" i="3" s="1"/>
  <c r="D393" i="3"/>
  <c r="C393" i="3"/>
  <c r="J392" i="3"/>
  <c r="F392" i="3"/>
  <c r="E392" i="3"/>
  <c r="H392" i="3" s="1"/>
  <c r="D392" i="3"/>
  <c r="C392" i="3"/>
  <c r="H391" i="3"/>
  <c r="F391" i="3"/>
  <c r="J391" i="3" s="1"/>
  <c r="E391" i="3"/>
  <c r="D391" i="3"/>
  <c r="C391" i="3"/>
  <c r="H390" i="3"/>
  <c r="F390" i="3"/>
  <c r="J390" i="3" s="1"/>
  <c r="E390" i="3"/>
  <c r="D390" i="3"/>
  <c r="C390" i="3"/>
  <c r="H389" i="3"/>
  <c r="F389" i="3"/>
  <c r="J389" i="3" s="1"/>
  <c r="E389" i="3"/>
  <c r="D389" i="3"/>
  <c r="C389" i="3"/>
  <c r="F388" i="3"/>
  <c r="J388" i="3" s="1"/>
  <c r="E388" i="3"/>
  <c r="H388" i="3" s="1"/>
  <c r="D388" i="3"/>
  <c r="C388" i="3"/>
  <c r="H387" i="3"/>
  <c r="F387" i="3"/>
  <c r="J387" i="3" s="1"/>
  <c r="E387" i="3"/>
  <c r="D387" i="3"/>
  <c r="C387" i="3"/>
  <c r="J386" i="3"/>
  <c r="F386" i="3"/>
  <c r="E386" i="3"/>
  <c r="H386" i="3" s="1"/>
  <c r="D386" i="3"/>
  <c r="C386" i="3"/>
  <c r="F385" i="3"/>
  <c r="J385" i="3" s="1"/>
  <c r="E385" i="3"/>
  <c r="H385" i="3" s="1"/>
  <c r="D385" i="3"/>
  <c r="C385" i="3"/>
  <c r="H384" i="3"/>
  <c r="F384" i="3"/>
  <c r="E384" i="3"/>
  <c r="D384" i="3"/>
  <c r="C384" i="3"/>
  <c r="J384" i="3" s="1"/>
  <c r="F383" i="3"/>
  <c r="J383" i="3" s="1"/>
  <c r="E383" i="3"/>
  <c r="H383" i="3" s="1"/>
  <c r="D383" i="3"/>
  <c r="C383" i="3"/>
  <c r="F382" i="3"/>
  <c r="E382" i="3"/>
  <c r="H382" i="3" s="1"/>
  <c r="D382" i="3"/>
  <c r="C382" i="3"/>
  <c r="J382" i="3" s="1"/>
  <c r="F381" i="3"/>
  <c r="E381" i="3"/>
  <c r="H381" i="3" s="1"/>
  <c r="D381" i="3"/>
  <c r="C381" i="3"/>
  <c r="J381" i="3" s="1"/>
  <c r="J380" i="3"/>
  <c r="F380" i="3"/>
  <c r="E380" i="3"/>
  <c r="H380" i="3" s="1"/>
  <c r="D380" i="3"/>
  <c r="C380" i="3"/>
  <c r="F379" i="3"/>
  <c r="E379" i="3"/>
  <c r="H379" i="3" s="1"/>
  <c r="D379" i="3"/>
  <c r="C379" i="3"/>
  <c r="J379" i="3" s="1"/>
  <c r="J378" i="3"/>
  <c r="H378" i="3"/>
  <c r="F378" i="3"/>
  <c r="E378" i="3"/>
  <c r="D378" i="3"/>
  <c r="C378" i="3"/>
  <c r="F377" i="3"/>
  <c r="E377" i="3"/>
  <c r="H377" i="3" s="1"/>
  <c r="D377" i="3"/>
  <c r="C377" i="3"/>
  <c r="H376" i="3"/>
  <c r="F376" i="3"/>
  <c r="E376" i="3"/>
  <c r="D376" i="3"/>
  <c r="C376" i="3"/>
  <c r="J376" i="3" s="1"/>
  <c r="F375" i="3"/>
  <c r="E375" i="3"/>
  <c r="H375" i="3" s="1"/>
  <c r="D375" i="3"/>
  <c r="C375" i="3"/>
  <c r="J375" i="3" s="1"/>
  <c r="H374" i="3"/>
  <c r="F374" i="3"/>
  <c r="J374" i="3" s="1"/>
  <c r="E374" i="3"/>
  <c r="D374" i="3"/>
  <c r="C374" i="3"/>
  <c r="H373" i="3"/>
  <c r="F373" i="3"/>
  <c r="E373" i="3"/>
  <c r="D373" i="3"/>
  <c r="C373" i="3"/>
  <c r="J372" i="3"/>
  <c r="F372" i="3"/>
  <c r="E372" i="3"/>
  <c r="H372" i="3" s="1"/>
  <c r="D372" i="3"/>
  <c r="C372" i="3"/>
  <c r="F371" i="3"/>
  <c r="E371" i="3"/>
  <c r="H371" i="3" s="1"/>
  <c r="D371" i="3"/>
  <c r="C371" i="3"/>
  <c r="H370" i="3"/>
  <c r="F370" i="3"/>
  <c r="E370" i="3"/>
  <c r="D370" i="3"/>
  <c r="C370" i="3"/>
  <c r="J370" i="3" s="1"/>
  <c r="F369" i="3"/>
  <c r="E369" i="3"/>
  <c r="H369" i="3" s="1"/>
  <c r="D369" i="3"/>
  <c r="C369" i="3"/>
  <c r="F368" i="3"/>
  <c r="E368" i="3"/>
  <c r="H368" i="3" s="1"/>
  <c r="D368" i="3"/>
  <c r="C368" i="3"/>
  <c r="H367" i="3"/>
  <c r="F367" i="3"/>
  <c r="E367" i="3"/>
  <c r="D367" i="3"/>
  <c r="C367" i="3"/>
  <c r="J367" i="3" s="1"/>
  <c r="F366" i="3"/>
  <c r="E366" i="3"/>
  <c r="H366" i="3" s="1"/>
  <c r="D366" i="3"/>
  <c r="C366" i="3"/>
  <c r="J366" i="3" s="1"/>
  <c r="H365" i="3"/>
  <c r="F365" i="3"/>
  <c r="E365" i="3"/>
  <c r="D365" i="3"/>
  <c r="C365" i="3"/>
  <c r="J365" i="3" s="1"/>
  <c r="F364" i="3"/>
  <c r="J364" i="3" s="1"/>
  <c r="E364" i="3"/>
  <c r="H364" i="3" s="1"/>
  <c r="D364" i="3"/>
  <c r="C364" i="3"/>
  <c r="H363" i="3"/>
  <c r="F363" i="3"/>
  <c r="E363" i="3"/>
  <c r="D363" i="3"/>
  <c r="C363" i="3"/>
  <c r="F362" i="3"/>
  <c r="E362" i="3"/>
  <c r="H362" i="3" s="1"/>
  <c r="D362" i="3"/>
  <c r="C362" i="3"/>
  <c r="J362" i="3" s="1"/>
  <c r="F361" i="3"/>
  <c r="E361" i="3"/>
  <c r="H361" i="3" s="1"/>
  <c r="D361" i="3"/>
  <c r="C361" i="3"/>
  <c r="H360" i="3"/>
  <c r="F360" i="3"/>
  <c r="E360" i="3"/>
  <c r="D360" i="3"/>
  <c r="C360" i="3"/>
  <c r="J360" i="3" s="1"/>
  <c r="H359" i="3"/>
  <c r="F359" i="3"/>
  <c r="E359" i="3"/>
  <c r="D359" i="3"/>
  <c r="C359" i="3"/>
  <c r="J359" i="3" s="1"/>
  <c r="F358" i="3"/>
  <c r="E358" i="3"/>
  <c r="H358" i="3" s="1"/>
  <c r="D358" i="3"/>
  <c r="C358" i="3"/>
  <c r="J358" i="3" s="1"/>
  <c r="F357" i="3"/>
  <c r="E357" i="3"/>
  <c r="H357" i="3" s="1"/>
  <c r="D357" i="3"/>
  <c r="C357" i="3"/>
  <c r="J356" i="3"/>
  <c r="F356" i="3"/>
  <c r="E356" i="3"/>
  <c r="H356" i="3" s="1"/>
  <c r="D356" i="3"/>
  <c r="C356" i="3"/>
  <c r="F355" i="3"/>
  <c r="E355" i="3"/>
  <c r="H355" i="3" s="1"/>
  <c r="D355" i="3"/>
  <c r="C355" i="3"/>
  <c r="J355" i="3" s="1"/>
  <c r="J354" i="3"/>
  <c r="H354" i="3"/>
  <c r="F354" i="3"/>
  <c r="E354" i="3"/>
  <c r="D354" i="3"/>
  <c r="C354" i="3"/>
  <c r="F353" i="3"/>
  <c r="E353" i="3"/>
  <c r="H353" i="3" s="1"/>
  <c r="D353" i="3"/>
  <c r="C353" i="3"/>
  <c r="H352" i="3"/>
  <c r="F352" i="3"/>
  <c r="E352" i="3"/>
  <c r="D352" i="3"/>
  <c r="C352" i="3"/>
  <c r="J352" i="3" s="1"/>
  <c r="F351" i="3"/>
  <c r="E351" i="3"/>
  <c r="H351" i="3" s="1"/>
  <c r="D351" i="3"/>
  <c r="C351" i="3"/>
  <c r="J351" i="3" s="1"/>
  <c r="H350" i="3"/>
  <c r="F350" i="3"/>
  <c r="E350" i="3"/>
  <c r="D350" i="3"/>
  <c r="C350" i="3"/>
  <c r="J350" i="3" s="1"/>
  <c r="H349" i="3"/>
  <c r="F349" i="3"/>
  <c r="E349" i="3"/>
  <c r="D349" i="3"/>
  <c r="C349" i="3"/>
  <c r="J348" i="3"/>
  <c r="F348" i="3"/>
  <c r="E348" i="3"/>
  <c r="H348" i="3" s="1"/>
  <c r="D348" i="3"/>
  <c r="C348" i="3"/>
  <c r="F347" i="3"/>
  <c r="E347" i="3"/>
  <c r="H347" i="3" s="1"/>
  <c r="D347" i="3"/>
  <c r="C347" i="3"/>
  <c r="H346" i="3"/>
  <c r="F346" i="3"/>
  <c r="E346" i="3"/>
  <c r="D346" i="3"/>
  <c r="C346" i="3"/>
  <c r="J346" i="3" s="1"/>
  <c r="F345" i="3"/>
  <c r="E345" i="3"/>
  <c r="H345" i="3" s="1"/>
  <c r="D345" i="3"/>
  <c r="C345" i="3"/>
  <c r="F344" i="3"/>
  <c r="J344" i="3" s="1"/>
  <c r="E344" i="3"/>
  <c r="H344" i="3" s="1"/>
  <c r="D344" i="3"/>
  <c r="C344" i="3"/>
  <c r="H343" i="3"/>
  <c r="F343" i="3"/>
  <c r="E343" i="3"/>
  <c r="D343" i="3"/>
  <c r="C343" i="3"/>
  <c r="J343" i="3" s="1"/>
  <c r="F342" i="3"/>
  <c r="E342" i="3"/>
  <c r="H342" i="3" s="1"/>
  <c r="D342" i="3"/>
  <c r="C342" i="3"/>
  <c r="J342" i="3" s="1"/>
  <c r="H341" i="3"/>
  <c r="F341" i="3"/>
  <c r="E341" i="3"/>
  <c r="D341" i="3"/>
  <c r="C341" i="3"/>
  <c r="J341" i="3" s="1"/>
  <c r="F340" i="3"/>
  <c r="J340" i="3" s="1"/>
  <c r="E340" i="3"/>
  <c r="H340" i="3" s="1"/>
  <c r="D340" i="3"/>
  <c r="C340" i="3"/>
  <c r="H339" i="3"/>
  <c r="F339" i="3"/>
  <c r="E339" i="3"/>
  <c r="D339" i="3"/>
  <c r="C339" i="3"/>
  <c r="F338" i="3"/>
  <c r="E338" i="3"/>
  <c r="H338" i="3" s="1"/>
  <c r="D338" i="3"/>
  <c r="C338" i="3"/>
  <c r="J338" i="3" s="1"/>
  <c r="F337" i="3"/>
  <c r="E337" i="3"/>
  <c r="H337" i="3" s="1"/>
  <c r="D337" i="3"/>
  <c r="C337" i="3"/>
  <c r="H336" i="3"/>
  <c r="F336" i="3"/>
  <c r="E336" i="3"/>
  <c r="D336" i="3"/>
  <c r="C336" i="3"/>
  <c r="J336" i="3" s="1"/>
  <c r="H335" i="3"/>
  <c r="F335" i="3"/>
  <c r="E335" i="3"/>
  <c r="D335" i="3"/>
  <c r="C335" i="3"/>
  <c r="J335" i="3" s="1"/>
  <c r="F334" i="3"/>
  <c r="E334" i="3"/>
  <c r="H334" i="3" s="1"/>
  <c r="D334" i="3"/>
  <c r="C334" i="3"/>
  <c r="J334" i="3" s="1"/>
  <c r="F333" i="3"/>
  <c r="E333" i="3"/>
  <c r="H333" i="3" s="1"/>
  <c r="D333" i="3"/>
  <c r="C333" i="3"/>
  <c r="J332" i="3"/>
  <c r="F332" i="3"/>
  <c r="E332" i="3"/>
  <c r="H332" i="3" s="1"/>
  <c r="D332" i="3"/>
  <c r="C332" i="3"/>
  <c r="F331" i="3"/>
  <c r="E331" i="3"/>
  <c r="H331" i="3" s="1"/>
  <c r="D331" i="3"/>
  <c r="C331" i="3"/>
  <c r="J331" i="3" s="1"/>
  <c r="J330" i="3"/>
  <c r="H330" i="3"/>
  <c r="F330" i="3"/>
  <c r="E330" i="3"/>
  <c r="D330" i="3"/>
  <c r="C330" i="3"/>
  <c r="F329" i="3"/>
  <c r="E329" i="3"/>
  <c r="H329" i="3" s="1"/>
  <c r="D329" i="3"/>
  <c r="C329" i="3"/>
  <c r="H328" i="3"/>
  <c r="F328" i="3"/>
  <c r="E328" i="3"/>
  <c r="D328" i="3"/>
  <c r="C328" i="3"/>
  <c r="J328" i="3" s="1"/>
  <c r="F327" i="3"/>
  <c r="E327" i="3"/>
  <c r="H327" i="3" s="1"/>
  <c r="D327" i="3"/>
  <c r="C327" i="3"/>
  <c r="J327" i="3" s="1"/>
  <c r="H326" i="3"/>
  <c r="F326" i="3"/>
  <c r="J326" i="3" s="1"/>
  <c r="E326" i="3"/>
  <c r="D326" i="3"/>
  <c r="C326" i="3"/>
  <c r="H325" i="3"/>
  <c r="F325" i="3"/>
  <c r="E325" i="3"/>
  <c r="D325" i="3"/>
  <c r="C325" i="3"/>
  <c r="J324" i="3"/>
  <c r="F324" i="3"/>
  <c r="E324" i="3"/>
  <c r="H324" i="3" s="1"/>
  <c r="D324" i="3"/>
  <c r="C324" i="3"/>
  <c r="F323" i="3"/>
  <c r="E323" i="3"/>
  <c r="H323" i="3" s="1"/>
  <c r="D323" i="3"/>
  <c r="C323" i="3"/>
  <c r="H322" i="3"/>
  <c r="F322" i="3"/>
  <c r="E322" i="3"/>
  <c r="D322" i="3"/>
  <c r="C322" i="3"/>
  <c r="J322" i="3" s="1"/>
  <c r="F321" i="3"/>
  <c r="E321" i="3"/>
  <c r="H321" i="3" s="1"/>
  <c r="D321" i="3"/>
  <c r="C321" i="3"/>
  <c r="H320" i="3"/>
  <c r="F320" i="3"/>
  <c r="J320" i="3" s="1"/>
  <c r="E320" i="3"/>
  <c r="D320" i="3"/>
  <c r="C320" i="3"/>
  <c r="H319" i="3"/>
  <c r="F319" i="3"/>
  <c r="E319" i="3"/>
  <c r="D319" i="3"/>
  <c r="C319" i="3"/>
  <c r="J319" i="3" s="1"/>
  <c r="F318" i="3"/>
  <c r="E318" i="3"/>
  <c r="H318" i="3" s="1"/>
  <c r="D318" i="3"/>
  <c r="C318" i="3"/>
  <c r="J318" i="3" s="1"/>
  <c r="H317" i="3"/>
  <c r="F317" i="3"/>
  <c r="E317" i="3"/>
  <c r="D317" i="3"/>
  <c r="C317" i="3"/>
  <c r="J317" i="3" s="1"/>
  <c r="F316" i="3"/>
  <c r="J316" i="3" s="1"/>
  <c r="E316" i="3"/>
  <c r="H316" i="3" s="1"/>
  <c r="D316" i="3"/>
  <c r="C316" i="3"/>
  <c r="H315" i="3"/>
  <c r="F315" i="3"/>
  <c r="E315" i="3"/>
  <c r="D315" i="3"/>
  <c r="C315" i="3"/>
  <c r="F314" i="3"/>
  <c r="E314" i="3"/>
  <c r="H314" i="3" s="1"/>
  <c r="D314" i="3"/>
  <c r="C314" i="3"/>
  <c r="J314" i="3" s="1"/>
  <c r="F313" i="3"/>
  <c r="E313" i="3"/>
  <c r="H313" i="3" s="1"/>
  <c r="D313" i="3"/>
  <c r="C313" i="3"/>
  <c r="H312" i="3"/>
  <c r="F312" i="3"/>
  <c r="E312" i="3"/>
  <c r="D312" i="3"/>
  <c r="C312" i="3"/>
  <c r="J312" i="3" s="1"/>
  <c r="H311" i="3"/>
  <c r="F311" i="3"/>
  <c r="E311" i="3"/>
  <c r="D311" i="3"/>
  <c r="C311" i="3"/>
  <c r="J311" i="3" s="1"/>
  <c r="F310" i="3"/>
  <c r="E310" i="3"/>
  <c r="H310" i="3" s="1"/>
  <c r="D310" i="3"/>
  <c r="C310" i="3"/>
  <c r="J310" i="3" s="1"/>
  <c r="H309" i="3"/>
  <c r="F309" i="3"/>
  <c r="E309" i="3"/>
  <c r="D309" i="3"/>
  <c r="C309" i="3"/>
  <c r="J308" i="3"/>
  <c r="F308" i="3"/>
  <c r="E308" i="3"/>
  <c r="H308" i="3" s="1"/>
  <c r="D308" i="3"/>
  <c r="C308" i="3"/>
  <c r="F307" i="3"/>
  <c r="E307" i="3"/>
  <c r="H307" i="3" s="1"/>
  <c r="D307" i="3"/>
  <c r="C307" i="3"/>
  <c r="J307" i="3" s="1"/>
  <c r="J306" i="3"/>
  <c r="H306" i="3"/>
  <c r="F306" i="3"/>
  <c r="E306" i="3"/>
  <c r="D306" i="3"/>
  <c r="C306" i="3"/>
  <c r="F305" i="3"/>
  <c r="E305" i="3"/>
  <c r="H305" i="3" s="1"/>
  <c r="D305" i="3"/>
  <c r="C305" i="3"/>
  <c r="H304" i="3"/>
  <c r="F304" i="3"/>
  <c r="E304" i="3"/>
  <c r="D304" i="3"/>
  <c r="C304" i="3"/>
  <c r="J304" i="3" s="1"/>
  <c r="F303" i="3"/>
  <c r="E303" i="3"/>
  <c r="H303" i="3" s="1"/>
  <c r="D303" i="3"/>
  <c r="C303" i="3"/>
  <c r="J303" i="3" s="1"/>
  <c r="F302" i="3"/>
  <c r="J302" i="3" s="1"/>
  <c r="E302" i="3"/>
  <c r="H302" i="3" s="1"/>
  <c r="D302" i="3"/>
  <c r="C302" i="3"/>
  <c r="H301" i="3"/>
  <c r="F301" i="3"/>
  <c r="E301" i="3"/>
  <c r="D301" i="3"/>
  <c r="C301" i="3"/>
  <c r="J300" i="3"/>
  <c r="F300" i="3"/>
  <c r="E300" i="3"/>
  <c r="H300" i="3" s="1"/>
  <c r="D300" i="3"/>
  <c r="C300" i="3"/>
  <c r="F299" i="3"/>
  <c r="E299" i="3"/>
  <c r="H299" i="3" s="1"/>
  <c r="D299" i="3"/>
  <c r="C299" i="3"/>
  <c r="H298" i="3"/>
  <c r="F298" i="3"/>
  <c r="E298" i="3"/>
  <c r="D298" i="3"/>
  <c r="C298" i="3"/>
  <c r="J298" i="3" s="1"/>
  <c r="F297" i="3"/>
  <c r="E297" i="3"/>
  <c r="H297" i="3" s="1"/>
  <c r="D297" i="3"/>
  <c r="C297" i="3"/>
  <c r="H296" i="3"/>
  <c r="F296" i="3"/>
  <c r="J296" i="3" s="1"/>
  <c r="E296" i="3"/>
  <c r="D296" i="3"/>
  <c r="C296" i="3"/>
  <c r="H295" i="3"/>
  <c r="F295" i="3"/>
  <c r="E295" i="3"/>
  <c r="D295" i="3"/>
  <c r="C295" i="3"/>
  <c r="J295" i="3" s="1"/>
  <c r="F294" i="3"/>
  <c r="E294" i="3"/>
  <c r="H294" i="3" s="1"/>
  <c r="D294" i="3"/>
  <c r="C294" i="3"/>
  <c r="J294" i="3" s="1"/>
  <c r="H293" i="3"/>
  <c r="F293" i="3"/>
  <c r="E293" i="3"/>
  <c r="D293" i="3"/>
  <c r="C293" i="3"/>
  <c r="J293" i="3" s="1"/>
  <c r="F292" i="3"/>
  <c r="J292" i="3" s="1"/>
  <c r="E292" i="3"/>
  <c r="H292" i="3" s="1"/>
  <c r="D292" i="3"/>
  <c r="C292" i="3"/>
  <c r="F291" i="3"/>
  <c r="E291" i="3"/>
  <c r="H291" i="3" s="1"/>
  <c r="D291" i="3"/>
  <c r="C291" i="3"/>
  <c r="J291" i="3" s="1"/>
  <c r="F290" i="3"/>
  <c r="E290" i="3"/>
  <c r="H290" i="3" s="1"/>
  <c r="D290" i="3"/>
  <c r="C290" i="3"/>
  <c r="J290" i="3" s="1"/>
  <c r="F289" i="3"/>
  <c r="E289" i="3"/>
  <c r="H289" i="3" s="1"/>
  <c r="D289" i="3"/>
  <c r="C289" i="3"/>
  <c r="J289" i="3" s="1"/>
  <c r="J288" i="3"/>
  <c r="H288" i="3"/>
  <c r="F288" i="3"/>
  <c r="E288" i="3"/>
  <c r="D288" i="3"/>
  <c r="C288" i="3"/>
  <c r="H287" i="3"/>
  <c r="F287" i="3"/>
  <c r="E287" i="3"/>
  <c r="D287" i="3"/>
  <c r="C287" i="3"/>
  <c r="J287" i="3" s="1"/>
  <c r="H286" i="3"/>
  <c r="F286" i="3"/>
  <c r="J286" i="3" s="1"/>
  <c r="E286" i="3"/>
  <c r="D286" i="3"/>
  <c r="C286" i="3"/>
  <c r="F285" i="3"/>
  <c r="E285" i="3"/>
  <c r="H285" i="3" s="1"/>
  <c r="D285" i="3"/>
  <c r="C285" i="3"/>
  <c r="F284" i="3"/>
  <c r="J284" i="3" s="1"/>
  <c r="E284" i="3"/>
  <c r="H284" i="3" s="1"/>
  <c r="D284" i="3"/>
  <c r="C284" i="3"/>
  <c r="F283" i="3"/>
  <c r="E283" i="3"/>
  <c r="H283" i="3" s="1"/>
  <c r="D283" i="3"/>
  <c r="C283" i="3"/>
  <c r="J283" i="3" s="1"/>
  <c r="F282" i="3"/>
  <c r="J282" i="3" s="1"/>
  <c r="E282" i="3"/>
  <c r="H282" i="3" s="1"/>
  <c r="D282" i="3"/>
  <c r="C282" i="3"/>
  <c r="F281" i="3"/>
  <c r="E281" i="3"/>
  <c r="H281" i="3" s="1"/>
  <c r="D281" i="3"/>
  <c r="C281" i="3"/>
  <c r="F280" i="3"/>
  <c r="E280" i="3"/>
  <c r="H280" i="3" s="1"/>
  <c r="D280" i="3"/>
  <c r="C280" i="3"/>
  <c r="J280" i="3" s="1"/>
  <c r="F279" i="3"/>
  <c r="E279" i="3"/>
  <c r="H279" i="3" s="1"/>
  <c r="D279" i="3"/>
  <c r="C279" i="3"/>
  <c r="J279" i="3" s="1"/>
  <c r="F278" i="3"/>
  <c r="E278" i="3"/>
  <c r="H278" i="3" s="1"/>
  <c r="D278" i="3"/>
  <c r="C278" i="3"/>
  <c r="J278" i="3" s="1"/>
  <c r="H277" i="3"/>
  <c r="F277" i="3"/>
  <c r="E277" i="3"/>
  <c r="D277" i="3"/>
  <c r="C277" i="3"/>
  <c r="J276" i="3"/>
  <c r="F276" i="3"/>
  <c r="E276" i="3"/>
  <c r="H276" i="3" s="1"/>
  <c r="D276" i="3"/>
  <c r="C276" i="3"/>
  <c r="H275" i="3"/>
  <c r="F275" i="3"/>
  <c r="E275" i="3"/>
  <c r="D275" i="3"/>
  <c r="C275" i="3"/>
  <c r="H274" i="3"/>
  <c r="F274" i="3"/>
  <c r="E274" i="3"/>
  <c r="D274" i="3"/>
  <c r="C274" i="3"/>
  <c r="J274" i="3" s="1"/>
  <c r="F273" i="3"/>
  <c r="E273" i="3"/>
  <c r="H273" i="3" s="1"/>
  <c r="D273" i="3"/>
  <c r="C273" i="3"/>
  <c r="F272" i="3"/>
  <c r="J272" i="3" s="1"/>
  <c r="E272" i="3"/>
  <c r="H272" i="3" s="1"/>
  <c r="D272" i="3"/>
  <c r="C272" i="3"/>
  <c r="F271" i="3"/>
  <c r="E271" i="3"/>
  <c r="H271" i="3" s="1"/>
  <c r="D271" i="3"/>
  <c r="C271" i="3"/>
  <c r="F270" i="3"/>
  <c r="E270" i="3"/>
  <c r="H270" i="3" s="1"/>
  <c r="D270" i="3"/>
  <c r="C270" i="3"/>
  <c r="J270" i="3" s="1"/>
  <c r="F269" i="3"/>
  <c r="E269" i="3"/>
  <c r="H269" i="3" s="1"/>
  <c r="D269" i="3"/>
  <c r="C269" i="3"/>
  <c r="J269" i="3" s="1"/>
  <c r="F268" i="3"/>
  <c r="J268" i="3" s="1"/>
  <c r="E268" i="3"/>
  <c r="H268" i="3" s="1"/>
  <c r="D268" i="3"/>
  <c r="C268" i="3"/>
  <c r="F267" i="3"/>
  <c r="E267" i="3"/>
  <c r="H267" i="3" s="1"/>
  <c r="D267" i="3"/>
  <c r="C267" i="3"/>
  <c r="J267" i="3" s="1"/>
  <c r="F266" i="3"/>
  <c r="E266" i="3"/>
  <c r="H266" i="3" s="1"/>
  <c r="D266" i="3"/>
  <c r="C266" i="3"/>
  <c r="J266" i="3" s="1"/>
  <c r="F265" i="3"/>
  <c r="E265" i="3"/>
  <c r="H265" i="3" s="1"/>
  <c r="D265" i="3"/>
  <c r="C265" i="3"/>
  <c r="J265" i="3" s="1"/>
  <c r="J264" i="3"/>
  <c r="H264" i="3"/>
  <c r="F264" i="3"/>
  <c r="E264" i="3"/>
  <c r="D264" i="3"/>
  <c r="C264" i="3"/>
  <c r="H263" i="3"/>
  <c r="F263" i="3"/>
  <c r="E263" i="3"/>
  <c r="D263" i="3"/>
  <c r="C263" i="3"/>
  <c r="H262" i="3"/>
  <c r="F262" i="3"/>
  <c r="E262" i="3"/>
  <c r="D262" i="3"/>
  <c r="C262" i="3"/>
  <c r="J262" i="3" s="1"/>
  <c r="J261" i="3"/>
  <c r="H261" i="3"/>
  <c r="F261" i="3"/>
  <c r="E261" i="3"/>
  <c r="D261" i="3"/>
  <c r="C261" i="3"/>
  <c r="H260" i="3"/>
  <c r="F260" i="3"/>
  <c r="E260" i="3"/>
  <c r="D260" i="3"/>
  <c r="C260" i="3"/>
  <c r="J260" i="3" s="1"/>
  <c r="J259" i="3"/>
  <c r="H259" i="3"/>
  <c r="F259" i="3"/>
  <c r="E259" i="3"/>
  <c r="D259" i="3"/>
  <c r="C259" i="3"/>
  <c r="H258" i="3"/>
  <c r="F258" i="3"/>
  <c r="E258" i="3"/>
  <c r="D258" i="3"/>
  <c r="C258" i="3"/>
  <c r="J258" i="3" s="1"/>
  <c r="J257" i="3"/>
  <c r="H257" i="3"/>
  <c r="F257" i="3"/>
  <c r="E257" i="3"/>
  <c r="D257" i="3"/>
  <c r="C257" i="3"/>
  <c r="H256" i="3"/>
  <c r="F256" i="3"/>
  <c r="E256" i="3"/>
  <c r="D256" i="3"/>
  <c r="C256" i="3"/>
  <c r="J256" i="3" s="1"/>
  <c r="J255" i="3"/>
  <c r="H255" i="3"/>
  <c r="F255" i="3"/>
  <c r="E255" i="3"/>
  <c r="D255" i="3"/>
  <c r="C255" i="3"/>
  <c r="H254" i="3"/>
  <c r="F254" i="3"/>
  <c r="E254" i="3"/>
  <c r="D254" i="3"/>
  <c r="C254" i="3"/>
  <c r="J254" i="3" s="1"/>
  <c r="J253" i="3"/>
  <c r="H253" i="3"/>
  <c r="F253" i="3"/>
  <c r="E253" i="3"/>
  <c r="D253" i="3"/>
  <c r="C253" i="3"/>
  <c r="H252" i="3"/>
  <c r="F252" i="3"/>
  <c r="E252" i="3"/>
  <c r="D252" i="3"/>
  <c r="C252" i="3"/>
  <c r="J252" i="3" s="1"/>
  <c r="J251" i="3"/>
  <c r="H251" i="3"/>
  <c r="F251" i="3"/>
  <c r="E251" i="3"/>
  <c r="D251" i="3"/>
  <c r="C251" i="3"/>
  <c r="H250" i="3"/>
  <c r="F250" i="3"/>
  <c r="E250" i="3"/>
  <c r="D250" i="3"/>
  <c r="C250" i="3"/>
  <c r="J250" i="3" s="1"/>
  <c r="J249" i="3"/>
  <c r="H249" i="3"/>
  <c r="F249" i="3"/>
  <c r="E249" i="3"/>
  <c r="D249" i="3"/>
  <c r="C249" i="3"/>
  <c r="H248" i="3"/>
  <c r="F248" i="3"/>
  <c r="E248" i="3"/>
  <c r="D248" i="3"/>
  <c r="C248" i="3"/>
  <c r="J248" i="3" s="1"/>
  <c r="J247" i="3"/>
  <c r="H247" i="3"/>
  <c r="F247" i="3"/>
  <c r="E247" i="3"/>
  <c r="D247" i="3"/>
  <c r="C247" i="3"/>
  <c r="H246" i="3"/>
  <c r="F246" i="3"/>
  <c r="E246" i="3"/>
  <c r="D246" i="3"/>
  <c r="C246" i="3"/>
  <c r="J246" i="3" s="1"/>
  <c r="J245" i="3"/>
  <c r="H245" i="3"/>
  <c r="F245" i="3"/>
  <c r="E245" i="3"/>
  <c r="D245" i="3"/>
  <c r="C245" i="3"/>
  <c r="H244" i="3"/>
  <c r="F244" i="3"/>
  <c r="E244" i="3"/>
  <c r="D244" i="3"/>
  <c r="C244" i="3"/>
  <c r="J244" i="3" s="1"/>
  <c r="H243" i="3"/>
  <c r="F243" i="3"/>
  <c r="J243" i="3" s="1"/>
  <c r="E243" i="3"/>
  <c r="D243" i="3"/>
  <c r="C243" i="3"/>
  <c r="H242" i="3"/>
  <c r="F242" i="3"/>
  <c r="E242" i="3"/>
  <c r="D242" i="3"/>
  <c r="C242" i="3"/>
  <c r="J242" i="3" s="1"/>
  <c r="H241" i="3"/>
  <c r="F241" i="3"/>
  <c r="J241" i="3" s="1"/>
  <c r="E241" i="3"/>
  <c r="D241" i="3"/>
  <c r="C241" i="3"/>
  <c r="H240" i="3"/>
  <c r="F240" i="3"/>
  <c r="E240" i="3"/>
  <c r="D240" i="3"/>
  <c r="C240" i="3"/>
  <c r="J240" i="3" s="1"/>
  <c r="H239" i="3"/>
  <c r="F239" i="3"/>
  <c r="J239" i="3" s="1"/>
  <c r="E239" i="3"/>
  <c r="D239" i="3"/>
  <c r="C239" i="3"/>
  <c r="H238" i="3"/>
  <c r="F238" i="3"/>
  <c r="E238" i="3"/>
  <c r="D238" i="3"/>
  <c r="C238" i="3"/>
  <c r="J238" i="3" s="1"/>
  <c r="H237" i="3"/>
  <c r="F237" i="3"/>
  <c r="J237" i="3" s="1"/>
  <c r="E237" i="3"/>
  <c r="D237" i="3"/>
  <c r="C237" i="3"/>
  <c r="H236" i="3"/>
  <c r="F236" i="3"/>
  <c r="E236" i="3"/>
  <c r="D236" i="3"/>
  <c r="C236" i="3"/>
  <c r="J236" i="3" s="1"/>
  <c r="H235" i="3"/>
  <c r="F235" i="3"/>
  <c r="J235" i="3" s="1"/>
  <c r="E235" i="3"/>
  <c r="D235" i="3"/>
  <c r="C235" i="3"/>
  <c r="H234" i="3"/>
  <c r="F234" i="3"/>
  <c r="E234" i="3"/>
  <c r="D234" i="3"/>
  <c r="C234" i="3"/>
  <c r="J234" i="3" s="1"/>
  <c r="H233" i="3"/>
  <c r="F233" i="3"/>
  <c r="J233" i="3" s="1"/>
  <c r="E233" i="3"/>
  <c r="D233" i="3"/>
  <c r="C233" i="3"/>
  <c r="H232" i="3"/>
  <c r="F232" i="3"/>
  <c r="E232" i="3"/>
  <c r="D232" i="3"/>
  <c r="C232" i="3"/>
  <c r="J232" i="3" s="1"/>
  <c r="H231" i="3"/>
  <c r="F231" i="3"/>
  <c r="J231" i="3" s="1"/>
  <c r="E231" i="3"/>
  <c r="D231" i="3"/>
  <c r="C231" i="3"/>
  <c r="H230" i="3"/>
  <c r="F230" i="3"/>
  <c r="E230" i="3"/>
  <c r="D230" i="3"/>
  <c r="C230" i="3"/>
  <c r="J230" i="3" s="1"/>
  <c r="H229" i="3"/>
  <c r="F229" i="3"/>
  <c r="J229" i="3" s="1"/>
  <c r="E229" i="3"/>
  <c r="D229" i="3"/>
  <c r="C229" i="3"/>
  <c r="H228" i="3"/>
  <c r="F228" i="3"/>
  <c r="E228" i="3"/>
  <c r="D228" i="3"/>
  <c r="C228" i="3"/>
  <c r="J228" i="3" s="1"/>
  <c r="H227" i="3"/>
  <c r="F227" i="3"/>
  <c r="J227" i="3" s="1"/>
  <c r="E227" i="3"/>
  <c r="D227" i="3"/>
  <c r="C227" i="3"/>
  <c r="H226" i="3"/>
  <c r="I226" i="3" s="1"/>
  <c r="F226" i="3"/>
  <c r="E226" i="3"/>
  <c r="D226" i="3"/>
  <c r="C226" i="3"/>
  <c r="J226" i="3" s="1"/>
  <c r="J225" i="3"/>
  <c r="H225" i="3"/>
  <c r="F225" i="3"/>
  <c r="E225" i="3"/>
  <c r="D225" i="3"/>
  <c r="C225" i="3"/>
  <c r="H224" i="3"/>
  <c r="F224" i="3"/>
  <c r="E224" i="3"/>
  <c r="D224" i="3"/>
  <c r="C224" i="3"/>
  <c r="J224" i="3" s="1"/>
  <c r="J223" i="3"/>
  <c r="H223" i="3"/>
  <c r="F223" i="3"/>
  <c r="E223" i="3"/>
  <c r="D223" i="3"/>
  <c r="C223" i="3"/>
  <c r="H222" i="3"/>
  <c r="F222" i="3"/>
  <c r="E222" i="3"/>
  <c r="D222" i="3"/>
  <c r="C222" i="3"/>
  <c r="J222" i="3" s="1"/>
  <c r="J221" i="3"/>
  <c r="H221" i="3"/>
  <c r="F221" i="3"/>
  <c r="E221" i="3"/>
  <c r="D221" i="3"/>
  <c r="C221" i="3"/>
  <c r="H220" i="3"/>
  <c r="F220" i="3"/>
  <c r="E220" i="3"/>
  <c r="D220" i="3"/>
  <c r="C220" i="3"/>
  <c r="J220" i="3" s="1"/>
  <c r="J219" i="3"/>
  <c r="H219" i="3"/>
  <c r="F219" i="3"/>
  <c r="E219" i="3"/>
  <c r="D219" i="3"/>
  <c r="C219" i="3"/>
  <c r="H218" i="3"/>
  <c r="F218" i="3"/>
  <c r="E218" i="3"/>
  <c r="D218" i="3"/>
  <c r="C218" i="3"/>
  <c r="J218" i="3" s="1"/>
  <c r="J217" i="3"/>
  <c r="H217" i="3"/>
  <c r="F217" i="3"/>
  <c r="E217" i="3"/>
  <c r="D217" i="3"/>
  <c r="C217" i="3"/>
  <c r="H216" i="3"/>
  <c r="F216" i="3"/>
  <c r="E216" i="3"/>
  <c r="D216" i="3"/>
  <c r="C216" i="3"/>
  <c r="J216" i="3" s="1"/>
  <c r="J215" i="3"/>
  <c r="H215" i="3"/>
  <c r="F215" i="3"/>
  <c r="E215" i="3"/>
  <c r="D215" i="3"/>
  <c r="C215" i="3"/>
  <c r="H214" i="3"/>
  <c r="F214" i="3"/>
  <c r="E214" i="3"/>
  <c r="D214" i="3"/>
  <c r="C214" i="3"/>
  <c r="J214" i="3" s="1"/>
  <c r="J213" i="3"/>
  <c r="H213" i="3"/>
  <c r="F213" i="3"/>
  <c r="E213" i="3"/>
  <c r="D213" i="3"/>
  <c r="C213" i="3"/>
  <c r="H212" i="3"/>
  <c r="F212" i="3"/>
  <c r="E212" i="3"/>
  <c r="D212" i="3"/>
  <c r="C212" i="3"/>
  <c r="J212" i="3" s="1"/>
  <c r="J211" i="3"/>
  <c r="H211" i="3"/>
  <c r="F211" i="3"/>
  <c r="E211" i="3"/>
  <c r="D211" i="3"/>
  <c r="C211" i="3"/>
  <c r="F210" i="3"/>
  <c r="E210" i="3"/>
  <c r="H210" i="3" s="1"/>
  <c r="I210" i="3" s="1"/>
  <c r="D210" i="3"/>
  <c r="C210" i="3"/>
  <c r="J210" i="3" s="1"/>
  <c r="H209" i="3"/>
  <c r="F209" i="3"/>
  <c r="E209" i="3"/>
  <c r="D209" i="3"/>
  <c r="C209" i="3"/>
  <c r="J209" i="3" s="1"/>
  <c r="F208" i="3"/>
  <c r="E208" i="3"/>
  <c r="H208" i="3" s="1"/>
  <c r="D208" i="3"/>
  <c r="C208" i="3"/>
  <c r="J208" i="3" s="1"/>
  <c r="H207" i="3"/>
  <c r="F207" i="3"/>
  <c r="E207" i="3"/>
  <c r="D207" i="3"/>
  <c r="C207" i="3"/>
  <c r="J207" i="3" s="1"/>
  <c r="F206" i="3"/>
  <c r="E206" i="3"/>
  <c r="H206" i="3" s="1"/>
  <c r="D206" i="3"/>
  <c r="C206" i="3"/>
  <c r="J206" i="3" s="1"/>
  <c r="H205" i="3"/>
  <c r="F205" i="3"/>
  <c r="E205" i="3"/>
  <c r="D205" i="3"/>
  <c r="C205" i="3"/>
  <c r="J205" i="3" s="1"/>
  <c r="F204" i="3"/>
  <c r="E204" i="3"/>
  <c r="H204" i="3" s="1"/>
  <c r="D204" i="3"/>
  <c r="C204" i="3"/>
  <c r="J204" i="3" s="1"/>
  <c r="H203" i="3"/>
  <c r="F203" i="3"/>
  <c r="E203" i="3"/>
  <c r="D203" i="3"/>
  <c r="C203" i="3"/>
  <c r="J203" i="3" s="1"/>
  <c r="H202" i="3"/>
  <c r="F202" i="3"/>
  <c r="J202" i="3" s="1"/>
  <c r="E202" i="3"/>
  <c r="D202" i="3"/>
  <c r="C202" i="3"/>
  <c r="H201" i="3"/>
  <c r="F201" i="3"/>
  <c r="E201" i="3"/>
  <c r="D201" i="3"/>
  <c r="C201" i="3"/>
  <c r="J201" i="3" s="1"/>
  <c r="H200" i="3"/>
  <c r="F200" i="3"/>
  <c r="J200" i="3" s="1"/>
  <c r="E200" i="3"/>
  <c r="D200" i="3"/>
  <c r="C200" i="3"/>
  <c r="H199" i="3"/>
  <c r="F199" i="3"/>
  <c r="E199" i="3"/>
  <c r="D199" i="3"/>
  <c r="C199" i="3"/>
  <c r="J199" i="3" s="1"/>
  <c r="F198" i="3"/>
  <c r="J198" i="3" s="1"/>
  <c r="E198" i="3"/>
  <c r="H198" i="3" s="1"/>
  <c r="D198" i="3"/>
  <c r="C198" i="3"/>
  <c r="H197" i="3"/>
  <c r="F197" i="3"/>
  <c r="E197" i="3"/>
  <c r="D197" i="3"/>
  <c r="C197" i="3"/>
  <c r="J197" i="3" s="1"/>
  <c r="F196" i="3"/>
  <c r="J196" i="3" s="1"/>
  <c r="E196" i="3"/>
  <c r="H196" i="3" s="1"/>
  <c r="D196" i="3"/>
  <c r="C196" i="3"/>
  <c r="H195" i="3"/>
  <c r="F195" i="3"/>
  <c r="E195" i="3"/>
  <c r="D195" i="3"/>
  <c r="C195" i="3"/>
  <c r="J195" i="3" s="1"/>
  <c r="H194" i="3"/>
  <c r="I194" i="3" s="1"/>
  <c r="F194" i="3"/>
  <c r="J194" i="3" s="1"/>
  <c r="E194" i="3"/>
  <c r="D194" i="3"/>
  <c r="C194" i="3"/>
  <c r="H193" i="3"/>
  <c r="F193" i="3"/>
  <c r="E193" i="3"/>
  <c r="D193" i="3"/>
  <c r="C193" i="3"/>
  <c r="J193" i="3" s="1"/>
  <c r="F192" i="3"/>
  <c r="J192" i="3" s="1"/>
  <c r="E192" i="3"/>
  <c r="H192" i="3" s="1"/>
  <c r="D192" i="3"/>
  <c r="C192" i="3"/>
  <c r="H191" i="3"/>
  <c r="F191" i="3"/>
  <c r="E191" i="3"/>
  <c r="D191" i="3"/>
  <c r="C191" i="3"/>
  <c r="J191" i="3" s="1"/>
  <c r="F190" i="3"/>
  <c r="J190" i="3" s="1"/>
  <c r="E190" i="3"/>
  <c r="H190" i="3" s="1"/>
  <c r="D190" i="3"/>
  <c r="C190" i="3"/>
  <c r="H189" i="3"/>
  <c r="F189" i="3"/>
  <c r="E189" i="3"/>
  <c r="D189" i="3"/>
  <c r="C189" i="3"/>
  <c r="J189" i="3" s="1"/>
  <c r="H188" i="3"/>
  <c r="F188" i="3"/>
  <c r="J188" i="3" s="1"/>
  <c r="E188" i="3"/>
  <c r="D188" i="3"/>
  <c r="C188" i="3"/>
  <c r="H187" i="3"/>
  <c r="F187" i="3"/>
  <c r="E187" i="3"/>
  <c r="D187" i="3"/>
  <c r="C187" i="3"/>
  <c r="J187" i="3" s="1"/>
  <c r="H186" i="3"/>
  <c r="F186" i="3"/>
  <c r="J186" i="3" s="1"/>
  <c r="E186" i="3"/>
  <c r="D186" i="3"/>
  <c r="C186" i="3"/>
  <c r="H185" i="3"/>
  <c r="F185" i="3"/>
  <c r="E185" i="3"/>
  <c r="D185" i="3"/>
  <c r="C185" i="3"/>
  <c r="J185" i="3" s="1"/>
  <c r="F184" i="3"/>
  <c r="J184" i="3" s="1"/>
  <c r="E184" i="3"/>
  <c r="H184" i="3" s="1"/>
  <c r="D184" i="3"/>
  <c r="C184" i="3"/>
  <c r="H183" i="3"/>
  <c r="F183" i="3"/>
  <c r="E183" i="3"/>
  <c r="D183" i="3"/>
  <c r="C183" i="3"/>
  <c r="J183" i="3" s="1"/>
  <c r="H182" i="3"/>
  <c r="F182" i="3"/>
  <c r="J182" i="3" s="1"/>
  <c r="E182" i="3"/>
  <c r="D182" i="3"/>
  <c r="C182" i="3"/>
  <c r="H181" i="3"/>
  <c r="F181" i="3"/>
  <c r="E181" i="3"/>
  <c r="D181" i="3"/>
  <c r="C181" i="3"/>
  <c r="J181" i="3" s="1"/>
  <c r="F180" i="3"/>
  <c r="J180" i="3" s="1"/>
  <c r="E180" i="3"/>
  <c r="H180" i="3" s="1"/>
  <c r="D180" i="3"/>
  <c r="C180" i="3"/>
  <c r="H179" i="3"/>
  <c r="F179" i="3"/>
  <c r="E179" i="3"/>
  <c r="D179" i="3"/>
  <c r="C179" i="3"/>
  <c r="J179" i="3" s="1"/>
  <c r="F178" i="3"/>
  <c r="J178" i="3" s="1"/>
  <c r="E178" i="3"/>
  <c r="H178" i="3" s="1"/>
  <c r="D178" i="3"/>
  <c r="C178" i="3"/>
  <c r="H177" i="3"/>
  <c r="F177" i="3"/>
  <c r="E177" i="3"/>
  <c r="D177" i="3"/>
  <c r="C177" i="3"/>
  <c r="J177" i="3" s="1"/>
  <c r="H176" i="3"/>
  <c r="F176" i="3"/>
  <c r="J176" i="3" s="1"/>
  <c r="E176" i="3"/>
  <c r="D176" i="3"/>
  <c r="C176" i="3"/>
  <c r="H175" i="3"/>
  <c r="F175" i="3"/>
  <c r="E175" i="3"/>
  <c r="D175" i="3"/>
  <c r="C175" i="3"/>
  <c r="J175" i="3" s="1"/>
  <c r="H174" i="3"/>
  <c r="F174" i="3"/>
  <c r="J174" i="3" s="1"/>
  <c r="E174" i="3"/>
  <c r="D174" i="3"/>
  <c r="C174" i="3"/>
  <c r="H173" i="3"/>
  <c r="F173" i="3"/>
  <c r="E173" i="3"/>
  <c r="D173" i="3"/>
  <c r="C173" i="3"/>
  <c r="J173" i="3" s="1"/>
  <c r="F172" i="3"/>
  <c r="J172" i="3" s="1"/>
  <c r="E172" i="3"/>
  <c r="H172" i="3" s="1"/>
  <c r="D172" i="3"/>
  <c r="C172" i="3"/>
  <c r="H171" i="3"/>
  <c r="F171" i="3"/>
  <c r="E171" i="3"/>
  <c r="D171" i="3"/>
  <c r="C171" i="3"/>
  <c r="J171" i="3" s="1"/>
  <c r="H170" i="3"/>
  <c r="F170" i="3"/>
  <c r="J170" i="3" s="1"/>
  <c r="E170" i="3"/>
  <c r="D170" i="3"/>
  <c r="C170" i="3"/>
  <c r="H169" i="3"/>
  <c r="F169" i="3"/>
  <c r="E169" i="3"/>
  <c r="D169" i="3"/>
  <c r="C169" i="3"/>
  <c r="J169" i="3" s="1"/>
  <c r="F168" i="3"/>
  <c r="J168" i="3" s="1"/>
  <c r="E168" i="3"/>
  <c r="H168" i="3" s="1"/>
  <c r="D168" i="3"/>
  <c r="C168" i="3"/>
  <c r="H167" i="3"/>
  <c r="F167" i="3"/>
  <c r="E167" i="3"/>
  <c r="D167" i="3"/>
  <c r="C167" i="3"/>
  <c r="J167" i="3" s="1"/>
  <c r="F166" i="3"/>
  <c r="J166" i="3" s="1"/>
  <c r="E166" i="3"/>
  <c r="H166" i="3" s="1"/>
  <c r="D166" i="3"/>
  <c r="C166" i="3"/>
  <c r="H165" i="3"/>
  <c r="F165" i="3"/>
  <c r="E165" i="3"/>
  <c r="D165" i="3"/>
  <c r="C165" i="3"/>
  <c r="J165" i="3" s="1"/>
  <c r="H164" i="3"/>
  <c r="F164" i="3"/>
  <c r="J164" i="3" s="1"/>
  <c r="E164" i="3"/>
  <c r="D164" i="3"/>
  <c r="C164" i="3"/>
  <c r="H163" i="3"/>
  <c r="F163" i="3"/>
  <c r="E163" i="3"/>
  <c r="D163" i="3"/>
  <c r="C163" i="3"/>
  <c r="J163" i="3" s="1"/>
  <c r="H162" i="3"/>
  <c r="F162" i="3"/>
  <c r="J162" i="3" s="1"/>
  <c r="E162" i="3"/>
  <c r="D162" i="3"/>
  <c r="C162" i="3"/>
  <c r="H161" i="3"/>
  <c r="F161" i="3"/>
  <c r="E161" i="3"/>
  <c r="D161" i="3"/>
  <c r="C161" i="3"/>
  <c r="J161" i="3" s="1"/>
  <c r="F160" i="3"/>
  <c r="J160" i="3" s="1"/>
  <c r="E160" i="3"/>
  <c r="H160" i="3" s="1"/>
  <c r="D160" i="3"/>
  <c r="C160" i="3"/>
  <c r="H159" i="3"/>
  <c r="F159" i="3"/>
  <c r="E159" i="3"/>
  <c r="D159" i="3"/>
  <c r="C159" i="3"/>
  <c r="J159" i="3" s="1"/>
  <c r="H158" i="3"/>
  <c r="F158" i="3"/>
  <c r="J158" i="3" s="1"/>
  <c r="E158" i="3"/>
  <c r="D158" i="3"/>
  <c r="C158" i="3"/>
  <c r="H157" i="3"/>
  <c r="F157" i="3"/>
  <c r="E157" i="3"/>
  <c r="D157" i="3"/>
  <c r="C157" i="3"/>
  <c r="J157" i="3" s="1"/>
  <c r="F156" i="3"/>
  <c r="J156" i="3" s="1"/>
  <c r="E156" i="3"/>
  <c r="H156" i="3" s="1"/>
  <c r="D156" i="3"/>
  <c r="C156" i="3"/>
  <c r="H155" i="3"/>
  <c r="F155" i="3"/>
  <c r="E155" i="3"/>
  <c r="D155" i="3"/>
  <c r="C155" i="3"/>
  <c r="J155" i="3" s="1"/>
  <c r="F154" i="3"/>
  <c r="J154" i="3" s="1"/>
  <c r="E154" i="3"/>
  <c r="H154" i="3" s="1"/>
  <c r="D154" i="3"/>
  <c r="C154" i="3"/>
  <c r="H153" i="3"/>
  <c r="F153" i="3"/>
  <c r="E153" i="3"/>
  <c r="D153" i="3"/>
  <c r="C153" i="3"/>
  <c r="J153" i="3" s="1"/>
  <c r="H152" i="3"/>
  <c r="F152" i="3"/>
  <c r="J152" i="3" s="1"/>
  <c r="E152" i="3"/>
  <c r="D152" i="3"/>
  <c r="C152" i="3"/>
  <c r="H151" i="3"/>
  <c r="F151" i="3"/>
  <c r="E151" i="3"/>
  <c r="D151" i="3"/>
  <c r="C151" i="3"/>
  <c r="J151" i="3" s="1"/>
  <c r="H150" i="3"/>
  <c r="F150" i="3"/>
  <c r="J150" i="3" s="1"/>
  <c r="E150" i="3"/>
  <c r="D150" i="3"/>
  <c r="C150" i="3"/>
  <c r="H149" i="3"/>
  <c r="F149" i="3"/>
  <c r="E149" i="3"/>
  <c r="D149" i="3"/>
  <c r="C149" i="3"/>
  <c r="J149" i="3" s="1"/>
  <c r="F148" i="3"/>
  <c r="J148" i="3" s="1"/>
  <c r="E148" i="3"/>
  <c r="H148" i="3" s="1"/>
  <c r="D148" i="3"/>
  <c r="C148" i="3"/>
  <c r="H147" i="3"/>
  <c r="F147" i="3"/>
  <c r="E147" i="3"/>
  <c r="D147" i="3"/>
  <c r="C147" i="3"/>
  <c r="J147" i="3" s="1"/>
  <c r="H146" i="3"/>
  <c r="F146" i="3"/>
  <c r="J146" i="3" s="1"/>
  <c r="E146" i="3"/>
  <c r="D146" i="3"/>
  <c r="C146" i="3"/>
  <c r="H145" i="3"/>
  <c r="F145" i="3"/>
  <c r="E145" i="3"/>
  <c r="D145" i="3"/>
  <c r="C145" i="3"/>
  <c r="J145" i="3" s="1"/>
  <c r="F144" i="3"/>
  <c r="J144" i="3" s="1"/>
  <c r="E144" i="3"/>
  <c r="H144" i="3" s="1"/>
  <c r="D144" i="3"/>
  <c r="C144" i="3"/>
  <c r="H143" i="3"/>
  <c r="F143" i="3"/>
  <c r="E143" i="3"/>
  <c r="D143" i="3"/>
  <c r="C143" i="3"/>
  <c r="J143" i="3" s="1"/>
  <c r="F142" i="3"/>
  <c r="J142" i="3" s="1"/>
  <c r="E142" i="3"/>
  <c r="H142" i="3" s="1"/>
  <c r="D142" i="3"/>
  <c r="C142" i="3"/>
  <c r="H141" i="3"/>
  <c r="F141" i="3"/>
  <c r="E141" i="3"/>
  <c r="D141" i="3"/>
  <c r="C141" i="3"/>
  <c r="J141" i="3" s="1"/>
  <c r="H140" i="3"/>
  <c r="F140" i="3"/>
  <c r="J140" i="3" s="1"/>
  <c r="E140" i="3"/>
  <c r="D140" i="3"/>
  <c r="C140" i="3"/>
  <c r="H139" i="3"/>
  <c r="F139" i="3"/>
  <c r="E139" i="3"/>
  <c r="D139" i="3"/>
  <c r="C139" i="3"/>
  <c r="J139" i="3" s="1"/>
  <c r="H138" i="3"/>
  <c r="F138" i="3"/>
  <c r="J138" i="3" s="1"/>
  <c r="E138" i="3"/>
  <c r="D138" i="3"/>
  <c r="C138" i="3"/>
  <c r="H137" i="3"/>
  <c r="F137" i="3"/>
  <c r="E137" i="3"/>
  <c r="D137" i="3"/>
  <c r="C137" i="3"/>
  <c r="J137" i="3" s="1"/>
  <c r="F136" i="3"/>
  <c r="J136" i="3" s="1"/>
  <c r="E136" i="3"/>
  <c r="H136" i="3" s="1"/>
  <c r="D136" i="3"/>
  <c r="C136" i="3"/>
  <c r="H135" i="3"/>
  <c r="F135" i="3"/>
  <c r="E135" i="3"/>
  <c r="D135" i="3"/>
  <c r="C135" i="3"/>
  <c r="J135" i="3" s="1"/>
  <c r="H134" i="3"/>
  <c r="F134" i="3"/>
  <c r="J134" i="3" s="1"/>
  <c r="E134" i="3"/>
  <c r="D134" i="3"/>
  <c r="C134" i="3"/>
  <c r="H133" i="3"/>
  <c r="F133" i="3"/>
  <c r="E133" i="3"/>
  <c r="D133" i="3"/>
  <c r="C133" i="3"/>
  <c r="J133" i="3" s="1"/>
  <c r="F132" i="3"/>
  <c r="J132" i="3" s="1"/>
  <c r="E132" i="3"/>
  <c r="H132" i="3" s="1"/>
  <c r="D132" i="3"/>
  <c r="C132" i="3"/>
  <c r="H131" i="3"/>
  <c r="F131" i="3"/>
  <c r="E131" i="3"/>
  <c r="D131" i="3"/>
  <c r="C131" i="3"/>
  <c r="J131" i="3" s="1"/>
  <c r="F130" i="3"/>
  <c r="J130" i="3" s="1"/>
  <c r="E130" i="3"/>
  <c r="H130" i="3" s="1"/>
  <c r="D130" i="3"/>
  <c r="C130" i="3"/>
  <c r="H129" i="3"/>
  <c r="F129" i="3"/>
  <c r="E129" i="3"/>
  <c r="D129" i="3"/>
  <c r="C129" i="3"/>
  <c r="J129" i="3" s="1"/>
  <c r="H128" i="3"/>
  <c r="F128" i="3"/>
  <c r="J128" i="3" s="1"/>
  <c r="E128" i="3"/>
  <c r="D128" i="3"/>
  <c r="C128" i="3"/>
  <c r="H127" i="3"/>
  <c r="F127" i="3"/>
  <c r="E127" i="3"/>
  <c r="D127" i="3"/>
  <c r="C127" i="3"/>
  <c r="J127" i="3" s="1"/>
  <c r="H126" i="3"/>
  <c r="F126" i="3"/>
  <c r="J126" i="3" s="1"/>
  <c r="E126" i="3"/>
  <c r="D126" i="3"/>
  <c r="C126" i="3"/>
  <c r="H125" i="3"/>
  <c r="F125" i="3"/>
  <c r="E125" i="3"/>
  <c r="D125" i="3"/>
  <c r="C125" i="3"/>
  <c r="J125" i="3" s="1"/>
  <c r="F124" i="3"/>
  <c r="J124" i="3" s="1"/>
  <c r="E124" i="3"/>
  <c r="H124" i="3" s="1"/>
  <c r="D124" i="3"/>
  <c r="C124" i="3"/>
  <c r="H123" i="3"/>
  <c r="F123" i="3"/>
  <c r="E123" i="3"/>
  <c r="D123" i="3"/>
  <c r="C123" i="3"/>
  <c r="J123" i="3" s="1"/>
  <c r="H122" i="3"/>
  <c r="F122" i="3"/>
  <c r="J122" i="3" s="1"/>
  <c r="E122" i="3"/>
  <c r="D122" i="3"/>
  <c r="C122" i="3"/>
  <c r="H121" i="3"/>
  <c r="F121" i="3"/>
  <c r="E121" i="3"/>
  <c r="D121" i="3"/>
  <c r="C121" i="3"/>
  <c r="J121" i="3" s="1"/>
  <c r="F120" i="3"/>
  <c r="J120" i="3" s="1"/>
  <c r="E120" i="3"/>
  <c r="H120" i="3" s="1"/>
  <c r="D120" i="3"/>
  <c r="C120" i="3"/>
  <c r="H119" i="3"/>
  <c r="F119" i="3"/>
  <c r="E119" i="3"/>
  <c r="D119" i="3"/>
  <c r="C119" i="3"/>
  <c r="J119" i="3" s="1"/>
  <c r="F118" i="3"/>
  <c r="J118" i="3" s="1"/>
  <c r="E118" i="3"/>
  <c r="H118" i="3" s="1"/>
  <c r="D118" i="3"/>
  <c r="C118" i="3"/>
  <c r="H117" i="3"/>
  <c r="F117" i="3"/>
  <c r="E117" i="3"/>
  <c r="D117" i="3"/>
  <c r="C117" i="3"/>
  <c r="J117" i="3" s="1"/>
  <c r="H116" i="3"/>
  <c r="F116" i="3"/>
  <c r="J116" i="3" s="1"/>
  <c r="E116" i="3"/>
  <c r="D116" i="3"/>
  <c r="C116" i="3"/>
  <c r="H115" i="3"/>
  <c r="F115" i="3"/>
  <c r="E115" i="3"/>
  <c r="D115" i="3"/>
  <c r="C115" i="3"/>
  <c r="J115" i="3" s="1"/>
  <c r="H114" i="3"/>
  <c r="F114" i="3"/>
  <c r="J114" i="3" s="1"/>
  <c r="E114" i="3"/>
  <c r="D114" i="3"/>
  <c r="C114" i="3"/>
  <c r="H113" i="3"/>
  <c r="F113" i="3"/>
  <c r="E113" i="3"/>
  <c r="D113" i="3"/>
  <c r="C113" i="3"/>
  <c r="J113" i="3" s="1"/>
  <c r="F112" i="3"/>
  <c r="J112" i="3" s="1"/>
  <c r="E112" i="3"/>
  <c r="H112" i="3" s="1"/>
  <c r="D112" i="3"/>
  <c r="C112" i="3"/>
  <c r="H111" i="3"/>
  <c r="F111" i="3"/>
  <c r="E111" i="3"/>
  <c r="D111" i="3"/>
  <c r="C111" i="3"/>
  <c r="J111" i="3" s="1"/>
  <c r="H110" i="3"/>
  <c r="F110" i="3"/>
  <c r="J110" i="3" s="1"/>
  <c r="E110" i="3"/>
  <c r="D110" i="3"/>
  <c r="C110" i="3"/>
  <c r="H109" i="3"/>
  <c r="F109" i="3"/>
  <c r="E109" i="3"/>
  <c r="D109" i="3"/>
  <c r="C109" i="3"/>
  <c r="J109" i="3" s="1"/>
  <c r="F108" i="3"/>
  <c r="J108" i="3" s="1"/>
  <c r="E108" i="3"/>
  <c r="H108" i="3" s="1"/>
  <c r="D108" i="3"/>
  <c r="C108" i="3"/>
  <c r="H107" i="3"/>
  <c r="F107" i="3"/>
  <c r="E107" i="3"/>
  <c r="D107" i="3"/>
  <c r="C107" i="3"/>
  <c r="J107" i="3" s="1"/>
  <c r="F106" i="3"/>
  <c r="J106" i="3" s="1"/>
  <c r="E106" i="3"/>
  <c r="H106" i="3" s="1"/>
  <c r="D106" i="3"/>
  <c r="C106" i="3"/>
  <c r="H105" i="3"/>
  <c r="F105" i="3"/>
  <c r="E105" i="3"/>
  <c r="D105" i="3"/>
  <c r="C105" i="3"/>
  <c r="J105" i="3" s="1"/>
  <c r="H104" i="3"/>
  <c r="F104" i="3"/>
  <c r="J104" i="3" s="1"/>
  <c r="E104" i="3"/>
  <c r="D104" i="3"/>
  <c r="C104" i="3"/>
  <c r="H103" i="3"/>
  <c r="F103" i="3"/>
  <c r="E103" i="3"/>
  <c r="D103" i="3"/>
  <c r="C103" i="3"/>
  <c r="J103" i="3" s="1"/>
  <c r="H102" i="3"/>
  <c r="F102" i="3"/>
  <c r="J102" i="3" s="1"/>
  <c r="E102" i="3"/>
  <c r="D102" i="3"/>
  <c r="C102" i="3"/>
  <c r="F101" i="3"/>
  <c r="E101" i="3"/>
  <c r="H101" i="3" s="1"/>
  <c r="D101" i="3"/>
  <c r="C101" i="3"/>
  <c r="J101" i="3" s="1"/>
  <c r="I100" i="3"/>
  <c r="H100" i="3"/>
  <c r="F100" i="3"/>
  <c r="J100" i="3" s="1"/>
  <c r="E100" i="3"/>
  <c r="D100" i="3"/>
  <c r="C100" i="3"/>
  <c r="F99" i="3"/>
  <c r="E99" i="3"/>
  <c r="H99" i="3" s="1"/>
  <c r="D99" i="3"/>
  <c r="C99" i="3"/>
  <c r="J99" i="3" s="1"/>
  <c r="H98" i="3"/>
  <c r="F98" i="3"/>
  <c r="J98" i="3" s="1"/>
  <c r="E98" i="3"/>
  <c r="D98" i="3"/>
  <c r="C98" i="3"/>
  <c r="F97" i="3"/>
  <c r="E97" i="3"/>
  <c r="H97" i="3" s="1"/>
  <c r="D97" i="3"/>
  <c r="C97" i="3"/>
  <c r="J97" i="3" s="1"/>
  <c r="H96" i="3"/>
  <c r="F96" i="3"/>
  <c r="J96" i="3" s="1"/>
  <c r="E96" i="3"/>
  <c r="D96" i="3"/>
  <c r="C96" i="3"/>
  <c r="F95" i="3"/>
  <c r="E95" i="3"/>
  <c r="H95" i="3" s="1"/>
  <c r="D95" i="3"/>
  <c r="C95" i="3"/>
  <c r="J95" i="3" s="1"/>
  <c r="H94" i="3"/>
  <c r="F94" i="3"/>
  <c r="J94" i="3" s="1"/>
  <c r="E94" i="3"/>
  <c r="D94" i="3"/>
  <c r="C94" i="3"/>
  <c r="F93" i="3"/>
  <c r="E93" i="3"/>
  <c r="H93" i="3" s="1"/>
  <c r="D93" i="3"/>
  <c r="C93" i="3"/>
  <c r="J93" i="3" s="1"/>
  <c r="J92" i="3"/>
  <c r="H92" i="3"/>
  <c r="F92" i="3"/>
  <c r="E92" i="3"/>
  <c r="D92" i="3"/>
  <c r="C92" i="3"/>
  <c r="F91" i="3"/>
  <c r="E91" i="3"/>
  <c r="H91" i="3" s="1"/>
  <c r="D91" i="3"/>
  <c r="C91" i="3"/>
  <c r="J91" i="3" s="1"/>
  <c r="H90" i="3"/>
  <c r="F90" i="3"/>
  <c r="J90" i="3" s="1"/>
  <c r="E90" i="3"/>
  <c r="D90" i="3"/>
  <c r="C90" i="3"/>
  <c r="F89" i="3"/>
  <c r="E89" i="3"/>
  <c r="H89" i="3" s="1"/>
  <c r="D89" i="3"/>
  <c r="C89" i="3"/>
  <c r="J89" i="3" s="1"/>
  <c r="J88" i="3"/>
  <c r="H88" i="3"/>
  <c r="F88" i="3"/>
  <c r="E88" i="3"/>
  <c r="D88" i="3"/>
  <c r="C88" i="3"/>
  <c r="F87" i="3"/>
  <c r="E87" i="3"/>
  <c r="H87" i="3" s="1"/>
  <c r="D87" i="3"/>
  <c r="C87" i="3"/>
  <c r="J87" i="3" s="1"/>
  <c r="H86" i="3"/>
  <c r="F86" i="3"/>
  <c r="J86" i="3" s="1"/>
  <c r="E86" i="3"/>
  <c r="D86" i="3"/>
  <c r="C86" i="3"/>
  <c r="F85" i="3"/>
  <c r="E85" i="3"/>
  <c r="H85" i="3" s="1"/>
  <c r="D85" i="3"/>
  <c r="C85" i="3"/>
  <c r="J85" i="3" s="1"/>
  <c r="H84" i="3"/>
  <c r="F84" i="3"/>
  <c r="J84" i="3" s="1"/>
  <c r="E84" i="3"/>
  <c r="D84" i="3"/>
  <c r="C84" i="3"/>
  <c r="F83" i="3"/>
  <c r="E83" i="3"/>
  <c r="H83" i="3" s="1"/>
  <c r="D83" i="3"/>
  <c r="C83" i="3"/>
  <c r="J83" i="3" s="1"/>
  <c r="H82" i="3"/>
  <c r="F82" i="3"/>
  <c r="J82" i="3" s="1"/>
  <c r="E82" i="3"/>
  <c r="D82" i="3"/>
  <c r="C82" i="3"/>
  <c r="F81" i="3"/>
  <c r="E81" i="3"/>
  <c r="H81" i="3" s="1"/>
  <c r="D81" i="3"/>
  <c r="C81" i="3"/>
  <c r="J81" i="3" s="1"/>
  <c r="J80" i="3"/>
  <c r="H80" i="3"/>
  <c r="F80" i="3"/>
  <c r="E80" i="3"/>
  <c r="D80" i="3"/>
  <c r="C80" i="3"/>
  <c r="F79" i="3"/>
  <c r="E79" i="3"/>
  <c r="H79" i="3" s="1"/>
  <c r="D79" i="3"/>
  <c r="C79" i="3"/>
  <c r="J79" i="3" s="1"/>
  <c r="H78" i="3"/>
  <c r="F78" i="3"/>
  <c r="J78" i="3" s="1"/>
  <c r="E78" i="3"/>
  <c r="D78" i="3"/>
  <c r="C78" i="3"/>
  <c r="F77" i="3"/>
  <c r="E77" i="3"/>
  <c r="H77" i="3" s="1"/>
  <c r="D77" i="3"/>
  <c r="C77" i="3"/>
  <c r="J77" i="3" s="1"/>
  <c r="J76" i="3"/>
  <c r="H76" i="3"/>
  <c r="F76" i="3"/>
  <c r="E76" i="3"/>
  <c r="D76" i="3"/>
  <c r="C76" i="3"/>
  <c r="F75" i="3"/>
  <c r="E75" i="3"/>
  <c r="H75" i="3" s="1"/>
  <c r="D75" i="3"/>
  <c r="C75" i="3"/>
  <c r="J75" i="3" s="1"/>
  <c r="H74" i="3"/>
  <c r="F74" i="3"/>
  <c r="J74" i="3" s="1"/>
  <c r="E74" i="3"/>
  <c r="D74" i="3"/>
  <c r="C74" i="3"/>
  <c r="F73" i="3"/>
  <c r="E73" i="3"/>
  <c r="H73" i="3" s="1"/>
  <c r="I73" i="3" s="1"/>
  <c r="D73" i="3"/>
  <c r="C73" i="3"/>
  <c r="J73" i="3" s="1"/>
  <c r="J72" i="3"/>
  <c r="H72" i="3"/>
  <c r="F72" i="3"/>
  <c r="E72" i="3"/>
  <c r="D72" i="3"/>
  <c r="C72" i="3"/>
  <c r="F71" i="3"/>
  <c r="E71" i="3"/>
  <c r="H71" i="3" s="1"/>
  <c r="D71" i="3"/>
  <c r="C71" i="3"/>
  <c r="J71" i="3" s="1"/>
  <c r="J70" i="3"/>
  <c r="H70" i="3"/>
  <c r="F70" i="3"/>
  <c r="E70" i="3"/>
  <c r="D70" i="3"/>
  <c r="C70" i="3"/>
  <c r="F69" i="3"/>
  <c r="E69" i="3"/>
  <c r="H69" i="3" s="1"/>
  <c r="D69" i="3"/>
  <c r="C69" i="3"/>
  <c r="J69" i="3" s="1"/>
  <c r="J68" i="3"/>
  <c r="H68" i="3"/>
  <c r="F68" i="3"/>
  <c r="E68" i="3"/>
  <c r="D68" i="3"/>
  <c r="C68" i="3"/>
  <c r="F67" i="3"/>
  <c r="E67" i="3"/>
  <c r="H67" i="3" s="1"/>
  <c r="D67" i="3"/>
  <c r="C67" i="3"/>
  <c r="J67" i="3" s="1"/>
  <c r="J66" i="3"/>
  <c r="H66" i="3"/>
  <c r="F66" i="3"/>
  <c r="E66" i="3"/>
  <c r="D66" i="3"/>
  <c r="C66" i="3"/>
  <c r="F65" i="3"/>
  <c r="E65" i="3"/>
  <c r="H65" i="3" s="1"/>
  <c r="D65" i="3"/>
  <c r="C65" i="3"/>
  <c r="J65" i="3" s="1"/>
  <c r="J64" i="3"/>
  <c r="I64" i="3"/>
  <c r="H64" i="3"/>
  <c r="F64" i="3"/>
  <c r="E64" i="3"/>
  <c r="D64" i="3"/>
  <c r="C64" i="3"/>
  <c r="F63" i="3"/>
  <c r="E63" i="3"/>
  <c r="H63" i="3" s="1"/>
  <c r="D63" i="3"/>
  <c r="C63" i="3"/>
  <c r="J63" i="3" s="1"/>
  <c r="J62" i="3"/>
  <c r="H62" i="3"/>
  <c r="F62" i="3"/>
  <c r="E62" i="3"/>
  <c r="D62" i="3"/>
  <c r="C62" i="3"/>
  <c r="F61" i="3"/>
  <c r="E61" i="3"/>
  <c r="H61" i="3" s="1"/>
  <c r="D61" i="3"/>
  <c r="C61" i="3"/>
  <c r="J61" i="3" s="1"/>
  <c r="J60" i="3"/>
  <c r="H60" i="3"/>
  <c r="F60" i="3"/>
  <c r="E60" i="3"/>
  <c r="D60" i="3"/>
  <c r="C60" i="3"/>
  <c r="F59" i="3"/>
  <c r="E59" i="3"/>
  <c r="H59" i="3" s="1"/>
  <c r="D59" i="3"/>
  <c r="C59" i="3"/>
  <c r="J59" i="3" s="1"/>
  <c r="J58" i="3"/>
  <c r="H58" i="3"/>
  <c r="F58" i="3"/>
  <c r="E58" i="3"/>
  <c r="D58" i="3"/>
  <c r="C58" i="3"/>
  <c r="F57" i="3"/>
  <c r="E57" i="3"/>
  <c r="H57" i="3" s="1"/>
  <c r="D57" i="3"/>
  <c r="C57" i="3"/>
  <c r="J57" i="3" s="1"/>
  <c r="J56" i="3"/>
  <c r="H56" i="3"/>
  <c r="F56" i="3"/>
  <c r="E56" i="3"/>
  <c r="D56" i="3"/>
  <c r="C56" i="3"/>
  <c r="F55" i="3"/>
  <c r="E55" i="3"/>
  <c r="H55" i="3" s="1"/>
  <c r="D55" i="3"/>
  <c r="C55" i="3"/>
  <c r="J55" i="3" s="1"/>
  <c r="J54" i="3"/>
  <c r="H54" i="3"/>
  <c r="F54" i="3"/>
  <c r="E54" i="3"/>
  <c r="D54" i="3"/>
  <c r="C54" i="3"/>
  <c r="F53" i="3"/>
  <c r="E53" i="3"/>
  <c r="H53" i="3" s="1"/>
  <c r="D53" i="3"/>
  <c r="C53" i="3"/>
  <c r="J53" i="3" s="1"/>
  <c r="J52" i="3"/>
  <c r="H52" i="3"/>
  <c r="F52" i="3"/>
  <c r="E52" i="3"/>
  <c r="D52" i="3"/>
  <c r="C52" i="3"/>
  <c r="F51" i="3"/>
  <c r="E51" i="3"/>
  <c r="H51" i="3" s="1"/>
  <c r="D51" i="3"/>
  <c r="C51" i="3"/>
  <c r="J51" i="3" s="1"/>
  <c r="J50" i="3"/>
  <c r="F50" i="3"/>
  <c r="E50" i="3"/>
  <c r="H50" i="3" s="1"/>
  <c r="D50" i="3"/>
  <c r="C50" i="3"/>
  <c r="F49" i="3"/>
  <c r="E49" i="3"/>
  <c r="H49" i="3" s="1"/>
  <c r="D49" i="3"/>
  <c r="C49" i="3"/>
  <c r="J48" i="3"/>
  <c r="F48" i="3"/>
  <c r="E48" i="3"/>
  <c r="H48" i="3" s="1"/>
  <c r="D48" i="3"/>
  <c r="C48" i="3"/>
  <c r="F47" i="3"/>
  <c r="E47" i="3"/>
  <c r="H47" i="3" s="1"/>
  <c r="D47" i="3"/>
  <c r="C47" i="3"/>
  <c r="J46" i="3"/>
  <c r="F46" i="3"/>
  <c r="E46" i="3"/>
  <c r="H46" i="3" s="1"/>
  <c r="D46" i="3"/>
  <c r="C46" i="3"/>
  <c r="F45" i="3"/>
  <c r="E45" i="3"/>
  <c r="H45" i="3" s="1"/>
  <c r="D45" i="3"/>
  <c r="C45" i="3"/>
  <c r="J45" i="3" s="1"/>
  <c r="J44" i="3"/>
  <c r="F44" i="3"/>
  <c r="E44" i="3"/>
  <c r="H44" i="3" s="1"/>
  <c r="D44" i="3"/>
  <c r="C44" i="3"/>
  <c r="F43" i="3"/>
  <c r="E43" i="3"/>
  <c r="H43" i="3" s="1"/>
  <c r="D43" i="3"/>
  <c r="C43" i="3"/>
  <c r="J43" i="3" s="1"/>
  <c r="J42" i="3"/>
  <c r="F42" i="3"/>
  <c r="E42" i="3"/>
  <c r="H42" i="3" s="1"/>
  <c r="D42" i="3"/>
  <c r="C42" i="3"/>
  <c r="F41" i="3"/>
  <c r="E41" i="3"/>
  <c r="H41" i="3" s="1"/>
  <c r="D41" i="3"/>
  <c r="C41" i="3"/>
  <c r="J40" i="3"/>
  <c r="F40" i="3"/>
  <c r="E40" i="3"/>
  <c r="H40" i="3" s="1"/>
  <c r="D40" i="3"/>
  <c r="C40" i="3"/>
  <c r="F39" i="3"/>
  <c r="E39" i="3"/>
  <c r="H39" i="3" s="1"/>
  <c r="D39" i="3"/>
  <c r="C39" i="3"/>
  <c r="J38" i="3"/>
  <c r="F38" i="3"/>
  <c r="E38" i="3"/>
  <c r="H38" i="3" s="1"/>
  <c r="D38" i="3"/>
  <c r="C38" i="3"/>
  <c r="F37" i="3"/>
  <c r="E37" i="3"/>
  <c r="H37" i="3" s="1"/>
  <c r="D37" i="3"/>
  <c r="C37" i="3"/>
  <c r="J37" i="3" s="1"/>
  <c r="J36" i="3"/>
  <c r="F36" i="3"/>
  <c r="E36" i="3"/>
  <c r="H36" i="3" s="1"/>
  <c r="D36" i="3"/>
  <c r="C36" i="3"/>
  <c r="F35" i="3"/>
  <c r="E35" i="3"/>
  <c r="H35" i="3" s="1"/>
  <c r="D35" i="3"/>
  <c r="C35" i="3"/>
  <c r="J35" i="3" s="1"/>
  <c r="J34" i="3"/>
  <c r="F34" i="3"/>
  <c r="E34" i="3"/>
  <c r="H34" i="3" s="1"/>
  <c r="D34" i="3"/>
  <c r="C34" i="3"/>
  <c r="F33" i="3"/>
  <c r="E33" i="3"/>
  <c r="H33" i="3" s="1"/>
  <c r="D33" i="3"/>
  <c r="C33" i="3"/>
  <c r="J32" i="3"/>
  <c r="F32" i="3"/>
  <c r="E32" i="3"/>
  <c r="H32" i="3" s="1"/>
  <c r="D32" i="3"/>
  <c r="C32" i="3"/>
  <c r="F31" i="3"/>
  <c r="E31" i="3"/>
  <c r="H31" i="3" s="1"/>
  <c r="D31" i="3"/>
  <c r="C31" i="3"/>
  <c r="J30" i="3"/>
  <c r="F30" i="3"/>
  <c r="E30" i="3"/>
  <c r="H30" i="3" s="1"/>
  <c r="D30" i="3"/>
  <c r="C30" i="3"/>
  <c r="F29" i="3"/>
  <c r="E29" i="3"/>
  <c r="H29" i="3" s="1"/>
  <c r="D29" i="3"/>
  <c r="C29" i="3"/>
  <c r="J29" i="3" s="1"/>
  <c r="J28" i="3"/>
  <c r="F28" i="3"/>
  <c r="E28" i="3"/>
  <c r="H28" i="3" s="1"/>
  <c r="D28" i="3"/>
  <c r="C28" i="3"/>
  <c r="F27" i="3"/>
  <c r="E27" i="3"/>
  <c r="H27" i="3" s="1"/>
  <c r="D27" i="3"/>
  <c r="C27" i="3"/>
  <c r="J27" i="3" s="1"/>
  <c r="J26" i="3"/>
  <c r="F26" i="3"/>
  <c r="E26" i="3"/>
  <c r="H26" i="3" s="1"/>
  <c r="D26" i="3"/>
  <c r="C26" i="3"/>
  <c r="F25" i="3"/>
  <c r="E25" i="3"/>
  <c r="H25" i="3" s="1"/>
  <c r="D25" i="3"/>
  <c r="C25" i="3"/>
  <c r="J24" i="3"/>
  <c r="F24" i="3"/>
  <c r="E24" i="3"/>
  <c r="H24" i="3" s="1"/>
  <c r="D24" i="3"/>
  <c r="C24" i="3"/>
  <c r="F23" i="3"/>
  <c r="E23" i="3"/>
  <c r="H23" i="3" s="1"/>
  <c r="D23" i="3"/>
  <c r="C23" i="3"/>
  <c r="J22" i="3"/>
  <c r="F22" i="3"/>
  <c r="E22" i="3"/>
  <c r="H22" i="3" s="1"/>
  <c r="D22" i="3"/>
  <c r="C22" i="3"/>
  <c r="F21" i="3"/>
  <c r="E21" i="3"/>
  <c r="H21" i="3" s="1"/>
  <c r="D21" i="3"/>
  <c r="C21" i="3"/>
  <c r="J21" i="3" s="1"/>
  <c r="J20" i="3"/>
  <c r="F20" i="3"/>
  <c r="E20" i="3"/>
  <c r="H20" i="3" s="1"/>
  <c r="D20" i="3"/>
  <c r="C20" i="3"/>
  <c r="F19" i="3"/>
  <c r="E19" i="3"/>
  <c r="H19" i="3" s="1"/>
  <c r="D19" i="3"/>
  <c r="C19" i="3"/>
  <c r="J19" i="3" s="1"/>
  <c r="J18" i="3"/>
  <c r="F18" i="3"/>
  <c r="E18" i="3"/>
  <c r="H18" i="3" s="1"/>
  <c r="D18" i="3"/>
  <c r="C18" i="3"/>
  <c r="F17" i="3"/>
  <c r="E17" i="3"/>
  <c r="H17" i="3" s="1"/>
  <c r="D17" i="3"/>
  <c r="C17" i="3"/>
  <c r="J16" i="3"/>
  <c r="F16" i="3"/>
  <c r="E16" i="3"/>
  <c r="H16" i="3" s="1"/>
  <c r="D16" i="3"/>
  <c r="C16" i="3"/>
  <c r="F15" i="3"/>
  <c r="E15" i="3"/>
  <c r="H15" i="3" s="1"/>
  <c r="D15" i="3"/>
  <c r="C15" i="3"/>
  <c r="J14" i="3"/>
  <c r="F14" i="3"/>
  <c r="E14" i="3"/>
  <c r="H14" i="3" s="1"/>
  <c r="D14" i="3"/>
  <c r="C14" i="3"/>
  <c r="F13" i="3"/>
  <c r="E13" i="3"/>
  <c r="H13" i="3" s="1"/>
  <c r="D13" i="3"/>
  <c r="C13" i="3"/>
  <c r="J13" i="3" s="1"/>
  <c r="J12" i="3"/>
  <c r="F12" i="3"/>
  <c r="E12" i="3"/>
  <c r="H12" i="3" s="1"/>
  <c r="D12" i="3"/>
  <c r="C12" i="3"/>
  <c r="F11" i="3"/>
  <c r="E11" i="3"/>
  <c r="H11" i="3" s="1"/>
  <c r="D11" i="3"/>
  <c r="C11" i="3"/>
  <c r="J11" i="3" s="1"/>
  <c r="J10" i="3"/>
  <c r="F10" i="3"/>
  <c r="E10" i="3"/>
  <c r="H10" i="3" s="1"/>
  <c r="D10" i="3"/>
  <c r="C10" i="3"/>
  <c r="F9" i="3"/>
  <c r="E9" i="3"/>
  <c r="H9" i="3" s="1"/>
  <c r="D9" i="3"/>
  <c r="C9" i="3"/>
  <c r="J8" i="3"/>
  <c r="F8" i="3"/>
  <c r="E8" i="3"/>
  <c r="H8" i="3" s="1"/>
  <c r="D8" i="3"/>
  <c r="C8" i="3"/>
  <c r="F7" i="3"/>
  <c r="E7" i="3"/>
  <c r="H7" i="3" s="1"/>
  <c r="D7" i="3"/>
  <c r="C7" i="3"/>
  <c r="J6" i="3"/>
  <c r="F6" i="3"/>
  <c r="E6" i="3"/>
  <c r="H6" i="3" s="1"/>
  <c r="D6" i="3"/>
  <c r="C6" i="3"/>
  <c r="F5" i="3"/>
  <c r="E5" i="3"/>
  <c r="H5" i="3" s="1"/>
  <c r="D5" i="3"/>
  <c r="C5" i="3"/>
  <c r="J5" i="3" s="1"/>
  <c r="J4" i="3"/>
  <c r="F4" i="3"/>
  <c r="E4" i="3"/>
  <c r="H4" i="3" s="1"/>
  <c r="D4" i="3"/>
  <c r="C4" i="3"/>
  <c r="F3" i="3"/>
  <c r="E3" i="3"/>
  <c r="H3" i="3" s="1"/>
  <c r="D3" i="3"/>
  <c r="C3" i="3"/>
  <c r="J3" i="3" s="1"/>
  <c r="AG519" i="2"/>
  <c r="J519" i="2"/>
  <c r="H519" i="2"/>
  <c r="F519" i="2"/>
  <c r="E519" i="2"/>
  <c r="AJ517" i="2"/>
  <c r="L517" i="2"/>
  <c r="K517" i="2"/>
  <c r="AJ516" i="2"/>
  <c r="L516" i="2"/>
  <c r="K516" i="2"/>
  <c r="AJ515" i="2"/>
  <c r="L515" i="2"/>
  <c r="K515" i="2"/>
  <c r="AJ514" i="2"/>
  <c r="L514" i="2"/>
  <c r="K514" i="2"/>
  <c r="AJ513" i="2"/>
  <c r="L513" i="2"/>
  <c r="K513" i="2"/>
  <c r="AJ512" i="2"/>
  <c r="L512" i="2"/>
  <c r="K512" i="2"/>
  <c r="AJ511" i="2"/>
  <c r="L511" i="2"/>
  <c r="K511" i="2"/>
  <c r="AJ510" i="2"/>
  <c r="L510" i="2"/>
  <c r="K510" i="2"/>
  <c r="AJ509" i="2"/>
  <c r="L509" i="2"/>
  <c r="K509" i="2"/>
  <c r="AJ508" i="2"/>
  <c r="L508" i="2"/>
  <c r="K508" i="2"/>
  <c r="AJ507" i="2"/>
  <c r="L507" i="2"/>
  <c r="K507" i="2"/>
  <c r="AJ506" i="2"/>
  <c r="L506" i="2"/>
  <c r="K506" i="2"/>
  <c r="AJ505" i="2"/>
  <c r="L505" i="2"/>
  <c r="K505" i="2"/>
  <c r="AJ504" i="2"/>
  <c r="L504" i="2"/>
  <c r="K504" i="2"/>
  <c r="AJ503" i="2"/>
  <c r="L503" i="2"/>
  <c r="K503" i="2"/>
  <c r="AJ502" i="2"/>
  <c r="L502" i="2"/>
  <c r="K502" i="2"/>
  <c r="AJ501" i="2"/>
  <c r="L501" i="2"/>
  <c r="K501" i="2"/>
  <c r="AJ500" i="2"/>
  <c r="L500" i="2"/>
  <c r="K500" i="2"/>
  <c r="AJ499" i="2"/>
  <c r="L499" i="2"/>
  <c r="K499" i="2"/>
  <c r="AJ498" i="2"/>
  <c r="L498" i="2"/>
  <c r="K498" i="2"/>
  <c r="AJ497" i="2"/>
  <c r="L497" i="2"/>
  <c r="K497" i="2"/>
  <c r="AJ496" i="2"/>
  <c r="L496" i="2"/>
  <c r="K496" i="2"/>
  <c r="AJ495" i="2"/>
  <c r="L495" i="2"/>
  <c r="K495" i="2"/>
  <c r="AJ494" i="2"/>
  <c r="L494" i="2"/>
  <c r="K494" i="2"/>
  <c r="AJ493" i="2"/>
  <c r="L493" i="2"/>
  <c r="K493" i="2"/>
  <c r="AJ492" i="2"/>
  <c r="L492" i="2"/>
  <c r="K492" i="2"/>
  <c r="AJ491" i="2"/>
  <c r="L491" i="2"/>
  <c r="K491" i="2"/>
  <c r="AJ490" i="2"/>
  <c r="L490" i="2"/>
  <c r="K490" i="2"/>
  <c r="AJ489" i="2"/>
  <c r="L489" i="2"/>
  <c r="K489" i="2"/>
  <c r="AJ488" i="2"/>
  <c r="L488" i="2"/>
  <c r="K488" i="2"/>
  <c r="AJ487" i="2"/>
  <c r="L487" i="2"/>
  <c r="K487" i="2"/>
  <c r="AJ486" i="2"/>
  <c r="L486" i="2"/>
  <c r="K486" i="2"/>
  <c r="AJ485" i="2"/>
  <c r="L485" i="2"/>
  <c r="K485" i="2"/>
  <c r="AJ484" i="2"/>
  <c r="L484" i="2"/>
  <c r="K484" i="2"/>
  <c r="AJ483" i="2"/>
  <c r="L483" i="2"/>
  <c r="K483" i="2"/>
  <c r="AJ482" i="2"/>
  <c r="L482" i="2"/>
  <c r="K482" i="2"/>
  <c r="AJ481" i="2"/>
  <c r="L481" i="2"/>
  <c r="K481" i="2"/>
  <c r="AJ480" i="2"/>
  <c r="L480" i="2"/>
  <c r="K480" i="2"/>
  <c r="AJ479" i="2"/>
  <c r="L479" i="2"/>
  <c r="K479" i="2"/>
  <c r="AJ478" i="2"/>
  <c r="L478" i="2"/>
  <c r="K478" i="2"/>
  <c r="AJ477" i="2"/>
  <c r="L477" i="2"/>
  <c r="K477" i="2"/>
  <c r="AJ476" i="2"/>
  <c r="L476" i="2"/>
  <c r="K476" i="2"/>
  <c r="AJ475" i="2"/>
  <c r="L475" i="2"/>
  <c r="K475" i="2"/>
  <c r="AJ474" i="2"/>
  <c r="L474" i="2"/>
  <c r="K474" i="2"/>
  <c r="AJ473" i="2"/>
  <c r="L473" i="2"/>
  <c r="K473" i="2"/>
  <c r="AJ472" i="2"/>
  <c r="L472" i="2"/>
  <c r="K472" i="2"/>
  <c r="AJ471" i="2"/>
  <c r="L471" i="2"/>
  <c r="K471" i="2"/>
  <c r="AJ470" i="2"/>
  <c r="L470" i="2"/>
  <c r="K470" i="2"/>
  <c r="AJ469" i="2"/>
  <c r="L469" i="2"/>
  <c r="K469" i="2"/>
  <c r="AJ468" i="2"/>
  <c r="L468" i="2"/>
  <c r="K468" i="2"/>
  <c r="AJ467" i="2"/>
  <c r="L467" i="2"/>
  <c r="K467" i="2"/>
  <c r="AJ466" i="2"/>
  <c r="L466" i="2"/>
  <c r="K466" i="2"/>
  <c r="AJ465" i="2"/>
  <c r="L465" i="2"/>
  <c r="K465" i="2"/>
  <c r="AJ464" i="2"/>
  <c r="L464" i="2"/>
  <c r="K464" i="2"/>
  <c r="AJ463" i="2"/>
  <c r="L463" i="2"/>
  <c r="K463" i="2"/>
  <c r="AJ462" i="2"/>
  <c r="L462" i="2"/>
  <c r="K462" i="2"/>
  <c r="AJ461" i="2"/>
  <c r="L461" i="2"/>
  <c r="K461" i="2"/>
  <c r="AJ460" i="2"/>
  <c r="L460" i="2"/>
  <c r="K460" i="2"/>
  <c r="AJ459" i="2"/>
  <c r="L459" i="2"/>
  <c r="K459" i="2"/>
  <c r="AJ458" i="2"/>
  <c r="L458" i="2"/>
  <c r="K458" i="2"/>
  <c r="AJ457" i="2"/>
  <c r="L457" i="2"/>
  <c r="K457" i="2"/>
  <c r="AJ456" i="2"/>
  <c r="L456" i="2"/>
  <c r="K456" i="2"/>
  <c r="AJ455" i="2"/>
  <c r="L455" i="2"/>
  <c r="K455" i="2"/>
  <c r="AJ454" i="2"/>
  <c r="L454" i="2"/>
  <c r="K454" i="2"/>
  <c r="AJ453" i="2"/>
  <c r="L453" i="2"/>
  <c r="K453" i="2"/>
  <c r="AJ452" i="2"/>
  <c r="L452" i="2"/>
  <c r="K452" i="2"/>
  <c r="AJ451" i="2"/>
  <c r="L451" i="2"/>
  <c r="K451" i="2"/>
  <c r="AJ450" i="2"/>
  <c r="L450" i="2"/>
  <c r="K450" i="2"/>
  <c r="AJ449" i="2"/>
  <c r="L449" i="2"/>
  <c r="K449" i="2"/>
  <c r="AJ448" i="2"/>
  <c r="L448" i="2"/>
  <c r="K448" i="2"/>
  <c r="AJ447" i="2"/>
  <c r="L447" i="2"/>
  <c r="K447" i="2"/>
  <c r="AJ446" i="2"/>
  <c r="L446" i="2"/>
  <c r="K446" i="2"/>
  <c r="AJ445" i="2"/>
  <c r="L445" i="2"/>
  <c r="K445" i="2"/>
  <c r="AJ444" i="2"/>
  <c r="L444" i="2"/>
  <c r="K444" i="2"/>
  <c r="AJ443" i="2"/>
  <c r="L443" i="2"/>
  <c r="K443" i="2"/>
  <c r="AJ442" i="2"/>
  <c r="L442" i="2"/>
  <c r="K442" i="2"/>
  <c r="AJ441" i="2"/>
  <c r="L441" i="2"/>
  <c r="K441" i="2"/>
  <c r="AJ440" i="2"/>
  <c r="L440" i="2"/>
  <c r="K440" i="2"/>
  <c r="AJ439" i="2"/>
  <c r="L439" i="2"/>
  <c r="K439" i="2"/>
  <c r="AJ438" i="2"/>
  <c r="L438" i="2"/>
  <c r="K438" i="2"/>
  <c r="AJ437" i="2"/>
  <c r="L437" i="2"/>
  <c r="K437" i="2"/>
  <c r="AJ436" i="2"/>
  <c r="L436" i="2"/>
  <c r="K436" i="2"/>
  <c r="AJ435" i="2"/>
  <c r="L435" i="2"/>
  <c r="K435" i="2"/>
  <c r="AJ434" i="2"/>
  <c r="L434" i="2"/>
  <c r="K434" i="2"/>
  <c r="AJ433" i="2"/>
  <c r="L433" i="2"/>
  <c r="K433" i="2"/>
  <c r="AJ432" i="2"/>
  <c r="L432" i="2"/>
  <c r="K432" i="2"/>
  <c r="AJ431" i="2"/>
  <c r="L431" i="2"/>
  <c r="K431" i="2"/>
  <c r="AJ430" i="2"/>
  <c r="L430" i="2"/>
  <c r="K430" i="2"/>
  <c r="AJ429" i="2"/>
  <c r="L429" i="2"/>
  <c r="K429" i="2"/>
  <c r="AJ428" i="2"/>
  <c r="L428" i="2"/>
  <c r="K428" i="2"/>
  <c r="AJ427" i="2"/>
  <c r="L427" i="2"/>
  <c r="K427" i="2"/>
  <c r="AJ426" i="2"/>
  <c r="L426" i="2"/>
  <c r="K426" i="2"/>
  <c r="AJ425" i="2"/>
  <c r="L425" i="2"/>
  <c r="K425" i="2"/>
  <c r="AJ424" i="2"/>
  <c r="L424" i="2"/>
  <c r="K424" i="2"/>
  <c r="AJ423" i="2"/>
  <c r="L423" i="2"/>
  <c r="K423" i="2"/>
  <c r="AJ422" i="2"/>
  <c r="L422" i="2"/>
  <c r="K422" i="2"/>
  <c r="AJ421" i="2"/>
  <c r="L421" i="2"/>
  <c r="K421" i="2"/>
  <c r="AJ420" i="2"/>
  <c r="L420" i="2"/>
  <c r="K420" i="2"/>
  <c r="AJ419" i="2"/>
  <c r="L419" i="2"/>
  <c r="K419" i="2"/>
  <c r="AJ418" i="2"/>
  <c r="L418" i="2"/>
  <c r="K418" i="2"/>
  <c r="AJ417" i="2"/>
  <c r="L417" i="2"/>
  <c r="K417" i="2"/>
  <c r="AJ416" i="2"/>
  <c r="L416" i="2"/>
  <c r="K416" i="2"/>
  <c r="AJ415" i="2"/>
  <c r="L415" i="2"/>
  <c r="K415" i="2"/>
  <c r="AJ414" i="2"/>
  <c r="L414" i="2"/>
  <c r="K414" i="2"/>
  <c r="AJ413" i="2"/>
  <c r="L413" i="2"/>
  <c r="K413" i="2"/>
  <c r="AJ412" i="2"/>
  <c r="L412" i="2"/>
  <c r="K412" i="2"/>
  <c r="AJ411" i="2"/>
  <c r="L411" i="2"/>
  <c r="K411" i="2"/>
  <c r="AJ410" i="2"/>
  <c r="L410" i="2"/>
  <c r="K410" i="2"/>
  <c r="AJ409" i="2"/>
  <c r="L409" i="2"/>
  <c r="K409" i="2"/>
  <c r="AJ408" i="2"/>
  <c r="L408" i="2"/>
  <c r="K408" i="2"/>
  <c r="AJ407" i="2"/>
  <c r="L407" i="2"/>
  <c r="K407" i="2"/>
  <c r="AJ406" i="2"/>
  <c r="L406" i="2"/>
  <c r="K406" i="2"/>
  <c r="AJ405" i="2"/>
  <c r="L405" i="2"/>
  <c r="K405" i="2"/>
  <c r="AJ404" i="2"/>
  <c r="L404" i="2"/>
  <c r="K404" i="2"/>
  <c r="AJ403" i="2"/>
  <c r="L403" i="2"/>
  <c r="K403" i="2"/>
  <c r="AJ402" i="2"/>
  <c r="L402" i="2"/>
  <c r="K402" i="2"/>
  <c r="AJ401" i="2"/>
  <c r="L401" i="2"/>
  <c r="K401" i="2"/>
  <c r="AJ400" i="2"/>
  <c r="L400" i="2"/>
  <c r="K400" i="2"/>
  <c r="AJ399" i="2"/>
  <c r="L399" i="2"/>
  <c r="K399" i="2"/>
  <c r="AJ398" i="2"/>
  <c r="L398" i="2"/>
  <c r="K398" i="2"/>
  <c r="AJ397" i="2"/>
  <c r="L397" i="2"/>
  <c r="K397" i="2"/>
  <c r="AJ396" i="2"/>
  <c r="L396" i="2"/>
  <c r="K396" i="2"/>
  <c r="AJ395" i="2"/>
  <c r="L395" i="2"/>
  <c r="K395" i="2"/>
  <c r="AJ394" i="2"/>
  <c r="L394" i="2"/>
  <c r="K394" i="2"/>
  <c r="AJ393" i="2"/>
  <c r="L393" i="2"/>
  <c r="K393" i="2"/>
  <c r="AJ392" i="2"/>
  <c r="L392" i="2"/>
  <c r="K392" i="2"/>
  <c r="AJ391" i="2"/>
  <c r="L391" i="2"/>
  <c r="K391" i="2"/>
  <c r="AJ390" i="2"/>
  <c r="L390" i="2"/>
  <c r="K390" i="2"/>
  <c r="AJ389" i="2"/>
  <c r="L389" i="2"/>
  <c r="K389" i="2"/>
  <c r="AJ388" i="2"/>
  <c r="L388" i="2"/>
  <c r="K388" i="2"/>
  <c r="AJ387" i="2"/>
  <c r="L387" i="2"/>
  <c r="K387" i="2"/>
  <c r="AJ386" i="2"/>
  <c r="L386" i="2"/>
  <c r="K386" i="2"/>
  <c r="AJ385" i="2"/>
  <c r="L385" i="2"/>
  <c r="K385" i="2"/>
  <c r="AJ384" i="2"/>
  <c r="L384" i="2"/>
  <c r="K384" i="2"/>
  <c r="AJ383" i="2"/>
  <c r="L383" i="2"/>
  <c r="K383" i="2"/>
  <c r="AJ382" i="2"/>
  <c r="L382" i="2"/>
  <c r="K382" i="2"/>
  <c r="AJ381" i="2"/>
  <c r="L381" i="2"/>
  <c r="K381" i="2"/>
  <c r="AJ380" i="2"/>
  <c r="L380" i="2"/>
  <c r="K380" i="2"/>
  <c r="AJ379" i="2"/>
  <c r="L379" i="2"/>
  <c r="K379" i="2"/>
  <c r="AJ378" i="2"/>
  <c r="L378" i="2"/>
  <c r="K378" i="2"/>
  <c r="AJ377" i="2"/>
  <c r="L377" i="2"/>
  <c r="K377" i="2"/>
  <c r="AJ376" i="2"/>
  <c r="L376" i="2"/>
  <c r="K376" i="2"/>
  <c r="AJ375" i="2"/>
  <c r="L375" i="2"/>
  <c r="K375" i="2"/>
  <c r="AJ374" i="2"/>
  <c r="L374" i="2"/>
  <c r="K374" i="2"/>
  <c r="AJ373" i="2"/>
  <c r="L373" i="2"/>
  <c r="K373" i="2"/>
  <c r="AJ372" i="2"/>
  <c r="L372" i="2"/>
  <c r="K372" i="2"/>
  <c r="AJ371" i="2"/>
  <c r="L371" i="2"/>
  <c r="K371" i="2"/>
  <c r="AJ370" i="2"/>
  <c r="L370" i="2"/>
  <c r="K370" i="2"/>
  <c r="AJ369" i="2"/>
  <c r="L369" i="2"/>
  <c r="K369" i="2"/>
  <c r="AJ368" i="2"/>
  <c r="L368" i="2"/>
  <c r="K368" i="2"/>
  <c r="AJ367" i="2"/>
  <c r="L367" i="2"/>
  <c r="K367" i="2"/>
  <c r="AJ366" i="2"/>
  <c r="L366" i="2"/>
  <c r="K366" i="2"/>
  <c r="AJ365" i="2"/>
  <c r="L365" i="2"/>
  <c r="K365" i="2"/>
  <c r="AJ364" i="2"/>
  <c r="L364" i="2"/>
  <c r="K364" i="2"/>
  <c r="AJ363" i="2"/>
  <c r="L363" i="2"/>
  <c r="K363" i="2"/>
  <c r="AJ362" i="2"/>
  <c r="L362" i="2"/>
  <c r="K362" i="2"/>
  <c r="AJ361" i="2"/>
  <c r="L361" i="2"/>
  <c r="K361" i="2"/>
  <c r="AJ360" i="2"/>
  <c r="L360" i="2"/>
  <c r="K360" i="2"/>
  <c r="AJ359" i="2"/>
  <c r="L359" i="2"/>
  <c r="K359" i="2"/>
  <c r="AJ358" i="2"/>
  <c r="L358" i="2"/>
  <c r="K358" i="2"/>
  <c r="AJ357" i="2"/>
  <c r="L357" i="2"/>
  <c r="K357" i="2"/>
  <c r="AJ356" i="2"/>
  <c r="L356" i="2"/>
  <c r="K356" i="2"/>
  <c r="AJ355" i="2"/>
  <c r="L355" i="2"/>
  <c r="K355" i="2"/>
  <c r="AJ354" i="2"/>
  <c r="L354" i="2"/>
  <c r="K354" i="2"/>
  <c r="AJ353" i="2"/>
  <c r="L353" i="2"/>
  <c r="K353" i="2"/>
  <c r="AJ352" i="2"/>
  <c r="L352" i="2"/>
  <c r="K352" i="2"/>
  <c r="AJ351" i="2"/>
  <c r="L351" i="2"/>
  <c r="K351" i="2"/>
  <c r="AJ350" i="2"/>
  <c r="L350" i="2"/>
  <c r="K350" i="2"/>
  <c r="AJ349" i="2"/>
  <c r="L349" i="2"/>
  <c r="K349" i="2"/>
  <c r="AJ348" i="2"/>
  <c r="L348" i="2"/>
  <c r="K348" i="2"/>
  <c r="AJ347" i="2"/>
  <c r="L347" i="2"/>
  <c r="K347" i="2"/>
  <c r="AJ346" i="2"/>
  <c r="L346" i="2"/>
  <c r="K346" i="2"/>
  <c r="AJ345" i="2"/>
  <c r="L345" i="2"/>
  <c r="K345" i="2"/>
  <c r="AJ344" i="2"/>
  <c r="L344" i="2"/>
  <c r="K344" i="2"/>
  <c r="AJ343" i="2"/>
  <c r="L343" i="2"/>
  <c r="K343" i="2"/>
  <c r="AJ342" i="2"/>
  <c r="L342" i="2"/>
  <c r="K342" i="2"/>
  <c r="AJ341" i="2"/>
  <c r="L341" i="2"/>
  <c r="K341" i="2"/>
  <c r="AJ340" i="2"/>
  <c r="L340" i="2"/>
  <c r="K340" i="2"/>
  <c r="AJ339" i="2"/>
  <c r="L339" i="2"/>
  <c r="K339" i="2"/>
  <c r="AJ338" i="2"/>
  <c r="L338" i="2"/>
  <c r="K338" i="2"/>
  <c r="AJ337" i="2"/>
  <c r="L337" i="2"/>
  <c r="K337" i="2"/>
  <c r="AJ336" i="2"/>
  <c r="L336" i="2"/>
  <c r="K336" i="2"/>
  <c r="AJ335" i="2"/>
  <c r="L335" i="2"/>
  <c r="K335" i="2"/>
  <c r="AJ334" i="2"/>
  <c r="L334" i="2"/>
  <c r="K334" i="2"/>
  <c r="AJ333" i="2"/>
  <c r="L333" i="2"/>
  <c r="K333" i="2"/>
  <c r="AJ332" i="2"/>
  <c r="L332" i="2"/>
  <c r="K332" i="2"/>
  <c r="AJ331" i="2"/>
  <c r="L331" i="2"/>
  <c r="K331" i="2"/>
  <c r="AJ330" i="2"/>
  <c r="L330" i="2"/>
  <c r="K330" i="2"/>
  <c r="AJ329" i="2"/>
  <c r="L329" i="2"/>
  <c r="K329" i="2"/>
  <c r="AJ328" i="2"/>
  <c r="L328" i="2"/>
  <c r="K328" i="2"/>
  <c r="AJ327" i="2"/>
  <c r="L327" i="2"/>
  <c r="K327" i="2"/>
  <c r="AJ326" i="2"/>
  <c r="L326" i="2"/>
  <c r="K326" i="2"/>
  <c r="AJ325" i="2"/>
  <c r="L325" i="2"/>
  <c r="K325" i="2"/>
  <c r="AJ324" i="2"/>
  <c r="L324" i="2"/>
  <c r="K324" i="2"/>
  <c r="AJ323" i="2"/>
  <c r="L323" i="2"/>
  <c r="K323" i="2"/>
  <c r="AJ322" i="2"/>
  <c r="L322" i="2"/>
  <c r="K322" i="2"/>
  <c r="AJ321" i="2"/>
  <c r="L321" i="2"/>
  <c r="K321" i="2"/>
  <c r="AJ320" i="2"/>
  <c r="L320" i="2"/>
  <c r="K320" i="2"/>
  <c r="AJ319" i="2"/>
  <c r="L319" i="2"/>
  <c r="K319" i="2"/>
  <c r="AJ318" i="2"/>
  <c r="L318" i="2"/>
  <c r="K318" i="2"/>
  <c r="AJ317" i="2"/>
  <c r="L317" i="2"/>
  <c r="K317" i="2"/>
  <c r="AJ316" i="2"/>
  <c r="L316" i="2"/>
  <c r="K316" i="2"/>
  <c r="AJ315" i="2"/>
  <c r="L315" i="2"/>
  <c r="K315" i="2"/>
  <c r="AJ314" i="2"/>
  <c r="L314" i="2"/>
  <c r="K314" i="2"/>
  <c r="AJ313" i="2"/>
  <c r="L313" i="2"/>
  <c r="K313" i="2"/>
  <c r="AJ312" i="2"/>
  <c r="L312" i="2"/>
  <c r="K312" i="2"/>
  <c r="AJ311" i="2"/>
  <c r="L311" i="2"/>
  <c r="K311" i="2"/>
  <c r="AJ310" i="2"/>
  <c r="L310" i="2"/>
  <c r="K310" i="2"/>
  <c r="AJ309" i="2"/>
  <c r="L309" i="2"/>
  <c r="K309" i="2"/>
  <c r="AJ308" i="2"/>
  <c r="L308" i="2"/>
  <c r="K308" i="2"/>
  <c r="AJ307" i="2"/>
  <c r="L307" i="2"/>
  <c r="K307" i="2"/>
  <c r="AJ306" i="2"/>
  <c r="L306" i="2"/>
  <c r="K306" i="2"/>
  <c r="AJ305" i="2"/>
  <c r="L305" i="2"/>
  <c r="K305" i="2"/>
  <c r="AJ304" i="2"/>
  <c r="L304" i="2"/>
  <c r="K304" i="2"/>
  <c r="AJ303" i="2"/>
  <c r="L303" i="2"/>
  <c r="K303" i="2"/>
  <c r="AJ302" i="2"/>
  <c r="L302" i="2"/>
  <c r="K302" i="2"/>
  <c r="AJ301" i="2"/>
  <c r="L301" i="2"/>
  <c r="K301" i="2"/>
  <c r="AJ300" i="2"/>
  <c r="L300" i="2"/>
  <c r="K300" i="2"/>
  <c r="AJ299" i="2"/>
  <c r="L299" i="2"/>
  <c r="K299" i="2"/>
  <c r="AJ298" i="2"/>
  <c r="L298" i="2"/>
  <c r="K298" i="2"/>
  <c r="AJ297" i="2"/>
  <c r="L297" i="2"/>
  <c r="K297" i="2"/>
  <c r="AJ296" i="2"/>
  <c r="L296" i="2"/>
  <c r="K296" i="2"/>
  <c r="AJ295" i="2"/>
  <c r="L295" i="2"/>
  <c r="K295" i="2"/>
  <c r="AJ294" i="2"/>
  <c r="L294" i="2"/>
  <c r="K294" i="2"/>
  <c r="AJ293" i="2"/>
  <c r="L293" i="2"/>
  <c r="K293" i="2"/>
  <c r="AJ292" i="2"/>
  <c r="L292" i="2"/>
  <c r="K292" i="2"/>
  <c r="AJ291" i="2"/>
  <c r="L291" i="2"/>
  <c r="K291" i="2"/>
  <c r="AJ290" i="2"/>
  <c r="L290" i="2"/>
  <c r="K290" i="2"/>
  <c r="AJ289" i="2"/>
  <c r="L289" i="2"/>
  <c r="K289" i="2"/>
  <c r="AJ288" i="2"/>
  <c r="L288" i="2"/>
  <c r="K288" i="2"/>
  <c r="AJ287" i="2"/>
  <c r="L287" i="2"/>
  <c r="K287" i="2"/>
  <c r="AJ286" i="2"/>
  <c r="L286" i="2"/>
  <c r="K286" i="2"/>
  <c r="AJ285" i="2"/>
  <c r="L285" i="2"/>
  <c r="K285" i="2"/>
  <c r="AJ284" i="2"/>
  <c r="L284" i="2"/>
  <c r="K284" i="2"/>
  <c r="AJ283" i="2"/>
  <c r="L283" i="2"/>
  <c r="K283" i="2"/>
  <c r="AJ282" i="2"/>
  <c r="L282" i="2"/>
  <c r="K282" i="2"/>
  <c r="AJ281" i="2"/>
  <c r="L281" i="2"/>
  <c r="K281" i="2"/>
  <c r="AJ280" i="2"/>
  <c r="L280" i="2"/>
  <c r="K280" i="2"/>
  <c r="AJ279" i="2"/>
  <c r="L279" i="2"/>
  <c r="K279" i="2"/>
  <c r="AJ278" i="2"/>
  <c r="L278" i="2"/>
  <c r="K278" i="2"/>
  <c r="AJ277" i="2"/>
  <c r="L277" i="2"/>
  <c r="K277" i="2"/>
  <c r="AJ276" i="2"/>
  <c r="L276" i="2"/>
  <c r="K276" i="2"/>
  <c r="AJ275" i="2"/>
  <c r="L275" i="2"/>
  <c r="K275" i="2"/>
  <c r="AJ274" i="2"/>
  <c r="L274" i="2"/>
  <c r="K274" i="2"/>
  <c r="AJ273" i="2"/>
  <c r="L273" i="2"/>
  <c r="K273" i="2"/>
  <c r="AJ272" i="2"/>
  <c r="L272" i="2"/>
  <c r="K272" i="2"/>
  <c r="AJ271" i="2"/>
  <c r="L271" i="2"/>
  <c r="K271" i="2"/>
  <c r="AJ270" i="2"/>
  <c r="L270" i="2"/>
  <c r="K270" i="2"/>
  <c r="AJ269" i="2"/>
  <c r="L269" i="2"/>
  <c r="K269" i="2"/>
  <c r="AJ268" i="2"/>
  <c r="L268" i="2"/>
  <c r="K268" i="2"/>
  <c r="AJ267" i="2"/>
  <c r="L267" i="2"/>
  <c r="K267" i="2"/>
  <c r="AJ266" i="2"/>
  <c r="L266" i="2"/>
  <c r="K266" i="2"/>
  <c r="AJ265" i="2"/>
  <c r="L265" i="2"/>
  <c r="K265" i="2"/>
  <c r="AJ264" i="2"/>
  <c r="L264" i="2"/>
  <c r="K264" i="2"/>
  <c r="AJ263" i="2"/>
  <c r="L263" i="2"/>
  <c r="K263" i="2"/>
  <c r="AJ262" i="2"/>
  <c r="L262" i="2"/>
  <c r="K262" i="2"/>
  <c r="AJ261" i="2"/>
  <c r="L261" i="2"/>
  <c r="K261" i="2"/>
  <c r="AJ260" i="2"/>
  <c r="L260" i="2"/>
  <c r="K260" i="2"/>
  <c r="AJ259" i="2"/>
  <c r="L259" i="2"/>
  <c r="K259" i="2"/>
  <c r="AJ258" i="2"/>
  <c r="L258" i="2"/>
  <c r="K258" i="2"/>
  <c r="AJ257" i="2"/>
  <c r="L257" i="2"/>
  <c r="K257" i="2"/>
  <c r="AJ256" i="2"/>
  <c r="L256" i="2"/>
  <c r="K256" i="2"/>
  <c r="AJ255" i="2"/>
  <c r="L255" i="2"/>
  <c r="K255" i="2"/>
  <c r="AJ254" i="2"/>
  <c r="L254" i="2"/>
  <c r="K254" i="2"/>
  <c r="AJ253" i="2"/>
  <c r="L253" i="2"/>
  <c r="K253" i="2"/>
  <c r="AJ252" i="2"/>
  <c r="L252" i="2"/>
  <c r="K252" i="2"/>
  <c r="AJ251" i="2"/>
  <c r="L251" i="2"/>
  <c r="K251" i="2"/>
  <c r="AJ250" i="2"/>
  <c r="L250" i="2"/>
  <c r="K250" i="2"/>
  <c r="AJ249" i="2"/>
  <c r="L249" i="2"/>
  <c r="K249" i="2"/>
  <c r="AJ248" i="2"/>
  <c r="L248" i="2"/>
  <c r="K248" i="2"/>
  <c r="AJ247" i="2"/>
  <c r="L247" i="2"/>
  <c r="K247" i="2"/>
  <c r="AJ246" i="2"/>
  <c r="L246" i="2"/>
  <c r="K246" i="2"/>
  <c r="AJ245" i="2"/>
  <c r="L245" i="2"/>
  <c r="K245" i="2"/>
  <c r="AJ244" i="2"/>
  <c r="L244" i="2"/>
  <c r="K244" i="2"/>
  <c r="AJ243" i="2"/>
  <c r="L243" i="2"/>
  <c r="K243" i="2"/>
  <c r="AJ242" i="2"/>
  <c r="L242" i="2"/>
  <c r="K242" i="2"/>
  <c r="AJ241" i="2"/>
  <c r="L241" i="2"/>
  <c r="K241" i="2"/>
  <c r="AJ240" i="2"/>
  <c r="L240" i="2"/>
  <c r="K240" i="2"/>
  <c r="AJ239" i="2"/>
  <c r="L239" i="2"/>
  <c r="K239" i="2"/>
  <c r="AJ238" i="2"/>
  <c r="L238" i="2"/>
  <c r="K238" i="2"/>
  <c r="AJ237" i="2"/>
  <c r="L237" i="2"/>
  <c r="K237" i="2"/>
  <c r="AJ236" i="2"/>
  <c r="L236" i="2"/>
  <c r="K236" i="2"/>
  <c r="AJ235" i="2"/>
  <c r="L235" i="2"/>
  <c r="K235" i="2"/>
  <c r="AJ234" i="2"/>
  <c r="L234" i="2"/>
  <c r="K234" i="2"/>
  <c r="AJ233" i="2"/>
  <c r="L233" i="2"/>
  <c r="K233" i="2"/>
  <c r="AJ232" i="2"/>
  <c r="L232" i="2"/>
  <c r="K232" i="2"/>
  <c r="AJ231" i="2"/>
  <c r="L231" i="2"/>
  <c r="K231" i="2"/>
  <c r="AJ230" i="2"/>
  <c r="L230" i="2"/>
  <c r="K230" i="2"/>
  <c r="AJ229" i="2"/>
  <c r="L229" i="2"/>
  <c r="K229" i="2"/>
  <c r="AJ228" i="2"/>
  <c r="L228" i="2"/>
  <c r="K228" i="2"/>
  <c r="AJ227" i="2"/>
  <c r="L227" i="2"/>
  <c r="K227" i="2"/>
  <c r="AJ226" i="2"/>
  <c r="L226" i="2"/>
  <c r="K226" i="2"/>
  <c r="AJ225" i="2"/>
  <c r="L225" i="2"/>
  <c r="K225" i="2"/>
  <c r="AJ224" i="2"/>
  <c r="L224" i="2"/>
  <c r="K224" i="2"/>
  <c r="AJ223" i="2"/>
  <c r="L223" i="2"/>
  <c r="K223" i="2"/>
  <c r="AJ222" i="2"/>
  <c r="L222" i="2"/>
  <c r="K222" i="2"/>
  <c r="AJ221" i="2"/>
  <c r="L221" i="2"/>
  <c r="K221" i="2"/>
  <c r="AJ220" i="2"/>
  <c r="L220" i="2"/>
  <c r="K220" i="2"/>
  <c r="AJ219" i="2"/>
  <c r="L219" i="2"/>
  <c r="K219" i="2"/>
  <c r="AJ218" i="2"/>
  <c r="L218" i="2"/>
  <c r="K218" i="2"/>
  <c r="AJ217" i="2"/>
  <c r="L217" i="2"/>
  <c r="K217" i="2"/>
  <c r="AJ216" i="2"/>
  <c r="L216" i="2"/>
  <c r="K216" i="2"/>
  <c r="AJ215" i="2"/>
  <c r="L215" i="2"/>
  <c r="K215" i="2"/>
  <c r="AJ214" i="2"/>
  <c r="L214" i="2"/>
  <c r="K214" i="2"/>
  <c r="AJ213" i="2"/>
  <c r="L213" i="2"/>
  <c r="K213" i="2"/>
  <c r="AJ212" i="2"/>
  <c r="L212" i="2"/>
  <c r="K212" i="2"/>
  <c r="AJ211" i="2"/>
  <c r="L211" i="2"/>
  <c r="K211" i="2"/>
  <c r="AJ210" i="2"/>
  <c r="L210" i="2"/>
  <c r="K210" i="2"/>
  <c r="AJ209" i="2"/>
  <c r="L209" i="2"/>
  <c r="K209" i="2"/>
  <c r="AJ208" i="2"/>
  <c r="L208" i="2"/>
  <c r="K208" i="2"/>
  <c r="AJ207" i="2"/>
  <c r="L207" i="2"/>
  <c r="K207" i="2"/>
  <c r="AJ206" i="2"/>
  <c r="L206" i="2"/>
  <c r="K206" i="2"/>
  <c r="AJ205" i="2"/>
  <c r="L205" i="2"/>
  <c r="K205" i="2"/>
  <c r="AJ204" i="2"/>
  <c r="L204" i="2"/>
  <c r="K204" i="2"/>
  <c r="AJ203" i="2"/>
  <c r="L203" i="2"/>
  <c r="K203" i="2"/>
  <c r="AJ202" i="2"/>
  <c r="L202" i="2"/>
  <c r="K202" i="2"/>
  <c r="AJ201" i="2"/>
  <c r="L201" i="2"/>
  <c r="K201" i="2"/>
  <c r="AJ200" i="2"/>
  <c r="L200" i="2"/>
  <c r="K200" i="2"/>
  <c r="AJ199" i="2"/>
  <c r="L199" i="2"/>
  <c r="K199" i="2"/>
  <c r="AJ198" i="2"/>
  <c r="L198" i="2"/>
  <c r="K198" i="2"/>
  <c r="AJ197" i="2"/>
  <c r="L197" i="2"/>
  <c r="K197" i="2"/>
  <c r="AJ196" i="2"/>
  <c r="L196" i="2"/>
  <c r="K196" i="2"/>
  <c r="AJ195" i="2"/>
  <c r="L195" i="2"/>
  <c r="K195" i="2"/>
  <c r="AJ194" i="2"/>
  <c r="L194" i="2"/>
  <c r="K194" i="2"/>
  <c r="AJ193" i="2"/>
  <c r="L193" i="2"/>
  <c r="K193" i="2"/>
  <c r="AJ192" i="2"/>
  <c r="L192" i="2"/>
  <c r="K192" i="2"/>
  <c r="AJ191" i="2"/>
  <c r="L191" i="2"/>
  <c r="K191" i="2"/>
  <c r="AJ190" i="2"/>
  <c r="L190" i="2"/>
  <c r="K190" i="2"/>
  <c r="AJ189" i="2"/>
  <c r="L189" i="2"/>
  <c r="K189" i="2"/>
  <c r="AJ188" i="2"/>
  <c r="L188" i="2"/>
  <c r="K188" i="2"/>
  <c r="AJ187" i="2"/>
  <c r="L187" i="2"/>
  <c r="K187" i="2"/>
  <c r="AJ186" i="2"/>
  <c r="L186" i="2"/>
  <c r="K186" i="2"/>
  <c r="AJ185" i="2"/>
  <c r="L185" i="2"/>
  <c r="K185" i="2"/>
  <c r="AJ184" i="2"/>
  <c r="L184" i="2"/>
  <c r="K184" i="2"/>
  <c r="AJ183" i="2"/>
  <c r="L183" i="2"/>
  <c r="K183" i="2"/>
  <c r="AJ182" i="2"/>
  <c r="L182" i="2"/>
  <c r="K182" i="2"/>
  <c r="AJ181" i="2"/>
  <c r="L181" i="2"/>
  <c r="K181" i="2"/>
  <c r="AJ180" i="2"/>
  <c r="L180" i="2"/>
  <c r="K180" i="2"/>
  <c r="AJ179" i="2"/>
  <c r="L179" i="2"/>
  <c r="K179" i="2"/>
  <c r="AJ178" i="2"/>
  <c r="L178" i="2"/>
  <c r="K178" i="2"/>
  <c r="AJ177" i="2"/>
  <c r="L177" i="2"/>
  <c r="K177" i="2"/>
  <c r="AJ176" i="2"/>
  <c r="L176" i="2"/>
  <c r="K176" i="2"/>
  <c r="AJ175" i="2"/>
  <c r="L175" i="2"/>
  <c r="K175" i="2"/>
  <c r="AJ174" i="2"/>
  <c r="L174" i="2"/>
  <c r="K174" i="2"/>
  <c r="AJ173" i="2"/>
  <c r="L173" i="2"/>
  <c r="K173" i="2"/>
  <c r="AJ172" i="2"/>
  <c r="L172" i="2"/>
  <c r="K172" i="2"/>
  <c r="AJ171" i="2"/>
  <c r="L171" i="2"/>
  <c r="K171" i="2"/>
  <c r="AJ170" i="2"/>
  <c r="L170" i="2"/>
  <c r="K170" i="2"/>
  <c r="AJ169" i="2"/>
  <c r="L169" i="2"/>
  <c r="K169" i="2"/>
  <c r="AJ168" i="2"/>
  <c r="L168" i="2"/>
  <c r="K168" i="2"/>
  <c r="AJ167" i="2"/>
  <c r="L167" i="2"/>
  <c r="K167" i="2"/>
  <c r="AJ166" i="2"/>
  <c r="L166" i="2"/>
  <c r="K166" i="2"/>
  <c r="AJ165" i="2"/>
  <c r="L165" i="2"/>
  <c r="K165" i="2"/>
  <c r="AJ164" i="2"/>
  <c r="L164" i="2"/>
  <c r="K164" i="2"/>
  <c r="AJ163" i="2"/>
  <c r="L163" i="2"/>
  <c r="K163" i="2"/>
  <c r="AJ162" i="2"/>
  <c r="L162" i="2"/>
  <c r="K162" i="2"/>
  <c r="AJ161" i="2"/>
  <c r="L161" i="2"/>
  <c r="K161" i="2"/>
  <c r="AJ160" i="2"/>
  <c r="L160" i="2"/>
  <c r="K160" i="2"/>
  <c r="AJ159" i="2"/>
  <c r="L159" i="2"/>
  <c r="K159" i="2"/>
  <c r="AJ158" i="2"/>
  <c r="L158" i="2"/>
  <c r="K158" i="2"/>
  <c r="AJ157" i="2"/>
  <c r="L157" i="2"/>
  <c r="K157" i="2"/>
  <c r="AJ156" i="2"/>
  <c r="L156" i="2"/>
  <c r="K156" i="2"/>
  <c r="AJ155" i="2"/>
  <c r="L155" i="2"/>
  <c r="K155" i="2"/>
  <c r="AJ154" i="2"/>
  <c r="L154" i="2"/>
  <c r="K154" i="2"/>
  <c r="AJ153" i="2"/>
  <c r="L153" i="2"/>
  <c r="K153" i="2"/>
  <c r="AJ152" i="2"/>
  <c r="L152" i="2"/>
  <c r="K152" i="2"/>
  <c r="AJ151" i="2"/>
  <c r="L151" i="2"/>
  <c r="K151" i="2"/>
  <c r="AJ150" i="2"/>
  <c r="L150" i="2"/>
  <c r="K150" i="2"/>
  <c r="AJ149" i="2"/>
  <c r="L149" i="2"/>
  <c r="K149" i="2"/>
  <c r="AJ148" i="2"/>
  <c r="L148" i="2"/>
  <c r="K148" i="2"/>
  <c r="AJ147" i="2"/>
  <c r="L147" i="2"/>
  <c r="K147" i="2"/>
  <c r="AJ146" i="2"/>
  <c r="L146" i="2"/>
  <c r="K146" i="2"/>
  <c r="AJ145" i="2"/>
  <c r="L145" i="2"/>
  <c r="K145" i="2"/>
  <c r="AJ144" i="2"/>
  <c r="L144" i="2"/>
  <c r="K144" i="2"/>
  <c r="AJ143" i="2"/>
  <c r="L143" i="2"/>
  <c r="K143" i="2"/>
  <c r="AJ142" i="2"/>
  <c r="L142" i="2"/>
  <c r="K142" i="2"/>
  <c r="AJ141" i="2"/>
  <c r="L141" i="2"/>
  <c r="K141" i="2"/>
  <c r="AJ140" i="2"/>
  <c r="L140" i="2"/>
  <c r="K140" i="2"/>
  <c r="AJ139" i="2"/>
  <c r="L139" i="2"/>
  <c r="K139" i="2"/>
  <c r="AJ138" i="2"/>
  <c r="L138" i="2"/>
  <c r="K138" i="2"/>
  <c r="AJ137" i="2"/>
  <c r="L137" i="2"/>
  <c r="K137" i="2"/>
  <c r="AJ136" i="2"/>
  <c r="L136" i="2"/>
  <c r="K136" i="2"/>
  <c r="AJ135" i="2"/>
  <c r="L135" i="2"/>
  <c r="K135" i="2"/>
  <c r="AJ134" i="2"/>
  <c r="L134" i="2"/>
  <c r="K134" i="2"/>
  <c r="AJ133" i="2"/>
  <c r="L133" i="2"/>
  <c r="K133" i="2"/>
  <c r="AJ132" i="2"/>
  <c r="L132" i="2"/>
  <c r="K132" i="2"/>
  <c r="AJ131" i="2"/>
  <c r="L131" i="2"/>
  <c r="K131" i="2"/>
  <c r="AJ130" i="2"/>
  <c r="L130" i="2"/>
  <c r="K130" i="2"/>
  <c r="AJ129" i="2"/>
  <c r="L129" i="2"/>
  <c r="K129" i="2"/>
  <c r="AJ128" i="2"/>
  <c r="L128" i="2"/>
  <c r="K128" i="2"/>
  <c r="AJ127" i="2"/>
  <c r="L127" i="2"/>
  <c r="K127" i="2"/>
  <c r="AJ126" i="2"/>
  <c r="L126" i="2"/>
  <c r="K126" i="2"/>
  <c r="AJ125" i="2"/>
  <c r="L125" i="2"/>
  <c r="K125" i="2"/>
  <c r="AJ124" i="2"/>
  <c r="L124" i="2"/>
  <c r="K124" i="2"/>
  <c r="AJ123" i="2"/>
  <c r="L123" i="2"/>
  <c r="K123" i="2"/>
  <c r="AJ122" i="2"/>
  <c r="L122" i="2"/>
  <c r="K122" i="2"/>
  <c r="AJ121" i="2"/>
  <c r="L121" i="2"/>
  <c r="K121" i="2"/>
  <c r="AJ120" i="2"/>
  <c r="L120" i="2"/>
  <c r="K120" i="2"/>
  <c r="AJ119" i="2"/>
  <c r="L119" i="2"/>
  <c r="K119" i="2"/>
  <c r="AJ118" i="2"/>
  <c r="L118" i="2"/>
  <c r="K118" i="2"/>
  <c r="AJ117" i="2"/>
  <c r="L117" i="2"/>
  <c r="K117" i="2"/>
  <c r="AJ116" i="2"/>
  <c r="L116" i="2"/>
  <c r="K116" i="2"/>
  <c r="AJ115" i="2"/>
  <c r="L115" i="2"/>
  <c r="K115" i="2"/>
  <c r="AJ114" i="2"/>
  <c r="L114" i="2"/>
  <c r="K114" i="2"/>
  <c r="AJ113" i="2"/>
  <c r="L113" i="2"/>
  <c r="K113" i="2"/>
  <c r="AJ112" i="2"/>
  <c r="L112" i="2"/>
  <c r="K112" i="2"/>
  <c r="AJ111" i="2"/>
  <c r="L111" i="2"/>
  <c r="K111" i="2"/>
  <c r="AJ110" i="2"/>
  <c r="L110" i="2"/>
  <c r="K110" i="2"/>
  <c r="AJ109" i="2"/>
  <c r="L109" i="2"/>
  <c r="K109" i="2"/>
  <c r="AJ108" i="2"/>
  <c r="L108" i="2"/>
  <c r="K108" i="2"/>
  <c r="AJ107" i="2"/>
  <c r="L107" i="2"/>
  <c r="K107" i="2"/>
  <c r="AJ106" i="2"/>
  <c r="L106" i="2"/>
  <c r="K106" i="2"/>
  <c r="AJ105" i="2"/>
  <c r="L105" i="2"/>
  <c r="K105" i="2"/>
  <c r="AJ104" i="2"/>
  <c r="L104" i="2"/>
  <c r="K104" i="2"/>
  <c r="AJ103" i="2"/>
  <c r="L103" i="2"/>
  <c r="K103" i="2"/>
  <c r="AJ102" i="2"/>
  <c r="L102" i="2"/>
  <c r="K102" i="2"/>
  <c r="AJ101" i="2"/>
  <c r="L101" i="2"/>
  <c r="K101" i="2"/>
  <c r="AJ100" i="2"/>
  <c r="L100" i="2"/>
  <c r="K100" i="2"/>
  <c r="AJ99" i="2"/>
  <c r="L99" i="2"/>
  <c r="K99" i="2"/>
  <c r="AJ98" i="2"/>
  <c r="L98" i="2"/>
  <c r="K98" i="2"/>
  <c r="AJ97" i="2"/>
  <c r="L97" i="2"/>
  <c r="K97" i="2"/>
  <c r="AJ96" i="2"/>
  <c r="L96" i="2"/>
  <c r="K96" i="2"/>
  <c r="AJ95" i="2"/>
  <c r="L95" i="2"/>
  <c r="K95" i="2"/>
  <c r="AJ94" i="2"/>
  <c r="L94" i="2"/>
  <c r="K94" i="2"/>
  <c r="AJ93" i="2"/>
  <c r="L93" i="2"/>
  <c r="K93" i="2"/>
  <c r="AJ92" i="2"/>
  <c r="L92" i="2"/>
  <c r="K92" i="2"/>
  <c r="AJ91" i="2"/>
  <c r="L91" i="2"/>
  <c r="K91" i="2"/>
  <c r="AJ90" i="2"/>
  <c r="L90" i="2"/>
  <c r="K90" i="2"/>
  <c r="AJ89" i="2"/>
  <c r="L89" i="2"/>
  <c r="K89" i="2"/>
  <c r="AJ88" i="2"/>
  <c r="L88" i="2"/>
  <c r="K88" i="2"/>
  <c r="AJ87" i="2"/>
  <c r="L87" i="2"/>
  <c r="K87" i="2"/>
  <c r="AJ86" i="2"/>
  <c r="L86" i="2"/>
  <c r="K86" i="2"/>
  <c r="AJ85" i="2"/>
  <c r="L85" i="2"/>
  <c r="K85" i="2"/>
  <c r="AJ84" i="2"/>
  <c r="L84" i="2"/>
  <c r="K84" i="2"/>
  <c r="AJ83" i="2"/>
  <c r="L83" i="2"/>
  <c r="K83" i="2"/>
  <c r="AJ82" i="2"/>
  <c r="L82" i="2"/>
  <c r="K82" i="2"/>
  <c r="AJ81" i="2"/>
  <c r="L81" i="2"/>
  <c r="K81" i="2"/>
  <c r="AJ80" i="2"/>
  <c r="L80" i="2"/>
  <c r="K80" i="2"/>
  <c r="AJ79" i="2"/>
  <c r="L79" i="2"/>
  <c r="K79" i="2"/>
  <c r="AJ78" i="2"/>
  <c r="L78" i="2"/>
  <c r="K78" i="2"/>
  <c r="AJ77" i="2"/>
  <c r="L77" i="2"/>
  <c r="K77" i="2"/>
  <c r="AJ76" i="2"/>
  <c r="L76" i="2"/>
  <c r="K76" i="2"/>
  <c r="AJ75" i="2"/>
  <c r="L75" i="2"/>
  <c r="K75" i="2"/>
  <c r="AJ74" i="2"/>
  <c r="L74" i="2"/>
  <c r="K74" i="2"/>
  <c r="AJ73" i="2"/>
  <c r="L73" i="2"/>
  <c r="K73" i="2"/>
  <c r="AJ72" i="2"/>
  <c r="L72" i="2"/>
  <c r="K72" i="2"/>
  <c r="AJ71" i="2"/>
  <c r="L71" i="2"/>
  <c r="K71" i="2"/>
  <c r="AJ70" i="2"/>
  <c r="L70" i="2"/>
  <c r="K70" i="2"/>
  <c r="AJ69" i="2"/>
  <c r="L69" i="2"/>
  <c r="K69" i="2"/>
  <c r="AJ68" i="2"/>
  <c r="L68" i="2"/>
  <c r="K68" i="2"/>
  <c r="AJ67" i="2"/>
  <c r="L67" i="2"/>
  <c r="K67" i="2"/>
  <c r="AJ66" i="2"/>
  <c r="L66" i="2"/>
  <c r="K66" i="2"/>
  <c r="AJ65" i="2"/>
  <c r="L65" i="2"/>
  <c r="K65" i="2"/>
  <c r="AJ64" i="2"/>
  <c r="L64" i="2"/>
  <c r="K64" i="2"/>
  <c r="AJ63" i="2"/>
  <c r="L63" i="2"/>
  <c r="K63" i="2"/>
  <c r="AJ62" i="2"/>
  <c r="L62" i="2"/>
  <c r="K62" i="2"/>
  <c r="AJ61" i="2"/>
  <c r="L61" i="2"/>
  <c r="K61" i="2"/>
  <c r="AJ60" i="2"/>
  <c r="L60" i="2"/>
  <c r="K60" i="2"/>
  <c r="AJ59" i="2"/>
  <c r="L59" i="2"/>
  <c r="K59" i="2"/>
  <c r="AJ58" i="2"/>
  <c r="L58" i="2"/>
  <c r="K58" i="2"/>
  <c r="AJ57" i="2"/>
  <c r="L57" i="2"/>
  <c r="K57" i="2"/>
  <c r="AJ56" i="2"/>
  <c r="L56" i="2"/>
  <c r="K56" i="2"/>
  <c r="AJ55" i="2"/>
  <c r="L55" i="2"/>
  <c r="K55" i="2"/>
  <c r="AJ54" i="2"/>
  <c r="L54" i="2"/>
  <c r="K54" i="2"/>
  <c r="AJ53" i="2"/>
  <c r="L53" i="2"/>
  <c r="K53" i="2"/>
  <c r="AJ52" i="2"/>
  <c r="L52" i="2"/>
  <c r="K52" i="2"/>
  <c r="AJ51" i="2"/>
  <c r="L51" i="2"/>
  <c r="K51" i="2"/>
  <c r="AJ50" i="2"/>
  <c r="L50" i="2"/>
  <c r="K50" i="2"/>
  <c r="AJ49" i="2"/>
  <c r="L49" i="2"/>
  <c r="K49" i="2"/>
  <c r="AJ48" i="2"/>
  <c r="L48" i="2"/>
  <c r="K48" i="2"/>
  <c r="AJ47" i="2"/>
  <c r="L47" i="2"/>
  <c r="K47" i="2"/>
  <c r="AJ46" i="2"/>
  <c r="L46" i="2"/>
  <c r="K46" i="2"/>
  <c r="AJ45" i="2"/>
  <c r="L45" i="2"/>
  <c r="K45" i="2"/>
  <c r="AJ44" i="2"/>
  <c r="L44" i="2"/>
  <c r="K44" i="2"/>
  <c r="AJ43" i="2"/>
  <c r="L43" i="2"/>
  <c r="K43" i="2"/>
  <c r="AJ42" i="2"/>
  <c r="L42" i="2"/>
  <c r="K42" i="2"/>
  <c r="AJ41" i="2"/>
  <c r="L41" i="2"/>
  <c r="K41" i="2"/>
  <c r="AJ40" i="2"/>
  <c r="L40" i="2"/>
  <c r="K40" i="2"/>
  <c r="AJ39" i="2"/>
  <c r="L39" i="2"/>
  <c r="K39" i="2"/>
  <c r="AJ38" i="2"/>
  <c r="L38" i="2"/>
  <c r="K38" i="2"/>
  <c r="AJ37" i="2"/>
  <c r="L37" i="2"/>
  <c r="K37" i="2"/>
  <c r="AJ36" i="2"/>
  <c r="L36" i="2"/>
  <c r="K36" i="2"/>
  <c r="AJ35" i="2"/>
  <c r="L35" i="2"/>
  <c r="K35" i="2"/>
  <c r="AJ34" i="2"/>
  <c r="L34" i="2"/>
  <c r="K34" i="2"/>
  <c r="AJ33" i="2"/>
  <c r="L33" i="2"/>
  <c r="K33" i="2"/>
  <c r="AJ32" i="2"/>
  <c r="L32" i="2"/>
  <c r="K32" i="2"/>
  <c r="AJ31" i="2"/>
  <c r="L31" i="2"/>
  <c r="K31" i="2"/>
  <c r="AJ30" i="2"/>
  <c r="L30" i="2"/>
  <c r="K30" i="2"/>
  <c r="AJ29" i="2"/>
  <c r="L29" i="2"/>
  <c r="K29" i="2"/>
  <c r="AJ28" i="2"/>
  <c r="L28" i="2"/>
  <c r="K28" i="2"/>
  <c r="AJ27" i="2"/>
  <c r="L27" i="2"/>
  <c r="K27" i="2"/>
  <c r="AJ26" i="2"/>
  <c r="L26" i="2"/>
  <c r="K26" i="2"/>
  <c r="AJ25" i="2"/>
  <c r="L25" i="2"/>
  <c r="K25" i="2"/>
  <c r="AJ24" i="2"/>
  <c r="L24" i="2"/>
  <c r="K24" i="2"/>
  <c r="AJ23" i="2"/>
  <c r="L23" i="2"/>
  <c r="K23" i="2"/>
  <c r="AJ22" i="2"/>
  <c r="L22" i="2"/>
  <c r="K22" i="2"/>
  <c r="AJ21" i="2"/>
  <c r="L21" i="2"/>
  <c r="K21" i="2"/>
  <c r="AJ20" i="2"/>
  <c r="L20" i="2"/>
  <c r="K20" i="2"/>
  <c r="AJ19" i="2"/>
  <c r="L19" i="2"/>
  <c r="K19" i="2"/>
  <c r="AJ18" i="2"/>
  <c r="L18" i="2"/>
  <c r="K18" i="2"/>
  <c r="AJ17" i="2"/>
  <c r="L17" i="2"/>
  <c r="K17" i="2"/>
  <c r="AJ16" i="2"/>
  <c r="L16" i="2"/>
  <c r="K16" i="2"/>
  <c r="AJ15" i="2"/>
  <c r="L15" i="2"/>
  <c r="K15" i="2"/>
  <c r="AJ14" i="2"/>
  <c r="L14" i="2"/>
  <c r="K14" i="2"/>
  <c r="AJ13" i="2"/>
  <c r="L13" i="2"/>
  <c r="K13" i="2"/>
  <c r="AJ12" i="2"/>
  <c r="L12" i="2"/>
  <c r="K12" i="2"/>
  <c r="AJ11" i="2"/>
  <c r="L11" i="2"/>
  <c r="K11" i="2"/>
  <c r="AJ10" i="2"/>
  <c r="L10" i="2"/>
  <c r="K10" i="2"/>
  <c r="AJ9" i="2"/>
  <c r="L9" i="2"/>
  <c r="K9" i="2"/>
  <c r="AJ8" i="2"/>
  <c r="L8" i="2"/>
  <c r="K8" i="2"/>
  <c r="AJ7" i="2"/>
  <c r="L7" i="2"/>
  <c r="K7" i="2"/>
  <c r="AJ6" i="2"/>
  <c r="L6" i="2"/>
  <c r="K6" i="2"/>
  <c r="AJ5" i="2"/>
  <c r="L5" i="2"/>
  <c r="K5" i="2"/>
  <c r="AJ4" i="2"/>
  <c r="L4" i="2"/>
  <c r="K4" i="2"/>
  <c r="AJ3" i="2"/>
  <c r="L3" i="2"/>
  <c r="K3" i="2"/>
  <c r="AJ2" i="2"/>
  <c r="L2" i="2"/>
  <c r="K2" i="2"/>
  <c r="J368" i="3" l="1"/>
  <c r="I202" i="3"/>
  <c r="I51" i="3"/>
  <c r="J9" i="3"/>
  <c r="J17" i="3"/>
  <c r="J25" i="3"/>
  <c r="J33" i="3"/>
  <c r="J41" i="3"/>
  <c r="J49" i="3"/>
  <c r="J7" i="3"/>
  <c r="J15" i="3"/>
  <c r="J23" i="3"/>
  <c r="J31" i="3"/>
  <c r="J39" i="3"/>
  <c r="J47" i="3"/>
  <c r="J271" i="3"/>
  <c r="J315" i="3"/>
  <c r="J339" i="3"/>
  <c r="J363" i="3"/>
  <c r="J412" i="3"/>
  <c r="J420" i="3"/>
  <c r="J428" i="3"/>
  <c r="J313" i="3"/>
  <c r="J337" i="3"/>
  <c r="J361" i="3"/>
  <c r="J263" i="3"/>
  <c r="J423" i="3"/>
  <c r="J285" i="3"/>
  <c r="J309" i="3"/>
  <c r="J333" i="3"/>
  <c r="J357" i="3"/>
  <c r="J281" i="3"/>
  <c r="J305" i="3"/>
  <c r="J329" i="3"/>
  <c r="J353" i="3"/>
  <c r="J377" i="3"/>
  <c r="J413" i="3"/>
  <c r="J421" i="3"/>
  <c r="J429" i="3"/>
  <c r="J277" i="3"/>
  <c r="J301" i="3"/>
  <c r="J325" i="3"/>
  <c r="J349" i="3"/>
  <c r="J373" i="3"/>
  <c r="J275" i="3"/>
  <c r="J299" i="3"/>
  <c r="J323" i="3"/>
  <c r="J347" i="3"/>
  <c r="J371" i="3"/>
  <c r="J406" i="3"/>
  <c r="J411" i="3"/>
  <c r="J419" i="3"/>
  <c r="J273" i="3"/>
  <c r="J297" i="3"/>
  <c r="J321" i="3"/>
  <c r="J345" i="3"/>
  <c r="J369" i="3"/>
  <c r="J414" i="3"/>
  <c r="J422" i="3"/>
  <c r="J430" i="3"/>
</calcChain>
</file>

<file path=xl/sharedStrings.xml><?xml version="1.0" encoding="utf-8"?>
<sst xmlns="http://schemas.openxmlformats.org/spreadsheetml/2006/main" count="14458" uniqueCount="1346">
  <si>
    <t>Receive Date</t>
  </si>
  <si>
    <t>Return Date</t>
  </si>
  <si>
    <t>Invoice Day</t>
  </si>
  <si>
    <t>Transaction Type</t>
  </si>
  <si>
    <t>Quantity</t>
  </si>
  <si>
    <t>Net Receipts</t>
  </si>
  <si>
    <t>Net Receipts Currency</t>
  </si>
  <si>
    <t>List Price</t>
  </si>
  <si>
    <t>List Price Currency</t>
  </si>
  <si>
    <t>Rebate In Agreement Currency</t>
  </si>
  <si>
    <t>Rebate per Units</t>
  </si>
  <si>
    <t>Price per unit</t>
  </si>
  <si>
    <t>Agreement Currency</t>
  </si>
  <si>
    <t>Rebate In Purchase Order Currency</t>
  </si>
  <si>
    <t>Purchase Order Currency</t>
  </si>
  <si>
    <t>Purchase Order</t>
  </si>
  <si>
    <t>Asin</t>
  </si>
  <si>
    <t>UPC</t>
  </si>
  <si>
    <t>EAN</t>
  </si>
  <si>
    <t>Manufacturer</t>
  </si>
  <si>
    <t>Distributor</t>
  </si>
  <si>
    <t>Product Group</t>
  </si>
  <si>
    <t>Category</t>
  </si>
  <si>
    <t>Subcategory</t>
  </si>
  <si>
    <t>Title</t>
  </si>
  <si>
    <t>Product Description</t>
  </si>
  <si>
    <t>Binding</t>
  </si>
  <si>
    <t>Cost Currency</t>
  </si>
  <si>
    <t>Old Cost</t>
  </si>
  <si>
    <t>New Cost</t>
  </si>
  <si>
    <t>Price Protection Agreement</t>
  </si>
  <si>
    <t>Price Protection Day</t>
  </si>
  <si>
    <t>Cost Variance</t>
  </si>
  <si>
    <t>Invoice</t>
  </si>
  <si>
    <t>Multi-Country Parent Agreement ID</t>
  </si>
  <si>
    <t>Invoice Concate</t>
  </si>
  <si>
    <t>2022-05-11</t>
  </si>
  <si>
    <t/>
  </si>
  <si>
    <t>Distributor Shipment</t>
  </si>
  <si>
    <t>EUR</t>
  </si>
  <si>
    <t>8IC45Q9K</t>
  </si>
  <si>
    <t>B00CJ5FPTA</t>
  </si>
  <si>
    <t>9154400221198</t>
  </si>
  <si>
    <t>LOGC8</t>
  </si>
  <si>
    <t>L***8</t>
  </si>
  <si>
    <t>14700900</t>
  </si>
  <si>
    <t>14700939</t>
  </si>
  <si>
    <t>Logitech Joystick Extreme 3D Pro, Versione Italiana, Nero</t>
  </si>
  <si>
    <t>accessory</t>
  </si>
  <si>
    <t>2022-05-02</t>
  </si>
  <si>
    <t>54U7COBY</t>
  </si>
  <si>
    <t>B07CGNDZR3</t>
  </si>
  <si>
    <t>5099206077829</t>
  </si>
  <si>
    <t>14700933</t>
  </si>
  <si>
    <t>Logitech G305 LIGHTSPEED Mouse Gaming Wireless, Sensore 12K HERO, 12.000 DPI, Design Leggero, 6 Pulsanti Programmabili, Batteria 250 Ore, Memoria Integrata, PC/Laptop - Nero</t>
  </si>
  <si>
    <t>3WIANGOB</t>
  </si>
  <si>
    <t>B076K126YZ</t>
  </si>
  <si>
    <t>0853359004287</t>
  </si>
  <si>
    <t>2304100</t>
  </si>
  <si>
    <t>2304110</t>
  </si>
  <si>
    <t>Logitech Mevo Start Supporto da pavimento, supporto regolabile a basso profilo per posizione seduta e in piedi con videocamere Mevo - Nero</t>
  </si>
  <si>
    <t>pc</t>
  </si>
  <si>
    <t>2022-05-21</t>
  </si>
  <si>
    <t>3AWPOPBJ</t>
  </si>
  <si>
    <t>B01A9HC69G</t>
  </si>
  <si>
    <t>0097855119230</t>
  </si>
  <si>
    <t>Logitech M171 Mouse Wireless, 2.4 GHz con Mini Ricevitore USB, Rilevamento Ottico, Durata ‎Batteria 12 Mesi, Mouse Ambidestro per PC/Mac/Laptop, Blu</t>
  </si>
  <si>
    <t>2022-05-20</t>
  </si>
  <si>
    <t>B079Z3DSBK</t>
  </si>
  <si>
    <t>5099206076778</t>
  </si>
  <si>
    <t>Logitech G X56 H.O.T.A.S Controller Acceleratore e Joystick RGB X56 HOTAS, 6 DoF Gradi di ‎Libertà, 4 Opzioni Tensionamento, +189 Controlli Programmabili, illuminazione RGB, 2x USB, PC ‎‎- Nero</t>
  </si>
  <si>
    <t>2022-05-05</t>
  </si>
  <si>
    <t>6GSPTXJA</t>
  </si>
  <si>
    <t>B003IZ5JXC</t>
  </si>
  <si>
    <t>5099206020481</t>
  </si>
  <si>
    <t>14700930</t>
  </si>
  <si>
    <t>Logitech MK120 Combo Tastiera e Mouse con Filo per Windows, Layout Tedesco QWERTZ - Nero</t>
  </si>
  <si>
    <t>2022-05-04</t>
  </si>
  <si>
    <t>135JM91X</t>
  </si>
  <si>
    <t>B07W4DGLJX</t>
  </si>
  <si>
    <t>5099206086531</t>
  </si>
  <si>
    <t>Logitech MK470 Kit Mouse e Tastiera, Layout Italiano Qwerty, Bianco</t>
  </si>
  <si>
    <t>57D297ZK</t>
  </si>
  <si>
    <t>B01N6NGNQ8</t>
  </si>
  <si>
    <t>6920377906702</t>
  </si>
  <si>
    <t>Logitech MK850 Kit Tastiera e Mouse Wireless Multidispositivo, Wireless e Bluetooth 2.4 GHz, 12 ‎Tasti Programmabili, Durata Batteria di 3 Anni, PC/Mac, Layout Italiano QWERTY, Nero</t>
  </si>
  <si>
    <t>B011N78DMA</t>
  </si>
  <si>
    <t>5099206058996</t>
  </si>
  <si>
    <t>Logitech G920 Driving Force Racing Wheel Volante da Corsa, Pedali Regolabili, Ritorno di Forza Reale, ‎Comandi Cambio in Acciaio Inossidabile, Volante in Pelle, Spina EU, Xbox Series X/S PC, Nero</t>
  </si>
  <si>
    <t>6D1HFTMS</t>
  </si>
  <si>
    <t>B01K7GEAF2</t>
  </si>
  <si>
    <t>5099206066205</t>
  </si>
  <si>
    <t>Logitech M220 SILENT Mouse Wireless, 2,4 GHz con Ricevitore USB, Tracciamento Ottico 1000 DPI, Durata Batteria di 18 Mesi, Ambidestro, Compatibile con PC, Mac, Laptop - Blu</t>
  </si>
  <si>
    <t>B008S1IOSS</t>
  </si>
  <si>
    <t>5054629139127</t>
  </si>
  <si>
    <t>2305300</t>
  </si>
  <si>
    <t>2305310</t>
  </si>
  <si>
    <t>Logitech H540 Cuffie Cablate per Computer, Cuffie Stereo con Microfono Cancellazione di ‎Rumore, USB, Controlli Integrati, Indicatore Luminoso per Audio, PC/Mac/Laptop/Chromebook - Nero</t>
  </si>
  <si>
    <t>B07W6JKKBV</t>
  </si>
  <si>
    <t>5099206095267</t>
  </si>
  <si>
    <t>Logitech Combo Touch Custodia con Tastiera per iPad Pro 11 pollici (1a, 2a, 3a gen, 2018, 2020, 2021), Tastiera Retroilluminata Rimovibile, Trackpad, Smart Connector, Layout Italiano QWERTY, Grigio</t>
  </si>
  <si>
    <t>2022-05-28</t>
  </si>
  <si>
    <t>2022-05-10</t>
  </si>
  <si>
    <t>68K72QXC</t>
  </si>
  <si>
    <t>B07JGCM9QM</t>
  </si>
  <si>
    <t>0086156283443</t>
  </si>
  <si>
    <t>Logitech G Saitek Farm Sim Controller, Kit Simulazione Macchine Pesanti con Volante, ‎Console di Comando, Pedale Acceleratore/Freno, Raggio Sterzata 900°, 38 Pulsanti, ‎USB, PC/Mac - Nero</t>
  </si>
  <si>
    <t>game_video</t>
  </si>
  <si>
    <t>5HGHPU5O</t>
  </si>
  <si>
    <t>B07W6JFPT1</t>
  </si>
  <si>
    <t>5099206086821</t>
  </si>
  <si>
    <t>Logitech MX Keys Tastiera, Layout Francese ‎Azerty, Nero (Grafite)</t>
  </si>
  <si>
    <t>B07W6JNQ82</t>
  </si>
  <si>
    <t>5099206086425</t>
  </si>
  <si>
    <t>Logitech G PRO TKL Tastiera Gaming Meccanica, GX Blue Clicky Switch, LIGHTSYNC RGB, Design Portatile Tenkeyless, Pensato per Esport Gaming, Micro Cavo USB Rimovibile, QWERTY US Layout, Nero</t>
  </si>
  <si>
    <t>2022-05-22</t>
  </si>
  <si>
    <t>3S7Y1OIV</t>
  </si>
  <si>
    <t>B00544XFHC</t>
  </si>
  <si>
    <t>0097855075772</t>
  </si>
  <si>
    <t>Logitech M185 Mouse Wireless, 2,4 GHz con Mini Ricevitore USB, Durata Batteria di 12 Mesi, Tracciamento Ottico 1000 DPI, Ambidestro, Compatibile con PC, Mac, Laptop - Rosso</t>
  </si>
  <si>
    <t>B01DIJIE1Q</t>
  </si>
  <si>
    <t>5099206064195</t>
  </si>
  <si>
    <t>Logitech G440 Tappetino Mouse Gaming in Polimero Rigido, Mouse Pad per Giochi di Alto DPI, 340 x 280 mm, Spessore 3 mm, Attrito Basso, Superficie Uniforme, Nero</t>
  </si>
  <si>
    <t>81V4YVNT</t>
  </si>
  <si>
    <t>B07W6JG6Z7</t>
  </si>
  <si>
    <t>5099206085800</t>
  </si>
  <si>
    <t>Logitech MX Master 3 Mouse Wireless Avanzato, Ricevitore Bluetooth o USB 2.4 GHz, Scorrimento ‎Rapido, 4000 DPI Qualsiasi Superficie, Ergonomico, 7 Pulsanti, PC/Mac/Laptop/iPadOS, Grigio (‎Scuro)</t>
  </si>
  <si>
    <t>2022-05-26</t>
  </si>
  <si>
    <t>5DN5PI5Y</t>
  </si>
  <si>
    <t>B0078M385M</t>
  </si>
  <si>
    <t>5099206032941</t>
  </si>
  <si>
    <t>Logitech K270 Tastiera Wireless per Windows, Layout ‎Francese AZERTY - Nero</t>
  </si>
  <si>
    <t>2022-05-27</t>
  </si>
  <si>
    <t>2022-05-25</t>
  </si>
  <si>
    <t>6VR89N1L</t>
  </si>
  <si>
    <t>B07W5JK4LF</t>
  </si>
  <si>
    <t>5099206092402</t>
  </si>
  <si>
    <t>Logitech MK295 Kit Mouse E Tastiera Wireless, Tecnologia Silenttouch, Layout Italiano Qwerty, Nero</t>
  </si>
  <si>
    <t>1S3VNUKA</t>
  </si>
  <si>
    <t>B073399S1L</t>
  </si>
  <si>
    <t>5099206074576</t>
  </si>
  <si>
    <t>Logitech G POWERPLAY Ricarica Wireless Tappetino Mouse, Tappetino per Mouse Gaming in Tessuto o Rigido, Mouse Pad Compatibile con G502 LIGHTSPEED, G PRO Wireless &amp; SUPERLIGHT, G903, G703</t>
  </si>
  <si>
    <t>B07MTY5HH8</t>
  </si>
  <si>
    <t>5099206081925</t>
  </si>
  <si>
    <t>Logitech G635 - Cuffie da gioco RGB Con Cavo, Suono surround 7.1, DTS X 2.0, Trasduttori Pro-G da 50 mm, Microfono flip per mute, PC/PS4/Xbox One/Switch/Dispositivi con ingresso 3.5mm, Nero</t>
  </si>
  <si>
    <t>consumer_electronics</t>
  </si>
  <si>
    <t>B0056C69DO</t>
  </si>
  <si>
    <t>5099206021365</t>
  </si>
  <si>
    <t>Logitech K120 Tastiera Cablata Business Per Windows, Linux, USB, Tasti ‎Silenziosi,‎ Nero</t>
  </si>
  <si>
    <t>B004IO5BMQ</t>
  </si>
  <si>
    <t>5099206027169</t>
  </si>
  <si>
    <t>Logitech M235 Mouse Wireless, 2,4 GHz con Ricevitore USB Unifying, Tracciamento Ottico 1000 DPI, Durata Batteria di 12 Mesi, Compatibile con PC, Mac, Laptop, Chromebook - Grigio</t>
  </si>
  <si>
    <t>B07W6HFDR8</t>
  </si>
  <si>
    <t>5099206094109</t>
  </si>
  <si>
    <t>14700948</t>
  </si>
  <si>
    <t>Logitech G840 K/DA Tappetino Mouse Gaming XL in Tessuto, 3 mm di Spessore, Base in Gomma Stabile, Attrezzatura da Gaming Ufficiale di League of Legends - Multicolore</t>
  </si>
  <si>
    <t>B0037KLSR4</t>
  </si>
  <si>
    <t>5099206021037</t>
  </si>
  <si>
    <t>Logitech MK710 Kit Mouse e Tastiera, Layout Inglese Qwerty, Nero</t>
  </si>
  <si>
    <t>84Q57SSP</t>
  </si>
  <si>
    <t>B07QNYCLBJ</t>
  </si>
  <si>
    <t>5099206082090</t>
  </si>
  <si>
    <t>Mouse da gioco wireless Logitech G502 LIGHTSPEED, sensore di gioco HERO 25K, 25600 DPI, RGB, ultraleggero, 11 pulsanti programmabili, batteria a lunga durata, compatibile con PowerPlay, PC - nero</t>
  </si>
  <si>
    <t>1H179DEH</t>
  </si>
  <si>
    <t>B003V4A5VG</t>
  </si>
  <si>
    <t>4054554528271</t>
  </si>
  <si>
    <t>Logitech K120 Tastiera con Cavo per Windows, Layout ‎Francese AZERTY - Nero</t>
  </si>
  <si>
    <t>4FFLHW5M</t>
  </si>
  <si>
    <t>B01C4HCSOC</t>
  </si>
  <si>
    <t>5099206063853</t>
  </si>
  <si>
    <t>Logitech MK235 Combo Tastiera e Mouse Wireless per Windows, Layout ‎Francese AZERTY - Grigio</t>
  </si>
  <si>
    <t>4RM5JT6B</t>
  </si>
  <si>
    <t>B00544XJDM</t>
  </si>
  <si>
    <t>5099206028852</t>
  </si>
  <si>
    <t>Logitech M185 Mouse Wireless, 2,4 GHz con Mini Ricevitore USB, Durata Batteria di 12 Mesi, Tracciamento Ottico 1000 DPI, Ambidestro, Compatibile con PC, Mac, Laptop - Blu</t>
  </si>
  <si>
    <t>B00ZOOKDU4</t>
  </si>
  <si>
    <t>5099206057333</t>
  </si>
  <si>
    <t>14700942</t>
  </si>
  <si>
    <t>Logitech H151 Cuffie Cablate, Cuffie Stereo con Microfono Girevole con Cancellazione Rumore e ‎Multidispotivo, Jack audio da 3.5 mm, Controlli in Linea, PC/Mac/Laptop/Tablet/Smartphone, Nero</t>
  </si>
  <si>
    <t>B07W4DGC27</t>
  </si>
  <si>
    <t>5099206099784</t>
  </si>
  <si>
    <t>Logitech Lift Mouse Ergonomico Verticale, Senza Fili, Ricevitore Bluetooth o Logi Bolt USB, Clic Silenziosi, 4 Tasti, Compatibile con Windows / macOS / iPadOS, Laptop, PC - Grafite</t>
  </si>
  <si>
    <t>5UESXM5P</t>
  </si>
  <si>
    <t>B07TQ6G276</t>
  </si>
  <si>
    <t>5099206085701</t>
  </si>
  <si>
    <t>Logitech G PRO Cuffia Gaming, Cuffia Cablata con Microfono per Gaming, con Driver Audio PRO-G da 50 mm, Alluminio, Acciaio e Memory Foam, per Esport Gaming, per PC/PS/Xbox/Nintendo Switch, Nero</t>
  </si>
  <si>
    <t>B07FNHV4MW</t>
  </si>
  <si>
    <t>5099206081901</t>
  </si>
  <si>
    <t>Logitech MX Mouse Verticale Wireless Ergonomico, Multi-Dispositivo, Bluetooth o 2.4 GHz Ricevitore USB Unifying, Rilevamento Ottico Avanzato 4000 DPI, 4 Pulsanti, Ricarica Rapida, PC/Mac/iPadOS, Nero</t>
  </si>
  <si>
    <t>6DPU2MKP</t>
  </si>
  <si>
    <t>B01MV1GX63</t>
  </si>
  <si>
    <t>0065030865487</t>
  </si>
  <si>
    <t>Logitech M100 Mouse USB con Cavo, 3 Pulsanti, Tracciamento Ottico 1000 DPI, Ambidestro, Compatibile con PC, Mac, Laptop - Grigio</t>
  </si>
  <si>
    <t>B003V4A5UW</t>
  </si>
  <si>
    <t>5099206020474</t>
  </si>
  <si>
    <t>Logitech MK120 Combo Tastiera e Mouse con Filo per Windows, Layout ‎Francese AZERTY - Nero</t>
  </si>
  <si>
    <t>B07W6H4R4D</t>
  </si>
  <si>
    <t>5099206093492</t>
  </si>
  <si>
    <t>Logitech Folio Touch Custodia iPad con Tastiera, Trackpad e Smart Connector ‎per iPad Air 4a Gen, 5a Gen, 2020, 2022 (Modelli: A2316/A2324/A2325/A2072/A2588/A2589/A2591), Italiano QWERTY - Grigio</t>
  </si>
  <si>
    <t>B00M6MLYZU</t>
  </si>
  <si>
    <t>5099206053304</t>
  </si>
  <si>
    <t>Logitech H570E Cuffie Cablate Mono Compatibili Con Pc/Mac/Laptop, Nero, 16.5 x 5 x 17.2 cm</t>
  </si>
  <si>
    <t>B003PAMIA2</t>
  </si>
  <si>
    <t>5711045256387</t>
  </si>
  <si>
    <t>Logitech K120 Tastiera con Cavo per Windows, Layout Tedesco QWERTZ - Nero</t>
  </si>
  <si>
    <t>B07H3HGS9R</t>
  </si>
  <si>
    <t>5099206080539</t>
  </si>
  <si>
    <t>Logitech B110 Mouse USB cablato, pulsanti silenziosi, design confortevole per l'uso a grandezza naturale, PC / Mac / Laptop ambidestro - Grigio</t>
  </si>
  <si>
    <t>2WFUPSOG</t>
  </si>
  <si>
    <t>B007G95NG4</t>
  </si>
  <si>
    <t>5099206032897</t>
  </si>
  <si>
    <t>Logitech K270 Tastiera</t>
  </si>
  <si>
    <t>4AY3K18C</t>
  </si>
  <si>
    <t>B07W6G822Y</t>
  </si>
  <si>
    <t>5099206093751</t>
  </si>
  <si>
    <t>Logitech G333 K/DA Cuffie Auricolari da Gaming, Microfono e Controlli in Linea, Doppio driver, Attrezzatura ufficiale di League of Legends per PC, PS, Xbox, Nintendo, Aux 3,5 mm o Porta USB - Bianco</t>
  </si>
  <si>
    <t>B00YUIM2J0</t>
  </si>
  <si>
    <t>5099206057302</t>
  </si>
  <si>
    <t>Logitech G29 Driving Force Volante da Corsa con Pedali Regolabili, Ritorno di Forza Reale, Comandi Cambio in Acciaio Inossidabile, Volante in Pelle, Spina EU, PS5, PS4, PC, Mac - Nero</t>
  </si>
  <si>
    <t>5EPWKXSH</t>
  </si>
  <si>
    <t>B013SL2050</t>
  </si>
  <si>
    <t>5099206061422</t>
  </si>
  <si>
    <t>Logitech K380 Tastiera Bluetooth Multidispositivo per Windows, Apple iOS, ‎Bluetooth Wireless, Design Compatto, PC/Mac/Laptop/Smartphone/Tablet, Layout Italiano ‎QWERTY, Nero</t>
  </si>
  <si>
    <t>B07W7KT2B3</t>
  </si>
  <si>
    <t>5099206088719</t>
  </si>
  <si>
    <t>Logitech G733 LIGHTSPEED Cuffia Wireless con Microfono Gaming con Fascia per la Testa a Sospensione, LIGHTSYNC RGB, Tecnologia Microfono Blue VO!CE, Driver Audio Pro-G, Leggera - Nero</t>
  </si>
  <si>
    <t>B01C47ZFLK</t>
  </si>
  <si>
    <t>5099206063884</t>
  </si>
  <si>
    <t>Logitech MK235 Combo Tastiera e Mouse Wireless per Windows, Ricevitore Unifying USB 2,4 GHz Wireless, 15 Tasti FN, Lunga Durata della Batteria, PC, Laptop, Layout Italiano QWERTY - Grigio</t>
  </si>
  <si>
    <t>B002VA464S</t>
  </si>
  <si>
    <t>0836213001950</t>
  </si>
  <si>
    <t>26704000</t>
  </si>
  <si>
    <t>26704200</t>
  </si>
  <si>
    <t>Blue Yeti Microfono USB per Registrazione, Streaming, Gaming, Podcasting su PC e Mac, Mic a Condensatore per Laptop o Computer, Effetti Blue VO!CE, Stand Regolabile, Plug and Play - Argento</t>
  </si>
  <si>
    <t>B01DKTP3PY</t>
  </si>
  <si>
    <t>5099206064188</t>
  </si>
  <si>
    <t>Logitech G440 Tappetino Mouse Gaming in Polimero Rigido, Mouse Pad per Giochi di Alto DPI, 340 x 280 mm, Spessore 3 mm, Attrito Basso, Superficie Uniforme - Nero</t>
  </si>
  <si>
    <t>5HXMAQAC</t>
  </si>
  <si>
    <t>B0711V7BV6</t>
  </si>
  <si>
    <t>5099206075122</t>
  </si>
  <si>
    <t>ASTRO Gaming A10 Cuffie Gaming Cablate con Microfono, Leggere e Resistenti, ASTRO Audio, Jack 3.5 mm, per Xbox Series X|S, Xbox One, PS5, PS4, Nintendo Switch, PC, Smartphone, Nero/Blu</t>
  </si>
  <si>
    <t>8E4YHFGV</t>
  </si>
  <si>
    <t>B07W6HDNNV</t>
  </si>
  <si>
    <t>5099206085824</t>
  </si>
  <si>
    <t>Logitech MX Master 3 – Mouse Wireless Avanzato per Mac, Scorrimento Rapido, Design Ergonomico, 4000 DPI, Personalizzabile, USB-C Risparmio Energia, Bluetooth, Apple MacBook, Compatibile iPad  - Grigio</t>
  </si>
  <si>
    <t>6ZGQP34K</t>
  </si>
  <si>
    <t>B004MY4PU6</t>
  </si>
  <si>
    <t>0088022219778</t>
  </si>
  <si>
    <t>14700918</t>
  </si>
  <si>
    <t>Logitech Z906 5.1 Sistema di Altoparlanti Audio Dolby Surround, Certificato THX, Dolby e DTS, 1000 Watt, Multidispositivo, Con Telecomando, Presa UK, PC/PS4/Xbox/TV/Smartphone/Tablet</t>
  </si>
  <si>
    <t>3O2Z95HB</t>
  </si>
  <si>
    <t>B07W5JHXF8</t>
  </si>
  <si>
    <t>5099206097766</t>
  </si>
  <si>
    <t>Logitech K380 Tastiera Bluetooth Multidispositivo per Mac, Sottile e Compatta, Easy-Switch fino a 3 Dispositivi, macOS / iOS / iPadOS, Layout Italiano QWERTY, Rosa</t>
  </si>
  <si>
    <t>1O6JEKYW</t>
  </si>
  <si>
    <t>B0766JZ8Q3</t>
  </si>
  <si>
    <t>5099206074552</t>
  </si>
  <si>
    <t>Logitech G840 XL Tappetino Mouse Gaming in Tessuto, Mouse Pad 400x900 mm, Spessore 3 mm, Superficie Orientata alle Prestazioni, Basso Attrito, Solida Base in Gomma, Portatile, Nero</t>
  </si>
  <si>
    <t>3461KSJB</t>
  </si>
  <si>
    <t>B07W6J52LN</t>
  </si>
  <si>
    <t>5099206093805</t>
  </si>
  <si>
    <t>Logitech G305 K/DA LIGHTSPEED Mouse Gaming Wireless, Attrezzatura Ufficiale di League of Legends, Sensore HERO, Leggero, Tasti Programmabili, Autonomia 250h, Memoria Integrata - Bianco</t>
  </si>
  <si>
    <t>2022-05-12</t>
  </si>
  <si>
    <t>3B2Q175V</t>
  </si>
  <si>
    <t>2022-05-15</t>
  </si>
  <si>
    <t>3UTU3G8K</t>
  </si>
  <si>
    <t>B07W6FNF6N</t>
  </si>
  <si>
    <t>5099206092136</t>
  </si>
  <si>
    <t>Logitech Mx Keys Tastiera Wireless Illuminata Per Mac, Layout Italiano Qwerty, Grigio</t>
  </si>
  <si>
    <t>B00EUUXBDE</t>
  </si>
  <si>
    <t>5054991003576</t>
  </si>
  <si>
    <t>Logitech Z200 Altoparlanti per PC, Audio Stereo Completo, 10 Watt, 2 Ingressi Audio 3.5 mm, Jack ‎per Cuffie, Bassi Regolabili, Controllo Volume, Presa EU/IT, Computer/TV/Smartphone/Tablet, Nero</t>
  </si>
  <si>
    <t>B07VWZHCNX</t>
  </si>
  <si>
    <t>5099206087255</t>
  </si>
  <si>
    <t>Logitech MX Palmrest per MX Keys Tastiera, Grigio</t>
  </si>
  <si>
    <t>B07S9DR8QG</t>
  </si>
  <si>
    <t>5099206083585</t>
  </si>
  <si>
    <t>Logitech G703 LIGHTSPEED Mouse Gaming Wireless, Sensore HERO 25K, LIGHTSYNC RGB, POWERPLAY Compatibile, 25.600 DPI, PC/Mac, Nero</t>
  </si>
  <si>
    <t>B01I252A34</t>
  </si>
  <si>
    <t>5099206046825</t>
  </si>
  <si>
    <t>Logitech K280e Tastiera Cablata Business per Windows/Linux, USB, Tasti ‎Silenziosi, ‎PC/Laptop, Layout Italiano ‎QWERTY</t>
  </si>
  <si>
    <t>B004LAWLPW</t>
  </si>
  <si>
    <t>5054484155997</t>
  </si>
  <si>
    <t>Logitech K120 Tastiera Cablata, Layout US ‎Qwerty, Nero</t>
  </si>
  <si>
    <t>B076NFYGFP</t>
  </si>
  <si>
    <t>5099206074569</t>
  </si>
  <si>
    <t>Logitech G840 XL Tappetino Mouse Gaming in Tessuto, Mouse Pad 400x900 mm, Spessore 3 mm, Superficie orientata alle prestazioni, Basso attrito, Solida base in gomma, Portatile - Nero</t>
  </si>
  <si>
    <t>B01DKTP3X6</t>
  </si>
  <si>
    <t>5099206064164</t>
  </si>
  <si>
    <t>Logitech G240 Tappetino Mouse Gaming in Tessuto, Mouse Pad 340 x 280 mm, Spessore 1 mm, Attrito Moderato, Superficie Uniforme, Base in Gomma Stabile e Confortevole, Arrotolabile - Nero</t>
  </si>
  <si>
    <t>7OH7IQXH</t>
  </si>
  <si>
    <t>B00AZKNPZC</t>
  </si>
  <si>
    <t>4054842251041</t>
  </si>
  <si>
    <t>Logitech B100 Mouse USB Cablato, 3 Pulsanti, Rilevamento Ottico, Ambidestro, PC / Mac / ‎Laptop/Chromebook - ‎Nero</t>
  </si>
  <si>
    <t>2022-05-08</t>
  </si>
  <si>
    <t>59PBXDMU</t>
  </si>
  <si>
    <t>B07MTY7N22</t>
  </si>
  <si>
    <t>5099206081918</t>
  </si>
  <si>
    <t>Logitech G935 Cuffie Gaming RGB Wireless, Audio Surround 7.1, Cuffie DTS: X 2.0, Driver Pro-G 50 ‎mm, 2.4 GHz Wireless, Microfono Flip-to-Mute, Tasti G, PC/Mac/Xbox One/PS4/Nintendo, Nero</t>
  </si>
  <si>
    <t>B00YR92VMA</t>
  </si>
  <si>
    <t>5099206059696</t>
  </si>
  <si>
    <t>2305830</t>
  </si>
  <si>
    <t>Logitech Z333 2.1 Altoparlanti PC Multimediali Con Subwoofer, Suono Vivido, 80 Watt, Nero</t>
  </si>
  <si>
    <t>B07W7JR6BZ</t>
  </si>
  <si>
    <t>5099206097247</t>
  </si>
  <si>
    <t>Logitech Signature M650 Mouse Wireless, Per Mani di Piccole Dimensioni, Durata Batteria fino a 2 anni, Clic Silenziosi, Tasti Personalizzabili, Bluetooth, Compatibilità Multidispositivo, Bianco</t>
  </si>
  <si>
    <t>B07W5JKHFR</t>
  </si>
  <si>
    <t>5099206099845</t>
  </si>
  <si>
    <t>Logitech Lift Mouse Ergonomico Verticale, Senza Fili, Ricevitore Bluetooth o Logi Bolt USB, Clic Silenziosi, 4 Tasti, Compatibile con Windows / macOS / iPadOS, Laptop, PC - Bianco</t>
  </si>
  <si>
    <t>B06XH2VSXM</t>
  </si>
  <si>
    <t>5099206072138</t>
  </si>
  <si>
    <t>14700924</t>
  </si>
  <si>
    <t>Logitech Spotlight Presenter Evidenziatore Digitale con Bluetooth, Clicker Universale per Presentazioni, Portata di 30 Metri e Ricarica Rapida, Grigio</t>
  </si>
  <si>
    <t>B07MTWHWZ1</t>
  </si>
  <si>
    <t>5099206081963</t>
  </si>
  <si>
    <t>Logitech G332 Cuffie Gaming Cablate, Audio Stereo, Driver da 50 mm, Jack Audio 3.5 mm, ‎Microfono Flip-To-Mute, Padiglioni Rotanti, Leggere, PC/Mac/Xbox One/PS4/Nintendo ‎Switch, ‎Nero/Rosso</t>
  </si>
  <si>
    <t>B00MWNDUDM</t>
  </si>
  <si>
    <t>4053162458789</t>
  </si>
  <si>
    <t>Logitech K480 Tastiera Wireless Multidispositivo per Windows, Layout Tedesco QWERTZ - Nero</t>
  </si>
  <si>
    <t>2022-05-03</t>
  </si>
  <si>
    <t>B07W5JK1JN</t>
  </si>
  <si>
    <t>5099206086920</t>
  </si>
  <si>
    <t>Logitech MX Keys Tastiera, Layout ‎Americano Qwerty, Grigio</t>
  </si>
  <si>
    <t>11CZAECY</t>
  </si>
  <si>
    <t>B004VPLVI0</t>
  </si>
  <si>
    <t>5052916484769</t>
  </si>
  <si>
    <t>Logitech M325 Mouse Wireless, 2,4 GHz con Ricevitore USB Unifying, Rilevamento Ottico 1 ‎‎000 DPI, Batteria Lunga Durata 18 Mesi, PC/Mac/Laptop/Chromebook - Grigio Scuro</t>
  </si>
  <si>
    <t>B07VFVRZ6Y</t>
  </si>
  <si>
    <t>5099206086586</t>
  </si>
  <si>
    <t>Logitech MK470 Kit Mouse e Tastiera, Layout Inglese Qwerty UK, Nero</t>
  </si>
  <si>
    <t>B00C7INSWU</t>
  </si>
  <si>
    <t>5054484247241</t>
  </si>
  <si>
    <t>Logitech H650e Cuffie Cablate, Mono Con Microfono a Cancellazione di Rumore, USB, ‎Controlli in Linea, Indicatore LED, Compatibili con PC/Mac/Laptop, Nero</t>
  </si>
  <si>
    <t>B07SCMTKGB</t>
  </si>
  <si>
    <t>5099206083394</t>
  </si>
  <si>
    <t>Mouse da gioco Logitech G403 HERO con sensore HERO 25K DPI, LIGHTSYNC RGB, peso leggero di 87 ge peso opzionale 10 g, PC/Mac - nero</t>
  </si>
  <si>
    <t>B07GS6ZS8J</t>
  </si>
  <si>
    <t>5099206080263</t>
  </si>
  <si>
    <t>Logitech G502 HERO Mouse Gaming Prestazioni Elevate, Sensore HERO 25K, 25.600 DPI, RGB, Pesi Regolabili, 11 Pulsanti Programmabili, Memoria Integrata, PC/Mac/Laptop, Nero</t>
  </si>
  <si>
    <t>B01DKTP30O</t>
  </si>
  <si>
    <t>5099206064140</t>
  </si>
  <si>
    <t>Logitech G Gaming-Mauspad G640, Nero</t>
  </si>
  <si>
    <t>B003AUZKYI</t>
  </si>
  <si>
    <t>4053162343702</t>
  </si>
  <si>
    <t>Logitech M90 Mouse USB Cablato, Imballaggio Tedesco</t>
  </si>
  <si>
    <t>B06W547XN2</t>
  </si>
  <si>
    <t>5099206069343</t>
  </si>
  <si>
    <t>2309900</t>
  </si>
  <si>
    <t>2309999</t>
  </si>
  <si>
    <t>Logitech MK220 Combo Tastiera e Mouse Wireless Compatti per Windows, Layout ‎Francese AZERTY - Nero</t>
  </si>
  <si>
    <t>B07W7MKLNT</t>
  </si>
  <si>
    <t>5099206091733</t>
  </si>
  <si>
    <t>Logitech G PRO X SUPERLIGHT Mouse Gaming Wireless, Sensore HERO 25K, 25.600 DPI, Ultraleggero con 63g, Progettato ‎per eSport, 5 Pulsanti Programmabili, PC/Mac/Laptop - Bianco</t>
  </si>
  <si>
    <t>B003LNXT7Y</t>
  </si>
  <si>
    <t>5054230691083</t>
  </si>
  <si>
    <t>Logitech Z313 2.1 Sistema Di Altoparlanti Multimediali Con Subwoofer, Nero</t>
  </si>
  <si>
    <t>B01L6L45ES</t>
  </si>
  <si>
    <t>5099206065925</t>
  </si>
  <si>
    <t>Logitech G213 Prodigy Gaming Keyboard, RGB Lightsync Backlit Keys, Spill-Resistant, Customizable Keys, Dedicated Multi-Media Keys, AZERTY French Layout, Nero</t>
  </si>
  <si>
    <t>B00ZOZZM4U</t>
  </si>
  <si>
    <t>5099206057340</t>
  </si>
  <si>
    <t>Logitech H111 Cuffie Cablate per Computer, Stereo con Microfono, Cancellazione Rumore, ‎Jack Audio da 3.5 mm, PC/Mac/Laptop/Smartphone/Tablet, Nero</t>
  </si>
  <si>
    <t>3C9KY3UK</t>
  </si>
  <si>
    <t>B00EUUXFFS</t>
  </si>
  <si>
    <t>5054533486287</t>
  </si>
  <si>
    <t>Logitech Z150 Altoparlanti Stereo Multimediali Compatti, Ingresso Audio da 3.5 mm, Controlli ‎Integrati, Jack Per Cuffie, Presa EU/IT, Computer/Smartphone/Tablet/Lettore Musicale, Nero (Notte)</t>
  </si>
  <si>
    <t>B008M4RH1G</t>
  </si>
  <si>
    <t>5099206020924</t>
  </si>
  <si>
    <t>Logitech K120 Tastiera con Cavo per Windows, Layout Internazionale QWERTY - Nero</t>
  </si>
  <si>
    <t>B004CM47VU</t>
  </si>
  <si>
    <t>5099206020511</t>
  </si>
  <si>
    <t>Logitech MK120 Combo Tastiera e Mouse con Filo per Windows, Mouse Ottico Cablato, Tastiera di Dimensioni Standard, USB Plug-and-Play, Compatibile con PC, Laptop, Layout Italiano QWERTY - Nero</t>
  </si>
  <si>
    <t>2022-05-06</t>
  </si>
  <si>
    <t>34X9Y94J</t>
  </si>
  <si>
    <t>B07W6J6TG5</t>
  </si>
  <si>
    <t>5099206094789</t>
  </si>
  <si>
    <t>Logitech G335 Cuffie Gaming Cablate, Microfono Flip to Mute, Jack Audio da 3,5 mm, Padiglioni in Memory Foam, Leggera, Compatibile con PC, PlayStation, Xbox, Nintendo Switch- Nero</t>
  </si>
  <si>
    <t>5IZH76JA</t>
  </si>
  <si>
    <t>B0038NRMKW</t>
  </si>
  <si>
    <t>5099206020993</t>
  </si>
  <si>
    <t>Logitech MK710 Kit Mouse e Tastiera Wireless, Layout Francese Azerty, Nero</t>
  </si>
  <si>
    <t>B07SF2F2LV</t>
  </si>
  <si>
    <t>5099206083936</t>
  </si>
  <si>
    <t>Logitech G903 LIGHTSPEED Mouse Gaming Wireless, Sensore HERO 25K, Oltre 140 Ore con Batteria Ricaricabile e LIGHTSYNC RGB, POWERPLAY-compatibile, PC/Mac - Nero</t>
  </si>
  <si>
    <t>B01MT5WMMG</t>
  </si>
  <si>
    <t>5099206066823</t>
  </si>
  <si>
    <t>Logitech MK850 Kit Tastiera e Mouse, Layout Tedesco Qwertz, Nero</t>
  </si>
  <si>
    <t>6PWVSPBO</t>
  </si>
  <si>
    <t>B07W5JJR4H</t>
  </si>
  <si>
    <t>5099206095847</t>
  </si>
  <si>
    <t>Logitech MX Anywhere 2S Mouse Wireless, Multidispositivo, Bluetooth o 2.4 GHz Wireless con Ricevitore USB Unifying, 4000 DPI su Ogni Superficie, 7 Pulsanti, Ricaricabile, PC/Mac/Laptop/iPadOS, Nero</t>
  </si>
  <si>
    <t>B00544XKK4</t>
  </si>
  <si>
    <t>5054533358461</t>
  </si>
  <si>
    <t>Logitech Z120 Altoparlanti Stereo PC Compatti, Ingresso Audio da 3.5 mm, Alimentazione USB, ‎Controlli Integrati, Cavi Management Solution, Computer/Smartphone/Tablet, Bianco/Nero</t>
  </si>
  <si>
    <t>B07W5JJ1WM</t>
  </si>
  <si>
    <t>5099206091801</t>
  </si>
  <si>
    <t>Logitech G PRO X SUPERLIGHT Mouse Gaming Wireless, Leggero 63 g, Sensore HERO 25K, 25.600 DPI, 5 Tasti Programmabili, Lunga Autonomia, Memoria Integrata, per eSport, Compatibile con PC e Mac</t>
  </si>
  <si>
    <t>7M2QCA5K</t>
  </si>
  <si>
    <t>B07W4DHMXL</t>
  </si>
  <si>
    <t>5099206093799</t>
  </si>
  <si>
    <t>2022-05-09</t>
  </si>
  <si>
    <t>7PFJO9VP</t>
  </si>
  <si>
    <t>B00Y0G2L9I</t>
  </si>
  <si>
    <t>7426044559541</t>
  </si>
  <si>
    <t>Logitech K400 Plus Tastiera Wireless Touch TV, Facili Controlli Multimediali e Touchpad Integrato, Tastiera HTPC per TV Collegata al PC, Windows, Android, Chrome OS, Laptop, Italiano QWERTY - Nero</t>
  </si>
  <si>
    <t>B07G5XJLWK</t>
  </si>
  <si>
    <t>5099206077362</t>
  </si>
  <si>
    <t>Logitech G PRO Mouse Gaming Wireless, Sensore HERO 25K, 25.600 DPI, RGB, Ultraleggero, Progettato ‎per eSport, 4-8 Pulsanti Programmabili, POWERPLAY-compatibile, PC/Laptop - Nero</t>
  </si>
  <si>
    <t>B00L8VNQ88</t>
  </si>
  <si>
    <t>6298202673427</t>
  </si>
  <si>
    <t>Logitech G402 Mouse Gaming Hyperion Fury, 4.000 DPI, Design Leggero, 8 Pulsanti Programmabili, Compatibile con PC/Mac/Laptop, PC/Mac, Nero</t>
  </si>
  <si>
    <t>B00BEFY1W8</t>
  </si>
  <si>
    <t>5099206039155</t>
  </si>
  <si>
    <t>Logitech MK270 Combo Tastiera e Mouse Wireless per Windows, Layout US Internazionale QWERTY, Nero</t>
  </si>
  <si>
    <t>B07MTXLFXV</t>
  </si>
  <si>
    <t>5099206082410</t>
  </si>
  <si>
    <t>Logitech G432 Cuffie Gaming Cablate, Audio Surround 7.1, Cuffie DTS: x 2.0, Driver Audio 50 mm, ‎Jack Audio USB 3.5 mm, Microfono Flip-to-Mute, Leggere, PC/Mac/Xbox One/PS4/Nintendo ‎Switch, Nero/Blu</t>
  </si>
  <si>
    <t>B0032W4158</t>
  </si>
  <si>
    <t>4054828256435</t>
  </si>
  <si>
    <t>Logitech MK710 Kit Mouse e Tastiera Wireless, Layout Tedesco Qwertz, Nero</t>
  </si>
  <si>
    <t>2022-05-23</t>
  </si>
  <si>
    <t>1QCXHA1R</t>
  </si>
  <si>
    <t>2022-05-13</t>
  </si>
  <si>
    <t>B07W5JJ1WH</t>
  </si>
  <si>
    <t>5099206086869</t>
  </si>
  <si>
    <t>Logitech MX Keys Tastiera Wireless Illuminata Avanzata, Bluetooth, Digitazione tattile, Tasti ‎Retroilluminati, USB-C, PC/Mac/Laptop Windows/Linux/IOS/Android, Layout Italiano ‎QWERTY - Nero Grafite</t>
  </si>
  <si>
    <t>B00CJ5FP04</t>
  </si>
  <si>
    <t>7102266307527</t>
  </si>
  <si>
    <t>Logitech F310 Gamepad, Controller Cablato con Layout Stile Console, Tastierino Direzionale ‎‎4 Switch, XInput/DirectInput, Impugnatura Comoda, Cavo da 1.8 m, PC - ‎Blu/Nero</t>
  </si>
  <si>
    <t>B0055ZWOZ4</t>
  </si>
  <si>
    <t>5099206027183</t>
  </si>
  <si>
    <t>Logitech K750 Tastiera Solare Wireless per Windows, Layout Spagnolo QWERTY - Nero</t>
  </si>
  <si>
    <t>B071XW5FW8</t>
  </si>
  <si>
    <t>5099206073135</t>
  </si>
  <si>
    <t>Logitech G413 Tastiera Gaming Meccanica, Tasti Retroilluminati, Romer-G Tactile Switch, Telaio in Alluminio Spazzolato, Tasti Personalizzabili, USB Pass Through, QWERTY Layout Italiano, Carbon/Nero</t>
  </si>
  <si>
    <t>7PQWY35C</t>
  </si>
  <si>
    <t>B005BFCNYU</t>
  </si>
  <si>
    <t>5054533366169</t>
  </si>
  <si>
    <t>Logitech H390 Cuffie Cablate, Cuffia Stereo con Microfono Regolabile con Cancellazione del ‎‎Rumore, USB, Controlli sul Cavo, PC/Mac/Laptop/Chromebook - Nero</t>
  </si>
  <si>
    <t>B003UPJXIC</t>
  </si>
  <si>
    <t>5053973591773</t>
  </si>
  <si>
    <t>Logitech Z623 THX Sistema di Altoparlanti 2.1 con Subwoofer, Certificazione THX, 400 Watt, Bassi ‎Profondi, Multi-Dispositivo, Porta 3.5 mm e RCA, Presa EU/IT, PC/PS4/Xbox/DVD/TV/Smartphone/Tablet</t>
  </si>
  <si>
    <t>B07W4DHXC8</t>
  </si>
  <si>
    <t>5099206101326</t>
  </si>
  <si>
    <t>Logitech Litra Glow Luce LED Streaming Premium, Illuminazione per Computer per Videoconferenze, Riunioni Zoom, con Supporto Regolabile e Controllo da App per PC / Mac, Grafite</t>
  </si>
  <si>
    <t>B07W6JLFZ7</t>
  </si>
  <si>
    <t>5099206099913</t>
  </si>
  <si>
    <t>Logitech Lift Mouse Ergonomico Verticale, Senza Fili, Ricevitore Bluetooth o Logi Bolt USB, Clic Silenziosi, 4 Tasti, Compatibile con Windows / macOS / iPadOS, Laptop, PC - Rosa</t>
  </si>
  <si>
    <t>B07G6DKDY8</t>
  </si>
  <si>
    <t>5099206080317</t>
  </si>
  <si>
    <t>Ultimate Ears BOOM 3 Altoparlante Wireless Bluetooth Portatile, Magic Button, Bassi Profondi‎‎, Impermeabile, Controllo Musica One Touch, Multidispositivo, Batteria di fino a 15 ore, Raggio 45m, Viola</t>
  </si>
  <si>
    <t>B06XQ3V8G7</t>
  </si>
  <si>
    <t>5099206070776</t>
  </si>
  <si>
    <t>Logitech G413 Tastiera per Giochi Meccanica, Carbon, AZERTY</t>
  </si>
  <si>
    <t>B07W5JK27G</t>
  </si>
  <si>
    <t>5099206090828</t>
  </si>
  <si>
    <t>14700960</t>
  </si>
  <si>
    <t>Logitech R500s Telecomando per Presentazioni Laser di Classe 1 USB e Bluetooth, Compatibilità Universale, Raggio d'Azione di 20 m, Personalizzabile, Grigio Scuro</t>
  </si>
  <si>
    <t>B00EUUX59O</t>
  </si>
  <si>
    <t>4056572634248</t>
  </si>
  <si>
    <t>Logitech Z200 Altoparlanti per PC, Audio Stereo Completo, 10 Watt, 2 Ingressi Audio 3.5 mm, Jack ‎per Cuffie, Bassi Regolabili, Controllo Volume, Presa EU/IT, Computer/TV/Smartphone/Tablet, Bianco</t>
  </si>
  <si>
    <t>83YYT1WX</t>
  </si>
  <si>
    <t>B07VTTBDSV</t>
  </si>
  <si>
    <t>5099206080720</t>
  </si>
  <si>
    <t>Logitech G915 LIGHTSPEED Tastiera Gaming Meccanica Wireless, Profilo Ribassato, GL-Linear Switches, LIGHTSYNC RGB, Design Ultrasottile, +30 ore di Durata della Batteria, QWERTY US Layout, Nero</t>
  </si>
  <si>
    <t>B003STDR1E</t>
  </si>
  <si>
    <t>5054230595428</t>
  </si>
  <si>
    <t>Logitech M705 Marathon Mouse Wireless, 2,4 GHz Con Mini Ricevitore USB Unifying, Rilevamento ‎Laser 1000 DPI, 7 Pulsanti, Pulsanti Per Pollice, Batteria Lunga Durata 3 Anni, PC/Mac/Chromebook - Nero</t>
  </si>
  <si>
    <t>3ED4D7ZN</t>
  </si>
  <si>
    <t>B0100055LI</t>
  </si>
  <si>
    <t>5099206058675</t>
  </si>
  <si>
    <t>Logitech Sistema di altoparlanti multimediali Z533 nero</t>
  </si>
  <si>
    <t>2022-05-07</t>
  </si>
  <si>
    <t>6NU6YJHW</t>
  </si>
  <si>
    <t>B01A9GXEOI</t>
  </si>
  <si>
    <t>5099206062856</t>
  </si>
  <si>
    <t>Logitech M171 Mouse Wireless, 2.4 GHz con Mini Ricevitore USB, Rilevamento Ottico, Durata ‎Batteria Fino a 12 Mesi, Mouse Ambidestro per PC/Mac/Laptop, Nero</t>
  </si>
  <si>
    <t>B06XPXRN4K</t>
  </si>
  <si>
    <t>5099206070769</t>
  </si>
  <si>
    <t>LOGII</t>
  </si>
  <si>
    <t>Logitech Tastiera Da Gioco Meccanica G413, Romer-G Con Pass-Through Usb, Layout Tedesco, Carbonio Nero</t>
  </si>
  <si>
    <t>B008S1IOCY</t>
  </si>
  <si>
    <t>0072015025910</t>
  </si>
  <si>
    <t>Logitech H340 Cuffie Cablate per Computer, Cuffie Stereo con Microfono e Audio Digitale, ‎Cancellazione Rumore, USB, PC/Mac/Laptop/Chromebook - Nero</t>
  </si>
  <si>
    <t>5JTB5LYO</t>
  </si>
  <si>
    <t>B01MCXJWD1</t>
  </si>
  <si>
    <t>5099206069909</t>
  </si>
  <si>
    <t>Logitech G Saitek Pro Flight Yoke System, Sistema Leva di Controllo di Volo, Quadrante ‎Acceleratore Per Simulazioni Professionali, Leva Stelo Acciaio, 75 Controlli Programmabili, ‎USB, PC - Nero</t>
  </si>
  <si>
    <t>B00BT8QIJ4</t>
  </si>
  <si>
    <t>5099206021419</t>
  </si>
  <si>
    <t>Logitech K120 Tastiera Cablata, Layout Russo, Nero</t>
  </si>
  <si>
    <t>2BH1M1WR</t>
  </si>
  <si>
    <t>B010EPT2X6</t>
  </si>
  <si>
    <t>5099206059429</t>
  </si>
  <si>
    <t>Logitech K400 Plus Tastiera Wireless Touch TV, Facili Controlli Multimediali e Touchpad Integrato, Layout Internazionale QWERTY - Nero</t>
  </si>
  <si>
    <t>B007C0YQLA</t>
  </si>
  <si>
    <t>5099206020672</t>
  </si>
  <si>
    <t>Logitech MK120 Combo Tastiera e Mouse con Filo per Windows, Layout Internazionale QWERTY - Nero</t>
  </si>
  <si>
    <t>B07W6GVS5C</t>
  </si>
  <si>
    <t>5099206087316</t>
  </si>
  <si>
    <t>Logitech G213 Prodigy Tastiera Gaming Cablata, LIGHTSYNC RGB, Tasti Retroilluminati, Resistente Agli Schizzi, Tasti Personalizzabili, Controlli Dedicati Multimediali, QWERTY Layout Italiano, Nero</t>
  </si>
  <si>
    <t>B00MWR5IVA</t>
  </si>
  <si>
    <t>5099206052543</t>
  </si>
  <si>
    <t>Logitech M280 Mouse Wireless, 2,4 GHz con Ricevitore USB Nano, Tracciamento Ottico 1000 DPI, 3 Tasti, Durata Batteria di 18 Mesi, Compatibile con PC, Mac, Laptop, Chromebook - Nero</t>
  </si>
  <si>
    <t>B07W7MY2K8</t>
  </si>
  <si>
    <t>5099206091832</t>
  </si>
  <si>
    <t>Logitech M190 Mouse Wireless, Design Ricurvo Ambidestro, Batteria fino a 18 Mesi con Funzione Risparmio Energia, Ricevitore USB, Cursore di Precisione, Rotella di Scorrimento, Grigio</t>
  </si>
  <si>
    <t>B07W7KJC28</t>
  </si>
  <si>
    <t>5099206092563</t>
  </si>
  <si>
    <t>Logitech MK295 Kit Mouse e Tastiera Wireless, Tecnologia Silenttouch, Tastierino Numerico, Tasti Scelta Rapida, Tracciamento Ottico, Ricevitore USB Nano, Layout Italiano Qwerty, Bianco</t>
  </si>
  <si>
    <t>B07W7L3DSX</t>
  </si>
  <si>
    <t>5099206097773</t>
  </si>
  <si>
    <t>Logitech K380 Tastiera Bluetooth Multidispositivo per Mac, Sottile e Compatta, Easy-Switch fino a 3 Dispositivi, macOS / iOS / iPadOS, Layout Italiano QWERTY, Bianco</t>
  </si>
  <si>
    <t>B002L3TSLQ</t>
  </si>
  <si>
    <t>3610480106092</t>
  </si>
  <si>
    <t>Logitech R400 Puntatore Laser per Presentazioni Wireless, 2.4 GHz e Bluetooth, Ricevitore USB, ‎Puntatore Laser Rosso, Portata 15 m, 6 Pulsanti, Controllo Intuitivo, Indicatore ‎Batteria, PC, Nero</t>
  </si>
  <si>
    <t>18TAMU9G</t>
  </si>
  <si>
    <t>B07GDYYN38</t>
  </si>
  <si>
    <t>5099206080515</t>
  </si>
  <si>
    <t>Logitech M110 Mouse USB cablato, pulsanti silenziosi, design confortevole per l'uso a grandezza naturale, PC / Mac / Laptop ambidestro - Rosso</t>
  </si>
  <si>
    <t>89J1FZUE</t>
  </si>
  <si>
    <t>B00564NLFG</t>
  </si>
  <si>
    <t>5099206020559</t>
  </si>
  <si>
    <t>Logitech MK120 Combo Tastiera e Mouse con Filo per Windows, Layout ‎Portoghese QWERTY - Nero</t>
  </si>
  <si>
    <t>B07W7LNTM5</t>
  </si>
  <si>
    <t>5099206095007</t>
  </si>
  <si>
    <t>Logitech G435 LIGHTSPEED Cuffie Gaming Wireless Bluetooth, Cuffie Over Ear Leggere, Microfoni Integrati, Batteria da 18 Ore, Compatibile con Dolby Atmos, PC, PS4, PS5, Mobile, Nintendo Switch - Nero</t>
  </si>
  <si>
    <t>B078MLBGRM</t>
  </si>
  <si>
    <t>0836213000236</t>
  </si>
  <si>
    <t>Blue Compass Braccio per Microfono Tubolare, per Broadcast con Molle Interne, Supporto da Tavolo e Gestione dei Cavi Interna, per Registrazione, Gaming, Streaming, Podcasting, Nero</t>
  </si>
  <si>
    <t>3E6XIIZZ</t>
  </si>
  <si>
    <t>B07W4DGVQF</t>
  </si>
  <si>
    <t>5099206092150</t>
  </si>
  <si>
    <t>Logitech MX Master 2S Mouse Wireless, Utilizzo su Qualsiasi Superficie, Scorrimento Veloce, Ergonomico, Ricaricabile, Controllo Fino a 3 Computer Mac e Windows Bluetooth/USB, Grigio</t>
  </si>
  <si>
    <t>B07W6HK7ZC</t>
  </si>
  <si>
    <t>5099206101777</t>
  </si>
  <si>
    <t>Logitech G840 Tappetino Mouse Gaming XL in Tessuto - 3 mm di Spessore, Base Stabile in Gomma, Superficie Orientata alle Prestazioni - Magenta</t>
  </si>
  <si>
    <t>B01ENKI4D2</t>
  </si>
  <si>
    <t>5099206066083</t>
  </si>
  <si>
    <t>Logitech K280E Pro Tastiera, Layout Italiano Qwerty, Nero</t>
  </si>
  <si>
    <t>La tastiera K280e di Logitech assicura una digitazione ottimale e presenta una struttura estremamente resistente, risultato di anni di ricerche. La tastiera, dotata di un comodo supporto per polsi, di tasti estremamente silenziosi e resistenti all'abrasione e di una struttura ultrarobusta, è progettata perdurare a lungo e offrire una produttività in grado di soddisfarele moderne esigenze in ambito lavorativo.</t>
  </si>
  <si>
    <t>B07W6JKL78</t>
  </si>
  <si>
    <t>5099206084254</t>
  </si>
  <si>
    <t>Logitech G604 LIGHTSPEED Mouse Gaming Wireless, Sensore HERO 25K, 25.600 DPI, 15 Controlli Programmabili, Fino a 240 Ore di Durata delle Batterie, PC/Mac, Nero</t>
  </si>
  <si>
    <t>B07QKC4WWD</t>
  </si>
  <si>
    <t>6920377909079</t>
  </si>
  <si>
    <t>Logitech G502 LIGHTSPEED Mouse Gaming Wireless, Sensore HERO 25K, 25.600 DPI, RGB, Design Leggero, 11 Pulsanti Programmabili, Batteria Lunga Durata, POWERPLAY-compatibile, Nero</t>
  </si>
  <si>
    <t>1IPN3LSP</t>
  </si>
  <si>
    <t>B07W7M4MZP</t>
  </si>
  <si>
    <t>5099206096110</t>
  </si>
  <si>
    <t>Logitech Combo Touch Custodia con Tastiera per iPad Air (4 e 5 gen - 2020, 2022) - Tastiera Retroilluminata Rimovibile, Trackpad Click-Anywhere, Smart Connector, Layout Italiano QWERTY - Grigio</t>
  </si>
  <si>
    <t>B07W7MQMDF</t>
  </si>
  <si>
    <t>5099206094338</t>
  </si>
  <si>
    <t>Logitech G PRO K/DA Tastiera Gaming Meccanica Tenkeyless, Micro USB 2.0 Rimovibile, Tasti Retroilluminati, 16,8M colori LIGHTSYNC RGB, Attrezzatura Ufficiale League of Legends, US Layout ‎QWERTY</t>
  </si>
  <si>
    <t>8JVTHC2J</t>
  </si>
  <si>
    <t>2NXVQ1IG</t>
  </si>
  <si>
    <t>B00C3VSZEW</t>
  </si>
  <si>
    <t>6062015015855</t>
  </si>
  <si>
    <t>Logitech H650e Cuffie Cablate, Stereo Con Microfono a Cancellazione di Rumore, USB, ‎Controlli in Linea, Indicatore LED, Compatibili con PC/Mac/Laptop, Nero</t>
  </si>
  <si>
    <t>B004APAH40</t>
  </si>
  <si>
    <t>5099206020764</t>
  </si>
  <si>
    <t>Logitech K120 Tastiera con Cavo per Windows, USB Plug-and-Play, Dimensioni Standard, Resistente agli Schizzi, Barra Spaziatrice Curva, Compatibile con PC, Laptop, Layout Italiano QWERTY - Nero</t>
  </si>
  <si>
    <t>B077BT728N</t>
  </si>
  <si>
    <t>5099206076679</t>
  </si>
  <si>
    <t>Logitech K280e Pro Tastiera, Layout Tedesco ‎QWERTZ, Nero</t>
  </si>
  <si>
    <t>8TP6LKKA</t>
  </si>
  <si>
    <t>B07W5JHLCB</t>
  </si>
  <si>
    <t>5099206092938</t>
  </si>
  <si>
    <t>Logitech MX Anywhere 3 Mouse Compatto, Wireless, Scroller Elettromagnetico, Ergonomico, Sensore 4000 DPI, Pulsanti Custom, USB-C, Bluetooth, Mac, iPad, Windows, Linux, Chrome, Nero</t>
  </si>
  <si>
    <t>5GJU9A7G</t>
  </si>
  <si>
    <t>B00EJ3RN7C</t>
  </si>
  <si>
    <t>5099206046863</t>
  </si>
  <si>
    <t>Logitech K280E Business Tastiera, Nero</t>
  </si>
  <si>
    <t>5TC236HG</t>
  </si>
  <si>
    <t>B07GS6ZB7T</t>
  </si>
  <si>
    <t>0762917516592</t>
  </si>
  <si>
    <t>B00EJ3RMDM</t>
  </si>
  <si>
    <t>5099206046788</t>
  </si>
  <si>
    <t>Logitech K280E Pro Tastiera, Layout ‎Francese Azerty, Nero</t>
  </si>
  <si>
    <t>B0056I3IDW</t>
  </si>
  <si>
    <t>5054629254752</t>
  </si>
  <si>
    <t>B074C9LZVX</t>
  </si>
  <si>
    <t>5099206074897</t>
  </si>
  <si>
    <t>Logitech G613 Tastiera Meccanica per Giochi, Wireless, con Tecnologia Lightspeed, Layout Francese</t>
  </si>
  <si>
    <t>2022-05-16</t>
  </si>
  <si>
    <t>5KSSWWOJ</t>
  </si>
  <si>
    <t>B00BCE30RS</t>
  </si>
  <si>
    <t>5099206039179</t>
  </si>
  <si>
    <t>Logitech MK270 Combo Tastiera e Mouse Wireless per Windows, Layout Tedesco QWERTZ - Nero</t>
  </si>
  <si>
    <t>B00BF5QDZU</t>
  </si>
  <si>
    <t>0013895023146</t>
  </si>
  <si>
    <t>Logitech MK270 Combo Tastiera e Mouse Wireless per Windows, Layout ‎Francese AZERTY - Nero</t>
  </si>
  <si>
    <t>5WP5GFZI</t>
  </si>
  <si>
    <t>B07W5JK4VQ</t>
  </si>
  <si>
    <t>5099206091856</t>
  </si>
  <si>
    <t>Logitech M190 Mouse Wireless, Design Ricurvo Ambidestro, Batteria fino a 18 Mesi con Funzione Risparmio Energia, Ricevitore USB, Cursore di Precisione, Rotella di Scorrimento, Rosso</t>
  </si>
  <si>
    <t>B07W6J829F</t>
  </si>
  <si>
    <t>5099206088702</t>
  </si>
  <si>
    <t>Logitech M500s Mouse con cavo con scorrimento iperveloce avanzato e inclinazione, pulsanti personalizzabili, tracciamento di precisione, regolazione DPI e funzionalità USB plug-and-play - Grigio</t>
  </si>
  <si>
    <t>2022-05-24</t>
  </si>
  <si>
    <t>B07W4DJDCS</t>
  </si>
  <si>
    <t>5099206096677</t>
  </si>
  <si>
    <t>Logitech MX Keys for Business tastiera wireless con illuminazione e MX Master 3 for Business mouse wireless, Windows/Mac/Linux, ricevitore USB Logi Bolt, tracciamento su qualsiasi superficie - Grafite</t>
  </si>
  <si>
    <t>B01K7GEAFC</t>
  </si>
  <si>
    <t>5099206066670</t>
  </si>
  <si>
    <t>Logitech M330 SILENT PLUS Mouse Wireless, 2,4 GHz con Ricevitore USB Nano, Tracciamento Ottico 1000 DPI, Durata Batteria di 2 Anni, Compatibile con PC, Mac, Laptop, Chromebook - Nero</t>
  </si>
  <si>
    <t>B07G6DL332</t>
  </si>
  <si>
    <t>5099206080393</t>
  </si>
  <si>
    <t>Ultimate Ears Megaboom 3 Altoparlante Wireless Bluetooth Portatile, Impermeabile, Controllo Musica One Touch, Multidispositivo, Batteria fino a 20 h, Viola (Ultraviolet Purple)</t>
  </si>
  <si>
    <t>51XCCHHL</t>
  </si>
  <si>
    <t>B01N5NYRES</t>
  </si>
  <si>
    <t>1401197003598</t>
  </si>
  <si>
    <t>Logitech Webcam 4K Premium Con HDR E Windows, 13 Mega Pixel, Nero</t>
  </si>
  <si>
    <t>B07J9Q68CK</t>
  </si>
  <si>
    <t>5099206075351</t>
  </si>
  <si>
    <t>Supporto per cuffia con microfono pieghevole ASTRO Gaming, Supporto universale antiscivolo pieghevole per cuffia con microfono da gaming - Nero</t>
  </si>
  <si>
    <t>B07W6JNK1Z</t>
  </si>
  <si>
    <t>5099206094796</t>
  </si>
  <si>
    <t>Logitech G335 Cuffie Gaming Cablate, Microfono Flip to Mute, Jack Audio da 3,5 mm, Padiglioni in Memory Foam, Leggera, Compatibile con PC, PlayStation, Xbox, Nintendo Switch - Bianco</t>
  </si>
  <si>
    <t>B07G6LZVWH</t>
  </si>
  <si>
    <t>5099206080409</t>
  </si>
  <si>
    <t>Ultimate Ears MegaBoom 3 Altoparlante Wireless Bluetooth Portatile, Magic Button, Bassi Profondi‎, Impermeabile, Controllo Musica One Touch, Multidispositivo, Batteria di 20 h, Rosso (Sunset Red)</t>
  </si>
  <si>
    <t>B07G6MYMKD</t>
  </si>
  <si>
    <t>5099206080362</t>
  </si>
  <si>
    <t>2305000</t>
  </si>
  <si>
    <t>2305001</t>
  </si>
  <si>
    <t>Ultimate Ears Megaboom 3 Altoparlante Wireless Bluetooth Portatile, Magic Button, Bassi Profondi‎, Impermeabile, Controllo Musica One Touch, Multidispositivo, Batteria di 20 h, Nero (Night Black)</t>
  </si>
  <si>
    <t>8JRL112Z</t>
  </si>
  <si>
    <t>B000XUQ2LI</t>
  </si>
  <si>
    <t>5051964149620</t>
  </si>
  <si>
    <t>Logitech Speakers S150 - Black - Usb - W</t>
  </si>
  <si>
    <t>3G5UZVPK</t>
  </si>
  <si>
    <t>B07W4DH9CW</t>
  </si>
  <si>
    <t>5099206091849</t>
  </si>
  <si>
    <t>Logitech M190 Mouse Wireless, Design Ricurvo Ambidestro, Batteria fino a 18 Mesi con Funzione Risparmio Energia, Ricevitore USB, Cursore di Precisione, Rotella di Scorrimento, Blu</t>
  </si>
  <si>
    <t>B013SL1YXO</t>
  </si>
  <si>
    <t>5099206061484</t>
  </si>
  <si>
    <t>Logitech K380 Tastiera, Layout Inglese UK ‎Qwerty, Nero</t>
  </si>
  <si>
    <t>8TBCZ9ED</t>
  </si>
  <si>
    <t>5DW1164X</t>
  </si>
  <si>
    <t>B01K7GEG9W</t>
  </si>
  <si>
    <t>5099206066199</t>
  </si>
  <si>
    <t>Logitech M220 SILENT Mouse Wireless, 2,4 GHz con Ricevitore USB, Tracciamento Ottico 1000 DPI, Durata Batteria di 18 Mesi, Ambidestro, Compatibile con PC, Mac, Laptop - Grigio</t>
  </si>
  <si>
    <t>B0748NCPN5</t>
  </si>
  <si>
    <t>5099206075078</t>
  </si>
  <si>
    <t>Logitech Brio Stream Webcam - Videochiamate Ultra 4K HD, Microfono con Cancellazione Rumore, Autocorrezione Luce HD, Compatibile con Microsoft Teams, Zoom e Google Meet su PC / Mac - Nero</t>
  </si>
  <si>
    <t>B07W7KMK4Y</t>
  </si>
  <si>
    <t>5099206098923</t>
  </si>
  <si>
    <t>Logitech MX Keys Mini Tastiera Illuminata Wireless, Minimal, Compatta, Bluetooth, Retroilluminata, USB-C,  Compatibile con Apple macOS, iOS, Windows, Linux, Android, in Metallo - Grigio scuro</t>
  </si>
  <si>
    <t>B003PO22H2</t>
  </si>
  <si>
    <t>5099206020849</t>
  </si>
  <si>
    <t>Logitech K120 Tastiera con Cavo per Windows, Layout Inglese QWERTY - Nero</t>
  </si>
  <si>
    <t>B00U77CYLE</t>
  </si>
  <si>
    <t>4082015033958</t>
  </si>
  <si>
    <t>Logitech ConferenceCam Connect per Videoconferenza, Nero</t>
  </si>
  <si>
    <t>B00IRCDT7Y</t>
  </si>
  <si>
    <t>5099206051805</t>
  </si>
  <si>
    <t>2305800</t>
  </si>
  <si>
    <t>Logitech Ricevitore Audio Bluetooth Wireless, Adattatore Bluetooth ‎PC/Mac/Smartphone/Tablet/Ricevitore AV, Uscite Audio 3.5 mm e RCA alle Casse Altoparlanti, ‎Pulsante One-Push, Presa EU</t>
  </si>
  <si>
    <t>B00N1YPXW2</t>
  </si>
  <si>
    <t>5099206084070</t>
  </si>
  <si>
    <t>Blue Yeti Microfono Professionale USB a Condensatore Multi-Pattern, per la registrazione, Streaming, Podcasting, Broadcasting, Gaming, Voiceover e altro, Plug 'n Play su PC e Mac - Nero</t>
  </si>
  <si>
    <t>B07W4DHMVB</t>
  </si>
  <si>
    <t>5099206097490</t>
  </si>
  <si>
    <t>Logitech G435 LIGHTSPEED Cuffie Gaming Wireless Bluetooth, Cuffie Over Ear Leggere, Microfoni Integrati, Batteria da 18 Ore, Compatibile con Dolby Atmos, PC, PS4, PS5, Mobile, Nintendo Switch - Bianco</t>
  </si>
  <si>
    <t>B07W5JK8TR</t>
  </si>
  <si>
    <t>5099206094642</t>
  </si>
  <si>
    <t>Logitech G502 HERO K/DA Mouse Gaming Cablato Alte Prestazioni, Sensore HERO 25K, LIGHTSYNC RGB, Pesi Regolabili, Tasti programmabili, Attrezzatura ufficiale League of Legends - Bianco</t>
  </si>
  <si>
    <t>B078MHS3SC</t>
  </si>
  <si>
    <t>5099206084124</t>
  </si>
  <si>
    <t>Blue Yeticaster Professional Broadcast Bundle con Microfono Yeti USB, Radius III Shockmount, Braccio Compass, Effetti Blue VO!CE per Registrazione, Streaming, Gaming, Podcasting - Nero</t>
  </si>
  <si>
    <t>B01MQ0N57Q</t>
  </si>
  <si>
    <t>5099206069916</t>
  </si>
  <si>
    <t>Logitech G Saitek PRO Flight Rudder Pedals Pedaliera per Simulatori di Volo</t>
  </si>
  <si>
    <t>B003K1FXTO</t>
  </si>
  <si>
    <t>5099206020603</t>
  </si>
  <si>
    <t>Logitech MK120 Combo Tastiera e Mouse con Filo per Windows, Layout Inglese QWERTY - Nero</t>
  </si>
  <si>
    <t>B074KGS5C3</t>
  </si>
  <si>
    <t>5099206072800</t>
  </si>
  <si>
    <t>Logitech Craft Tastiera, Layout Tedesco ‎Qwertz</t>
  </si>
  <si>
    <t>B07W8P4PDD</t>
  </si>
  <si>
    <t>5099206099807</t>
  </si>
  <si>
    <t>Logitech Lift Left Mouse Ergonomico Verticale, per Mancini, Senza Fili, Bluetooth o Logi Bolt USB, Clic Silenziosi, 4 Tasti, Compatibile con Windows / macOS / iPadOS, Laptop, PC - Grafite</t>
  </si>
  <si>
    <t>1ABLPEEL</t>
  </si>
  <si>
    <t>B074C9889M</t>
  </si>
  <si>
    <t>5099206074934</t>
  </si>
  <si>
    <t>Logitech G613 Tastiera Mecanica per Giochi, Wireless, con Tecnologia Lightspeed, Layout Internazionale</t>
  </si>
  <si>
    <t>B07W6HLN9H</t>
  </si>
  <si>
    <t>5099206101586</t>
  </si>
  <si>
    <t>ASTRO A10 Cuffie Gaming Cablate Gen 2 - Cuffie da Gioco Over-Ear con Microfono Flip-to-Mute, Driver 32 mm, Compatibile con PC - Lilla</t>
  </si>
  <si>
    <t>B07W6HJVDK</t>
  </si>
  <si>
    <t>5099206101395</t>
  </si>
  <si>
    <t>Logitech MX Keys Mini for Business tastiera wireless illuminata, compatta, tecnologia Logi Bolt, retroilluminazione, ricaricabile, Windows/Mac/Chrome/Linux, Italiano QWERTY - Grigio</t>
  </si>
  <si>
    <t>B003UL1RGC</t>
  </si>
  <si>
    <t>4014619774371</t>
  </si>
  <si>
    <t>Logitech K120 Tastiera Cablata, Layout ‎Qwertz Tedesco</t>
  </si>
  <si>
    <t>B07VL9YHC9</t>
  </si>
  <si>
    <t>5099206086456</t>
  </si>
  <si>
    <t>Logitech MK470 Kit Mouse e Tastiera, Layout Tedesco Qwertz, ‎Bianco</t>
  </si>
  <si>
    <t>B01DIJICIQ</t>
  </si>
  <si>
    <t>5099206064157</t>
  </si>
  <si>
    <t>Logitech G640 Tappetino Mouse Gaming Grande in Tessuto, Mouse Pad 460 x 400 mm, Spessore 3 mm, Attrito Moderato, Superficie Uniforme, Base in Gomma Stabile e Confortevole, Arrotolabile, Nero</t>
  </si>
  <si>
    <t>B07W5JKPSF</t>
  </si>
  <si>
    <t>5099206086272</t>
  </si>
  <si>
    <t>Logitech G512 Tastiera Gaming Meccanica, RGB LIGHTSYNC, Tasti Retroilluminati, GX Red Lienear Switch, Telaio in Alluminio Spazzolato, Tasti Personalizzabili, USB, QWERTY US Layout, Carbon/Nero</t>
  </si>
  <si>
    <t>B07W6J51XR</t>
  </si>
  <si>
    <t>5099206091726</t>
  </si>
  <si>
    <t>B07W6HDNPF</t>
  </si>
  <si>
    <t>5099206101531</t>
  </si>
  <si>
    <t>ASTRO A10 Cuffie Gaming Cablate Gen 2 - Cuffie da Gioco Over-Ear con Microfono Flip-to-Mute, Driver 32 mm, Compatibile con Xbox, PC - Nero</t>
  </si>
  <si>
    <t>B07W6HDNPG</t>
  </si>
  <si>
    <t>5099206101548</t>
  </si>
  <si>
    <t>ASTRO A10 Cuffie Gaming Cablate Gen 2 - Cuffie da Gioco Over-Ear con Microfono Flip-to-Mute, Driver 32 mm, Compatibile con PlayStation, PC - Nero</t>
  </si>
  <si>
    <t>B07W6JNF81</t>
  </si>
  <si>
    <t>5099206095731</t>
  </si>
  <si>
    <t>Logitech Combo Touch Custodia con Tastiera per iPad Pro 12,9 pollici (5a gen - 2021), Tastiera Retroilluminata Rimovibile, Trackpad Click-Anywhere, Smart Connector, Layout Italiano QWERTY - Grigio</t>
  </si>
  <si>
    <t>B00JKDN6RW</t>
  </si>
  <si>
    <t>0758710775380</t>
  </si>
  <si>
    <t>Logitech Z213 Multimedia Speakers 2.1, Nero/Antracite</t>
  </si>
  <si>
    <t>B07W7KV5KF</t>
  </si>
  <si>
    <t>5099206092969</t>
  </si>
  <si>
    <t>Logitech MX Anywhere 3 per Mac - Mouse Compatto Performante, Wireless, Scroller Magnetico Veloce, Su Ogni Superficie, Sensore 4000 DPI, Pulsanti Custom, USB-C, Bluetooth, Mac, iPad, Grigio</t>
  </si>
  <si>
    <t>B0080IA1J4</t>
  </si>
  <si>
    <t>0013895010450</t>
  </si>
  <si>
    <t>Logitech BCC950 ConferenceCam per Conferenze da Ufficio , Nero</t>
  </si>
  <si>
    <t>8GFIEEZO</t>
  </si>
  <si>
    <t>B07W4DGCMV</t>
  </si>
  <si>
    <t>5099206092891</t>
  </si>
  <si>
    <t>Logitech K380 Tastiera, Layout Italiano Qwerty, Rosa</t>
  </si>
  <si>
    <t>B07VFJT9NM</t>
  </si>
  <si>
    <t>5099206085657</t>
  </si>
  <si>
    <t>Logitech Pebble Mouse Wireless, Bluetooth o 2,4 GHz con Mini Ricevitore USB, Silenzioso, Mouse ‎per Computer Sottile, Clic silenziosi, per PC/Mac/Laptop/iPadOS/Chromebook - Bianco</t>
  </si>
  <si>
    <t>B07W4DHS5B</t>
  </si>
  <si>
    <t>5099206087682</t>
  </si>
  <si>
    <t>Logitech StreamCam – Webcam per Live Streaming su Youtube e Twitch, Full HD 1080p a 60 fps, Connessione USB-C, Facial Tracking, Autofocus, Video Verticali, Grigio Chiaro</t>
  </si>
  <si>
    <t>6L7XHCCZ</t>
  </si>
  <si>
    <t>B07G6LWTG6</t>
  </si>
  <si>
    <t>5099206080386</t>
  </si>
  <si>
    <t>Ultimate Ears Megaboom 3 Altoparlante Wireless Bluetooth Portatile, Impermeabile, Controllo Musica One Touch, Multidispositivo, Batteria fino a 20 h, Blu (Lagoon Blue)</t>
  </si>
  <si>
    <t>B00Q6MR0UO</t>
  </si>
  <si>
    <t>5099206053830</t>
  </si>
  <si>
    <t>Logitech G300s Mouse Gaming Ottico, 2.500 DPI, RGB, Design Leggero, 9 Pulsanti ‎ Programmabili, Memoria Integrata, Per Entrambe le Mani, Compatibile con PC/Mac/Laptop, Nero</t>
  </si>
  <si>
    <t>B079YGFNC7</t>
  </si>
  <si>
    <t>5099206077393</t>
  </si>
  <si>
    <t>Logitech MK540 Kit Mouse e Tastiera, Layout Svizzero ‎Qwertz</t>
  </si>
  <si>
    <t>B01M3TTXMY</t>
  </si>
  <si>
    <t>5099206069824</t>
  </si>
  <si>
    <t>Logitech G Saitek Pro Flight Instrument Panel Pannello Strumenti</t>
  </si>
  <si>
    <t>B07W5JJP7D</t>
  </si>
  <si>
    <t>5099206086074</t>
  </si>
  <si>
    <t>Logitech G512 Tastiera Gaming Meccanica, RGB LIGHTSYNC, Tasti Retroilluminati, GX Brown Tactile Switch, Telaio in alluminio spazzolato, Tasti Personalizzabili, USB, QWERTY Layout Italiano, Nero</t>
  </si>
  <si>
    <t>B07VCS18BK</t>
  </si>
  <si>
    <t>5099206086463</t>
  </si>
  <si>
    <t>Logitech MK470 Kit Mouse e Tastiera, Layout Francese Azerty, ‎Nero</t>
  </si>
  <si>
    <t>B00ITLJB84</t>
  </si>
  <si>
    <t>5099206046849</t>
  </si>
  <si>
    <t>Logitech K280E Pro Tastiera Business Cablata, Layout Scandinavo, Nero</t>
  </si>
  <si>
    <t>B07W5JKB92</t>
  </si>
  <si>
    <t>5099206088825</t>
  </si>
  <si>
    <t>Logitech G915 LIGHTSPEED TKL Tastiera Gaming Wireless Meccanica Tenkeyless, Profilo Ribassato, GL-Tactile Switches, LIGHTSYNC RGB, Design Ultrasottile, +40 ore Durata Batteria, QWERTY US Layout, Nero</t>
  </si>
  <si>
    <t>home_improvement</t>
  </si>
  <si>
    <t>B00552K0GM</t>
  </si>
  <si>
    <t>0777304567279</t>
  </si>
  <si>
    <t>Logitech M185 Mouse Wireless, 2,4 GHz con Mini Ricevitore USB, Durata Batteria di 12 Mesi, Tracciamento Ottico 1000 DPI, Ambidestro, Compatibile con PC, Mac, Laptop - Grigio</t>
  </si>
  <si>
    <t>317BCF6Z</t>
  </si>
  <si>
    <t>B005O8D1J0</t>
  </si>
  <si>
    <t>5099206030039</t>
  </si>
  <si>
    <t>Logitech K230 Tastiera Wireless Compatta, Layout Francese Azerty, Nero</t>
  </si>
  <si>
    <t>2RY2IXIW</t>
  </si>
  <si>
    <t>B07W4DHNBF</t>
  </si>
  <si>
    <t>5099206087187</t>
  </si>
  <si>
    <t>Logitech StreamCam – Webcam per Live Streaming su Youtube e Twitch, Full HD 1080p a 60 fps, Connessione USB-C, Facial Tracking, Autofocus, Video Verticali, Grigio Scuro</t>
  </si>
  <si>
    <t>5M9TC4YV</t>
  </si>
  <si>
    <t>B07W4DHT47</t>
  </si>
  <si>
    <t>5099206093065</t>
  </si>
  <si>
    <t>Logitech M705 Marathon Mouse Wireless, Ricevitore USB Unifying 2,4 GHz, 1000 DPI, 5 Pulsanti Programmabili, Durata Batteria di 3 Anni, Compatibile con PC, Mac, Laptop, Chromebook - Grigio</t>
  </si>
  <si>
    <t>1FY1FUTP</t>
  </si>
  <si>
    <t>B07W5JKB91</t>
  </si>
  <si>
    <t>5099206088474</t>
  </si>
  <si>
    <t>Ultimate Ears HYPERBOOM Speaker Bluetooth Portatile - Altoparlante Wireless con Bassi Profondi, Resistente all'Acqua IPX4, Raggio d'Azione di 45 m, Durata Batteria di 24h - Nero</t>
  </si>
  <si>
    <t>B07W5JKFQF</t>
  </si>
  <si>
    <t>5099206091214</t>
  </si>
  <si>
    <t>14701000</t>
  </si>
  <si>
    <t>14701080</t>
  </si>
  <si>
    <t>ASTRO Gaming A20 Cuffia Wireless, Gen 2, Leggere e Resistenti, Microfono flip-to-mute, Batteria +15h, Portata Wireless di 15 m, per PlayStation 5, PS4, PC e Mac, Bianco/Blu</t>
  </si>
  <si>
    <t>B071ZFMC9Q</t>
  </si>
  <si>
    <t>0097855133250</t>
  </si>
  <si>
    <t>Logitech MeetUp supporto di montaggio su TV</t>
  </si>
  <si>
    <t>B01K7GEFWK</t>
  </si>
  <si>
    <t>5099206066212</t>
  </si>
  <si>
    <t>Logitech M220 SILENT Mouse Wireless, 2,4 GHz con Ricevitore USB, Tracciamento Ottico 1000 DPI, Durata Batteria di 18 Mesi, Ambidestro, Compatibile con PC, Mac, Laptop - Rosso</t>
  </si>
  <si>
    <t>B07VWFKTK7</t>
  </si>
  <si>
    <t>5099206080812</t>
  </si>
  <si>
    <t>Logitech G815 LIGHTSYNC RGB Tastiera Gaming Cablata, Profilo Ribassato, GL-Tactile Switches, 5 Tasti G Programmabili, USB Passthrough, Controlli Multimediali Dedicati, QWERTY US Layout, Nero</t>
  </si>
  <si>
    <t>5T4PO9JG</t>
  </si>
  <si>
    <t>B07GC4LRQW</t>
  </si>
  <si>
    <t>5099206080522</t>
  </si>
  <si>
    <t>Logitech M110 Mouse USB cablato, pulsanti silenziosi, design confortevole per l'uso a grandezza naturale, PC / Mac / Laptop ambidestro - Grigio</t>
  </si>
  <si>
    <t>B07W7LQDX7</t>
  </si>
  <si>
    <t>5099206088917</t>
  </si>
  <si>
    <t>Logitech G915 TKL LIGHTSPEED Tastiera gaming meccanica wireless RGB senza tastierino numerico, opzioni di switch a profilo ribassato, LIGHTSYNC RGB, tecnologia wireless avanzata, Bluetooth - Nero</t>
  </si>
  <si>
    <t>B07W6HPP3R</t>
  </si>
  <si>
    <t>5099206096134</t>
  </si>
  <si>
    <t>Logitech Combo Touch Custodia con Tastiera per iPad Air (4 e 5 gen - 2020, 2022), Layout UK/US QWERTY - Grigio</t>
  </si>
  <si>
    <t>B00ZWOUH4S</t>
  </si>
  <si>
    <t>5099206057661</t>
  </si>
  <si>
    <t>Logitech Driving Force Leva Di Cambio, Sei Marce Di Velocità Con Manopola Ad H, Nero</t>
  </si>
  <si>
    <t>31I8VBIP</t>
  </si>
  <si>
    <t>B07RW77K54</t>
  </si>
  <si>
    <t>5099206084193</t>
  </si>
  <si>
    <t>Ultimate Ears Wonderboom 2 Altoparlanti Bluetooth Wireless Portatili, Suono 360°, Bassi Potenti, Outdoor Boost, Impermeabile, Accoppia 2 Speaker per True Stereo, Batteria 13 ore, ‎Rosso</t>
  </si>
  <si>
    <t>8FNVZZXM</t>
  </si>
  <si>
    <t>B0056C7W1C</t>
  </si>
  <si>
    <t>5099206020825</t>
  </si>
  <si>
    <t>Logitech K120 Tastiera con Cavo per Windows, Layout Spagnolo QWERTY - Nero</t>
  </si>
  <si>
    <t>B07W5JKFQC</t>
  </si>
  <si>
    <t>5099206089167</t>
  </si>
  <si>
    <t>Logitech G203 LIGHTSYNC Mouse Gaming con Illuminazione RGB, Personalizzabile, 6 Pulsanti Programmabili, Sensore per Gaming, Tracciamento a 8.000 DPI, Peso Ridotto - Nero</t>
  </si>
  <si>
    <t>B07W5JHM12</t>
  </si>
  <si>
    <t>5099206097179</t>
  </si>
  <si>
    <t>Logitech Signature M650 L Mouse Wireless Full Size, Per Mani Grandi, Clic Silenziosi, Tasti Laterali Personalizzabili, Bluetooth, Compatibilità Multidispositivo, Grigio</t>
  </si>
  <si>
    <t>B00IOIJQ46</t>
  </si>
  <si>
    <t>5099206029927</t>
  </si>
  <si>
    <t>Logitech MK220 Kit Mouse e Tastiera, Layout Russo Qwerty, Nero</t>
  </si>
  <si>
    <t>B07MM4V7NR</t>
  </si>
  <si>
    <t>5099206082199</t>
  </si>
  <si>
    <t>Logitech C920S HD Pro Webcam, Videochiamata Full HD 1080p/30fps, Audio Stereo ‎Chiaro, ‎Correzione Luce HD, Privacy Shutter, Per Skype, Zoom, FaceTime, Hangouts, ‎‎PC/Mac/Laptop/Tablet/XBox‎, Nero</t>
  </si>
  <si>
    <t>3XMQQXHM</t>
  </si>
  <si>
    <t>B07W6JM35X</t>
  </si>
  <si>
    <t>5099206097483</t>
  </si>
  <si>
    <t>Logitech G435 LIGHTSPEED Cuffie Gaming Wireless Bluetooth - Cuffie Over Ear Leggere, Microfoni Integrati, Batteria da 18 Ore, Compatibile con Dolby Atmos, PC, PS4, PS5, Smartphone - Blu</t>
  </si>
  <si>
    <t>B00745IE1Q</t>
  </si>
  <si>
    <t>0182682407275</t>
  </si>
  <si>
    <t>Logitech M187 Mouse Wireless Tascabile Compatto, 2.4 GHz con Ricevitore USB, Rilevamento ‎Ottico 1000 DPI, 3 Pulsanti, PC/Mac/Laptop, Nero</t>
  </si>
  <si>
    <t>2D9BINCT</t>
  </si>
  <si>
    <t>7ZNGEPQA</t>
  </si>
  <si>
    <t>B07W5JJP7R</t>
  </si>
  <si>
    <t>5099206090163</t>
  </si>
  <si>
    <t>Logitech Combo Touch per iPad (7a, 8a e 9a generazione)Custodia con trackpad di precisione, tastiera retroilluminata simile a quella di un laptop e tecnologia Smart Connector - Grafite</t>
  </si>
  <si>
    <t>2022-05-30</t>
  </si>
  <si>
    <t>B07L9FLRPD</t>
  </si>
  <si>
    <t>5099206079724</t>
  </si>
  <si>
    <t>Logitech G PRO Mouse Gaming, Sensore HERO 25K, 25.600 DPI, RGB, Ultraleggero, Progettato ‎per eSport, 6 Pulsanti Programmabili, Memoria Integrata, PC/Mac/Laptop - Nero</t>
  </si>
  <si>
    <t>B00564NERG</t>
  </si>
  <si>
    <t>5099206020757</t>
  </si>
  <si>
    <t>Logitech K120 Tastiera Cablata, Layout Ungherese Qwerty, Nero</t>
  </si>
  <si>
    <t>7TOH4SKI</t>
  </si>
  <si>
    <t>B00IJYG4FY</t>
  </si>
  <si>
    <t>5099206051812</t>
  </si>
  <si>
    <t>14700936</t>
  </si>
  <si>
    <t>Ricevitore Audio Bluetooth Wireless logitech, Adattatore Bluetooth ‎PC/Mac/Smartphone/Tablet/Ricevitore AV, Uscite Audio 3.5 mm e RCA alle Casse Altoparlanti, ‎Pulsante One-Push, Presa UK</t>
  </si>
  <si>
    <t>B0797G6W5K</t>
  </si>
  <si>
    <t>5099206077386</t>
  </si>
  <si>
    <t>Logitech MK540 Advanced Combo Tastiera e Mouse Wireless per Windows, Layout ‎Francese AZERTY - Nero</t>
  </si>
  <si>
    <t>B07H3HGVDW</t>
  </si>
  <si>
    <t>5099206082076</t>
  </si>
  <si>
    <t>14700927</t>
  </si>
  <si>
    <t>Logitech Crayon Matita Digitale per Tutti gli iPad (versioni 2018 e successive) con Tecnologia Apple Pencil, Design Anti-Rotolamento e Punta Intelligente Dinamica - Argento/Arancia</t>
  </si>
  <si>
    <t>B009L1UV94</t>
  </si>
  <si>
    <t>5099206032842</t>
  </si>
  <si>
    <t>Logitech K270 Tastiera Wireless per Windows, Layout Internazionale QWERTY - Nero</t>
  </si>
  <si>
    <t>B07W4DHQJ9</t>
  </si>
  <si>
    <t>5099206092273</t>
  </si>
  <si>
    <t>Logitech ERGO M575 Mouse Trackball Wireless - Facile controllo con il pollice, Tracciamento fluido, Design ergonomico e confortevole, per Windows, PC e Mac, con Bluetooth e USB - Nero</t>
  </si>
  <si>
    <t>B07W4DH9CY</t>
  </si>
  <si>
    <t>5099206089549</t>
  </si>
  <si>
    <t>Logitech G733 LIGHTSPEED Cuffia Wireless con Microfono Gaming con Fascia per la Testa a Sospensione, LIGHTSYNC RGB, Tecnologia Microfono Blue VO!CE, Driver Audio Pro-G, Leggera - Lilla</t>
  </si>
  <si>
    <t>61WQ77QS</t>
  </si>
  <si>
    <t>41N1XRBD</t>
  </si>
  <si>
    <t>B01DIJIDKI</t>
  </si>
  <si>
    <t>5099206064171</t>
  </si>
  <si>
    <t>Logitech G240 Tappetino per Mouse da Gioco, Nero/Antracite</t>
  </si>
  <si>
    <t>B071KBDVV5</t>
  </si>
  <si>
    <t>5099206072060</t>
  </si>
  <si>
    <t>Logitech MeetUp Videocamera 4K per Videoconferenza, Ultra HD</t>
  </si>
  <si>
    <t>3QU2KQFP</t>
  </si>
  <si>
    <t>B01MTG898O</t>
  </si>
  <si>
    <t>5099206066861</t>
  </si>
  <si>
    <t>Logitech MK850 Kit Tastiera e Mouse, Layout ‎Olandese-Belga Azerty, Nero</t>
  </si>
  <si>
    <t>B07W5JHF5D</t>
  </si>
  <si>
    <t>5099206092907</t>
  </si>
  <si>
    <t>Logitech K380 Tastiera, Layout Italiano Qwerty, Bianco</t>
  </si>
  <si>
    <t>8CRK8PGR</t>
  </si>
  <si>
    <t>B07W5JKB8Z</t>
  </si>
  <si>
    <t>5099206089693</t>
  </si>
  <si>
    <t>Logitech G PRO X Cuffie Gaming Wireless LIGHTSPEED, Tecnologia VO!CE Blue, Driver PRO-G 50 mm, Cuffie DTS: Audio Surround X 2.0, Cuffie in Memory Foam, 29 ore per Ricarica, Nero</t>
  </si>
  <si>
    <t>Total</t>
  </si>
  <si>
    <t>Claim Detail</t>
  </si>
  <si>
    <t>PO Detail</t>
  </si>
  <si>
    <t>Recon</t>
  </si>
  <si>
    <t>Concate</t>
  </si>
  <si>
    <t>Qty</t>
  </si>
  <si>
    <t>Invoice Price</t>
  </si>
  <si>
    <t>Invoice Rebate Amt</t>
  </si>
  <si>
    <t>Price</t>
  </si>
  <si>
    <t>ASIN/PO Invalid</t>
  </si>
  <si>
    <t>Qty Check</t>
  </si>
  <si>
    <t>Claim Qty &gt; PO Qty</t>
  </si>
  <si>
    <t>Price Variance</t>
  </si>
  <si>
    <t>11CZAECYB003V4A5UW</t>
  </si>
  <si>
    <t>11CZAECYB004LAWLPW</t>
  </si>
  <si>
    <t>11CZAECYB01MCXJWD1</t>
  </si>
  <si>
    <t>11CZAECYB01MQ0N57Q</t>
  </si>
  <si>
    <t>11CZAECYB073399S1L</t>
  </si>
  <si>
    <t>11CZAECYB076K126YZ</t>
  </si>
  <si>
    <t>11CZAECYB078MLBGRM</t>
  </si>
  <si>
    <t>11CZAECYB07JGCM9QM</t>
  </si>
  <si>
    <t>135JM91XB00IRCDT7Y</t>
  </si>
  <si>
    <t>135JM91XB0100055LI</t>
  </si>
  <si>
    <t>1ABLPEELB002L3TSLQ</t>
  </si>
  <si>
    <t>1FY1FUTPB07W5JKB91</t>
  </si>
  <si>
    <t>1IPN3LSPB07JGCM9QM</t>
  </si>
  <si>
    <t>1O6JEKYWB0766JZ8Q3</t>
  </si>
  <si>
    <t>1QCXHA1RB00C3VSZEW</t>
  </si>
  <si>
    <t>1QCXHA1RB07FNHV4MW</t>
  </si>
  <si>
    <t>1S3VNUKAB003V4A5UW</t>
  </si>
  <si>
    <t>1S3VNUKAB008M4RH1G</t>
  </si>
  <si>
    <t>1S3VNUKAB01MCXJWD1</t>
  </si>
  <si>
    <t>1S3VNUKAB01MQ0N57Q</t>
  </si>
  <si>
    <t>1S3VNUKAB073399S1L</t>
  </si>
  <si>
    <t>1S3VNUKAB07JGCM9QM</t>
  </si>
  <si>
    <t>2NXVQ1IGB00YUIM2J0</t>
  </si>
  <si>
    <t>2RY2IXIWB07W4DHNBF</t>
  </si>
  <si>
    <t>2WFUPSOGB003PO22H2</t>
  </si>
  <si>
    <t>2WFUPSOGB003UPJXIC</t>
  </si>
  <si>
    <t>2WFUPSOGB003V4A5VG</t>
  </si>
  <si>
    <t>2WFUPSOGB004APAH40</t>
  </si>
  <si>
    <t>2WFUPSOGB004CM47VU</t>
  </si>
  <si>
    <t>2WFUPSOGB0055ZWOZ4</t>
  </si>
  <si>
    <t>2WFUPSOGB007C0YQLA</t>
  </si>
  <si>
    <t>2WFUPSOGB007G95NG4</t>
  </si>
  <si>
    <t>2WFUPSOGB00BEFY1W8</t>
  </si>
  <si>
    <t>2WFUPSOGB00BT8QIJ4</t>
  </si>
  <si>
    <t>2WFUPSOGB00EJ3RN7C</t>
  </si>
  <si>
    <t>2WFUPSOGB00YUIM2J0</t>
  </si>
  <si>
    <t>2WFUPSOGB01C47ZFLK</t>
  </si>
  <si>
    <t>2WFUPSOGB01I252A34</t>
  </si>
  <si>
    <t>2WFUPSOGB01L6L45ES</t>
  </si>
  <si>
    <t>2WFUPSOGB01MT5WMMG</t>
  </si>
  <si>
    <t>2WFUPSOGB07VTTBDSV</t>
  </si>
  <si>
    <t>2WFUPSOGB07W6GVS5C</t>
  </si>
  <si>
    <t>317BCF6ZB00IRCDT7Y</t>
  </si>
  <si>
    <t>317BCF6ZB06XH2VSXM</t>
  </si>
  <si>
    <t>31I8VBIPB07RW77K54</t>
  </si>
  <si>
    <t>3461KSJBB07W6J52LN</t>
  </si>
  <si>
    <t>34X9Y94JB07W6J6TG5</t>
  </si>
  <si>
    <t>3AWPOPBJB00544XKK4</t>
  </si>
  <si>
    <t>3AWPOPBJB005BFCNYU</t>
  </si>
  <si>
    <t>3AWPOPBJB008S1IOSS</t>
  </si>
  <si>
    <t>3AWPOPBJB00CJ5FP04</t>
  </si>
  <si>
    <t>3AWPOPBJB00ZOOKDU4</t>
  </si>
  <si>
    <t>3AWPOPBJB00ZOZZM4U</t>
  </si>
  <si>
    <t>3AWPOPBJB01A9HC69G</t>
  </si>
  <si>
    <t>3AWPOPBJB01DIJICIQ</t>
  </si>
  <si>
    <t>3AWPOPBJB01DKTP3X6</t>
  </si>
  <si>
    <t>3AWPOPBJB01M3TTXMY</t>
  </si>
  <si>
    <t>3AWPOPBJB0766JZ8Q3</t>
  </si>
  <si>
    <t>3AWPOPBJB076NFYGFP</t>
  </si>
  <si>
    <t>3AWPOPBJB07FNHV4MW</t>
  </si>
  <si>
    <t>3AWPOPBJB07MM4V7NR</t>
  </si>
  <si>
    <t>3AWPOPBJB07MTWHWZ1</t>
  </si>
  <si>
    <t>3AWPOPBJB07MTY5HH8</t>
  </si>
  <si>
    <t>3AWPOPBJB07W4DHNBF</t>
  </si>
  <si>
    <t>3AWPOPBJB07W6H4R4D</t>
  </si>
  <si>
    <t>3AWPOPBJB07W6HDNPF</t>
  </si>
  <si>
    <t>3AWPOPBJB07W6HDNPG</t>
  </si>
  <si>
    <t>3AWPOPBJB07W6HK7ZC</t>
  </si>
  <si>
    <t>3AWPOPBJB07W6HLN9H</t>
  </si>
  <si>
    <t>3AWPOPBJB07W6J6TG5</t>
  </si>
  <si>
    <t>3AWPOPBJB07W6JG6Z7</t>
  </si>
  <si>
    <t>3AWPOPBJB07W6JNK1Z</t>
  </si>
  <si>
    <t>3B2Q175VB00YUIM2J0</t>
  </si>
  <si>
    <t>3B2Q175VB011N78DMA</t>
  </si>
  <si>
    <t>3B2Q175VB01C47ZFLK</t>
  </si>
  <si>
    <t>3B2Q175VB01N6NGNQ8</t>
  </si>
  <si>
    <t>3B2Q175VB071XW5FW8</t>
  </si>
  <si>
    <t>3B2Q175VB07W5JK4LF</t>
  </si>
  <si>
    <t>3B2Q175VB07W5JKFQC</t>
  </si>
  <si>
    <t>3B2Q175VB07W6JNQ82</t>
  </si>
  <si>
    <t>3C9KY3UKB00EUUXFFS</t>
  </si>
  <si>
    <t>3ED4D7ZNB0100055LI</t>
  </si>
  <si>
    <t>3G5UZVPKB00AZKNPZC</t>
  </si>
  <si>
    <t>3O2Z95HBB004LAWLPW</t>
  </si>
  <si>
    <t>3O2Z95HBB01MQ0N57Q</t>
  </si>
  <si>
    <t>3O2Z95HBB073399S1L</t>
  </si>
  <si>
    <t>3O2Z95HBB07JGCM9QM</t>
  </si>
  <si>
    <t>3O2Z95HBB07VWFKTK7</t>
  </si>
  <si>
    <t>3QU2KQFPB06W547XN2</t>
  </si>
  <si>
    <t>3S7Y1OIVB002VA464S</t>
  </si>
  <si>
    <t>3S7Y1OIVB00544XFHC</t>
  </si>
  <si>
    <t>3S7Y1OIVB00544XKK4</t>
  </si>
  <si>
    <t>3S7Y1OIVB005BFCNYU</t>
  </si>
  <si>
    <t>3S7Y1OIVB00C3VSZEW</t>
  </si>
  <si>
    <t>3S7Y1OIVB00CJ5FPTA</t>
  </si>
  <si>
    <t>3S7Y1OIVB00N1YPXW2</t>
  </si>
  <si>
    <t>3S7Y1OIVB00ZOOKDU4</t>
  </si>
  <si>
    <t>3S7Y1OIVB00ZWOUH4S</t>
  </si>
  <si>
    <t>3S7Y1OIVB079Z3DSBK</t>
  </si>
  <si>
    <t>3S7Y1OIVB07FNHV4MW</t>
  </si>
  <si>
    <t>3S7Y1OIVB07GS6ZB7T</t>
  </si>
  <si>
    <t>3S7Y1OIVB07J9Q68CK</t>
  </si>
  <si>
    <t>3S7Y1OIVB07MTXLFXV</t>
  </si>
  <si>
    <t>3S7Y1OIVB07W6JG6Z7</t>
  </si>
  <si>
    <t>3S7Y1OIVB07W7M4MZP</t>
  </si>
  <si>
    <t>3UTU3G8KB003PAMIA2</t>
  </si>
  <si>
    <t>3UTU3G8KB003V4A5VG</t>
  </si>
  <si>
    <t>3WIANGOBB004LAWLPW</t>
  </si>
  <si>
    <t>3WIANGOBB01MCXJWD1</t>
  </si>
  <si>
    <t>3WIANGOBB073399S1L</t>
  </si>
  <si>
    <t>3WIANGOBB076K126YZ</t>
  </si>
  <si>
    <t>3WIANGOBB078MLBGRM</t>
  </si>
  <si>
    <t>3WIANGOBB07JGCM9QM</t>
  </si>
  <si>
    <t>3XMQQXHMB00CJ5FP04</t>
  </si>
  <si>
    <t>41N1XRBDB01DIJIDKI</t>
  </si>
  <si>
    <t>4AY3K18CB004VPLVI0</t>
  </si>
  <si>
    <t>4AY3K18CB00EUUXBDE</t>
  </si>
  <si>
    <t>4AY3K18CB07G6DL332</t>
  </si>
  <si>
    <t>4AY3K18CB07W6G822Y</t>
  </si>
  <si>
    <t>4FFLHW5MB003PAMIA2</t>
  </si>
  <si>
    <t>4FFLHW5MB003V4A5VG</t>
  </si>
  <si>
    <t>4FFLHW5MB0078M385M</t>
  </si>
  <si>
    <t>4FFLHW5MB009L1UV94</t>
  </si>
  <si>
    <t>4FFLHW5MB00BF5QDZU</t>
  </si>
  <si>
    <t>4FFLHW5MB00BT8QIJ4</t>
  </si>
  <si>
    <t>4FFLHW5MB00EJ3RMDM</t>
  </si>
  <si>
    <t>4FFLHW5MB00EJ3RN7C</t>
  </si>
  <si>
    <t>4FFLHW5MB01C4HCSOC</t>
  </si>
  <si>
    <t>4FFLHW5MB01I252A34</t>
  </si>
  <si>
    <t>4FFLHW5MB01L6L45ES</t>
  </si>
  <si>
    <t>4FFLHW5MB01MT5WMMG</t>
  </si>
  <si>
    <t>4FFLHW5MB06XPXRN4K</t>
  </si>
  <si>
    <t>4FFLHW5MB06XQ3V8G7</t>
  </si>
  <si>
    <t>4FFLHW5MB074C9889M</t>
  </si>
  <si>
    <t>4FFLHW5MB074C9LZVX</t>
  </si>
  <si>
    <t>4FFLHW5MB074KGS5C3</t>
  </si>
  <si>
    <t>4FFLHW5MB077BT728N</t>
  </si>
  <si>
    <t>4FFLHW5MB079YGFNC7</t>
  </si>
  <si>
    <t>4FFLHW5MB07W5JJP7D</t>
  </si>
  <si>
    <t>4FFLHW5MB07W5JK4LF</t>
  </si>
  <si>
    <t>4FFLHW5MB07W5JKPSF</t>
  </si>
  <si>
    <t>4FFLHW5MB07W6GVS5C</t>
  </si>
  <si>
    <t>4RM5JT6BB00544XJDM</t>
  </si>
  <si>
    <t>4RM5JT6BB07H3HGS9R</t>
  </si>
  <si>
    <t>54U7COBYB07CGNDZR3</t>
  </si>
  <si>
    <t>54U7COBYB07G6DKDY8</t>
  </si>
  <si>
    <t>54U7COBYB07G6MYMKD</t>
  </si>
  <si>
    <t>54U7COBYB07GS6ZS8J</t>
  </si>
  <si>
    <t>57D297ZKB0056C69DO</t>
  </si>
  <si>
    <t>57D297ZKB011N78DMA</t>
  </si>
  <si>
    <t>57D297ZKB01C47ZFLK</t>
  </si>
  <si>
    <t>57D297ZKB01ENKI4D2</t>
  </si>
  <si>
    <t>57D297ZKB01N6NGNQ8</t>
  </si>
  <si>
    <t>57D297ZKB07W5JK4LF</t>
  </si>
  <si>
    <t>57D297ZKB07W6JNQ82</t>
  </si>
  <si>
    <t>5DN5PI5YB003PAMIA2</t>
  </si>
  <si>
    <t>5DN5PI5YB003PO22H2</t>
  </si>
  <si>
    <t>5DN5PI5YB004CM47VU</t>
  </si>
  <si>
    <t>5DN5PI5YB0056C69DO</t>
  </si>
  <si>
    <t>5DN5PI5YB0078M385M</t>
  </si>
  <si>
    <t>5DN5PI5YB007C0YQLA</t>
  </si>
  <si>
    <t>5DN5PI5YB00BEFY1W8</t>
  </si>
  <si>
    <t>5DN5PI5YB00BT8QIJ4</t>
  </si>
  <si>
    <t>5DN5PI5YB00YUIM2J0</t>
  </si>
  <si>
    <t>5DN5PI5YB01C47ZFLK</t>
  </si>
  <si>
    <t>5DN5PI5YB01L6L45ES</t>
  </si>
  <si>
    <t>5DN5PI5YB01MT5WMMG</t>
  </si>
  <si>
    <t>5DN5PI5YB07W7KJC28</t>
  </si>
  <si>
    <t>5EPWKXSHB004CM47VU</t>
  </si>
  <si>
    <t>5EPWKXSHB013SL2050</t>
  </si>
  <si>
    <t>5EPWKXSHB01C47ZFLK</t>
  </si>
  <si>
    <t>5EPWKXSHB01ENKI4D2</t>
  </si>
  <si>
    <t>5EPWKXSHB07W5JJP7D</t>
  </si>
  <si>
    <t>5EPWKXSHB07W5JK4LF</t>
  </si>
  <si>
    <t>5EPWKXSHB07W6GVS5C</t>
  </si>
  <si>
    <t>5EPWKXSHB07W7KJC28</t>
  </si>
  <si>
    <t>5GJU9A7GB01DKTP3X6</t>
  </si>
  <si>
    <t>5HGHPU5OB003AUZKYI</t>
  </si>
  <si>
    <t>5HGHPU5OB003STDR1E</t>
  </si>
  <si>
    <t>5HGHPU5OB004IO5BMQ</t>
  </si>
  <si>
    <t>5HGHPU5OB0056I3IDW</t>
  </si>
  <si>
    <t>5HGHPU5OB005O8D1J0</t>
  </si>
  <si>
    <t>5HGHPU5OB008S1IOCY</t>
  </si>
  <si>
    <t>5HGHPU5OB00C7INSWU</t>
  </si>
  <si>
    <t>5HGHPU5OB00L8VNQ88</t>
  </si>
  <si>
    <t>5HGHPU5OB00MWNDUDM</t>
  </si>
  <si>
    <t>5HGHPU5OB00MWR5IVA</t>
  </si>
  <si>
    <t>5HGHPU5OB00Q6MR0UO</t>
  </si>
  <si>
    <t>5HGHPU5OB013SL2050</t>
  </si>
  <si>
    <t>5HGHPU5OB01DKTP30O</t>
  </si>
  <si>
    <t>5HGHPU5OB01K7GEAF2</t>
  </si>
  <si>
    <t>5HGHPU5OB06W547XN2</t>
  </si>
  <si>
    <t>5HGHPU5OB07GDYYN38</t>
  </si>
  <si>
    <t>5HGHPU5OB07QKC4WWD</t>
  </si>
  <si>
    <t>5HGHPU5OB07SCMTKGB</t>
  </si>
  <si>
    <t>5HGHPU5OB07VFVRZ6Y</t>
  </si>
  <si>
    <t>5HGHPU5OB07VL9YHC9</t>
  </si>
  <si>
    <t>5HGHPU5OB07W4DGC27</t>
  </si>
  <si>
    <t>5HGHPU5OB07W4DGLJX</t>
  </si>
  <si>
    <t>5HGHPU5OB07W4DH9CW</t>
  </si>
  <si>
    <t>5HGHPU5OB07W4DHS5B</t>
  </si>
  <si>
    <t>5HGHPU5OB07W5JHF5D</t>
  </si>
  <si>
    <t>5HGHPU5OB07W5JHXF8</t>
  </si>
  <si>
    <t>5HGHPU5OB07W5JJ1WM</t>
  </si>
  <si>
    <t>5HGHPU5OB07W5JKFQF</t>
  </si>
  <si>
    <t>5HGHPU5OB07W5JKHFR</t>
  </si>
  <si>
    <t>5HGHPU5OB07W6J51XR</t>
  </si>
  <si>
    <t>5HGHPU5OB07W6J52LN</t>
  </si>
  <si>
    <t>5HGHPU5OB07W6JFPT1</t>
  </si>
  <si>
    <t>5HGHPU5OB07W6JLFZ7</t>
  </si>
  <si>
    <t>5HGHPU5OB07W7JR6BZ</t>
  </si>
  <si>
    <t>5HGHPU5OB07W7KMK4Y</t>
  </si>
  <si>
    <t>5HGHPU5OB07W7KT2B3</t>
  </si>
  <si>
    <t>5HGHPU5OB07W7MKLNT</t>
  </si>
  <si>
    <t>5HGHPU5OB07W7MQMDF</t>
  </si>
  <si>
    <t>5HGHPU5OB07W8P4PDD</t>
  </si>
  <si>
    <t>5HXMAQACB0711V7BV6</t>
  </si>
  <si>
    <t>5IZH76JAB0038NRMKW</t>
  </si>
  <si>
    <t>5IZH76JAB003PAMIA2</t>
  </si>
  <si>
    <t>5IZH76JAB003UPJXIC</t>
  </si>
  <si>
    <t>5IZH76JAB003V4A5VG</t>
  </si>
  <si>
    <t>5IZH76JAB004CM47VU</t>
  </si>
  <si>
    <t>5IZH76JAB0056C69DO</t>
  </si>
  <si>
    <t>5IZH76JAB00BT8QIJ4</t>
  </si>
  <si>
    <t>5IZH76JAB00EJ3RMDM</t>
  </si>
  <si>
    <t>5IZH76JAB00ITLJB84</t>
  </si>
  <si>
    <t>5IZH76JAB01C47ZFLK</t>
  </si>
  <si>
    <t>5IZH76JAB01I252A34</t>
  </si>
  <si>
    <t>5IZH76JAB01MTG898O</t>
  </si>
  <si>
    <t>5IZH76JAB06XPXRN4K</t>
  </si>
  <si>
    <t>5IZH76JAB06XQ3V8G7</t>
  </si>
  <si>
    <t>5IZH76JAB074C9LZVX</t>
  </si>
  <si>
    <t>5IZH76JAB077BT728N</t>
  </si>
  <si>
    <t>5IZH76JAB0797G6W5K</t>
  </si>
  <si>
    <t>5IZH76JAB07W5JK4LF</t>
  </si>
  <si>
    <t>5IZH76JAB07W6GVS5C</t>
  </si>
  <si>
    <t>5JTB5LYOB00AZKNPZC</t>
  </si>
  <si>
    <t>5KSSWWOJB003K1FXTO</t>
  </si>
  <si>
    <t>5KSSWWOJB00BCE30RS</t>
  </si>
  <si>
    <t>5M9TC4YVB07W4DHT47</t>
  </si>
  <si>
    <t>5T4PO9JGB07W5JKB91</t>
  </si>
  <si>
    <t>5TC236HGB07H3HGS9R</t>
  </si>
  <si>
    <t>5UESXM5PB00IOIJQ46</t>
  </si>
  <si>
    <t>5UESXM5PB00JKDN6RW</t>
  </si>
  <si>
    <t>5UESXM5PB01DIJIE1Q</t>
  </si>
  <si>
    <t>5UESXM5PB0748NCPN5</t>
  </si>
  <si>
    <t>5UESXM5PB07L9FLRPD</t>
  </si>
  <si>
    <t>5UESXM5PB07TQ6G276</t>
  </si>
  <si>
    <t>5UESXM5PB07W4DGCMV</t>
  </si>
  <si>
    <t>5UESXM5PB07W4DHMVB</t>
  </si>
  <si>
    <t>5UESXM5PB07W5JK8TR</t>
  </si>
  <si>
    <t>5UESXM5PB07W6G822Y</t>
  </si>
  <si>
    <t>5UESXM5PB07W6HPP3R</t>
  </si>
  <si>
    <t>5UESXM5PB07W7KV5KF</t>
  </si>
  <si>
    <t>5WP5GFZIB00544XJDM</t>
  </si>
  <si>
    <t>5WP5GFZIB07W5JK4VQ</t>
  </si>
  <si>
    <t>68K72QXCB003V4A5UW</t>
  </si>
  <si>
    <t>68K72QXCB01MCXJWD1</t>
  </si>
  <si>
    <t>68K72QXCB078MHS3SC</t>
  </si>
  <si>
    <t>68K72QXCB07JGCM9QM</t>
  </si>
  <si>
    <t>6D1HFTMSB003LNXT7Y</t>
  </si>
  <si>
    <t>6D1HFTMSB004IO5BMQ</t>
  </si>
  <si>
    <t>6D1HFTMSB00552K0GM</t>
  </si>
  <si>
    <t>6D1HFTMSB00745IE1Q</t>
  </si>
  <si>
    <t>6D1HFTMSB00EUUX59O</t>
  </si>
  <si>
    <t>6D1HFTMSB00IJYG4FY</t>
  </si>
  <si>
    <t>6D1HFTMSB00L8VNQ88</t>
  </si>
  <si>
    <t>6D1HFTMSB00Q6MR0UO</t>
  </si>
  <si>
    <t>6D1HFTMSB00Y0G2L9I</t>
  </si>
  <si>
    <t>6D1HFTMSB013SL1YXO</t>
  </si>
  <si>
    <t>6D1HFTMSB013SL2050</t>
  </si>
  <si>
    <t>6D1HFTMSB01DIJIE1Q</t>
  </si>
  <si>
    <t>6D1HFTMSB01K7GEAF2</t>
  </si>
  <si>
    <t>6D1HFTMSB01K7GEAFC</t>
  </si>
  <si>
    <t>6D1HFTMSB01K7GEFWK</t>
  </si>
  <si>
    <t>6D1HFTMSB06W547XN2</t>
  </si>
  <si>
    <t>6D1HFTMSB06XH2VSXM</t>
  </si>
  <si>
    <t>6D1HFTMSB07CGNDZR3</t>
  </si>
  <si>
    <t>6D1HFTMSB07G5XJLWK</t>
  </si>
  <si>
    <t>6D1HFTMSB07GDYYN38</t>
  </si>
  <si>
    <t>6D1HFTMSB07H3HGVDW</t>
  </si>
  <si>
    <t>6D1HFTMSB07S9DR8QG</t>
  </si>
  <si>
    <t>6D1HFTMSB07SF2F2LV</t>
  </si>
  <si>
    <t>6D1HFTMSB07TQ6G276</t>
  </si>
  <si>
    <t>6D1HFTMSB07VCS18BK</t>
  </si>
  <si>
    <t>6D1HFTMSB07VFJT9NM</t>
  </si>
  <si>
    <t>6D1HFTMSB07VL9YHC9</t>
  </si>
  <si>
    <t>6D1HFTMSB07W4DGC27</t>
  </si>
  <si>
    <t>6D1HFTMSB07W4DH9CW</t>
  </si>
  <si>
    <t>6D1HFTMSB07W4DH9CY</t>
  </si>
  <si>
    <t>6D1HFTMSB07W4DHMXL</t>
  </si>
  <si>
    <t>6D1HFTMSB07W4DJDCS</t>
  </si>
  <si>
    <t>6D1HFTMSB07W5JHXF8</t>
  </si>
  <si>
    <t>6D1HFTMSB07W5JK1JN</t>
  </si>
  <si>
    <t>6D1HFTMSB07W5JK27G</t>
  </si>
  <si>
    <t>6D1HFTMSB07W5JKB92</t>
  </si>
  <si>
    <t>6D1HFTMSB07W5JKHFR</t>
  </si>
  <si>
    <t>6D1HFTMSB07W6HJVDK</t>
  </si>
  <si>
    <t>6D1HFTMSB07W6J52LN</t>
  </si>
  <si>
    <t>6D1HFTMSB07W6JKKBV</t>
  </si>
  <si>
    <t>6D1HFTMSB07W6JKL78</t>
  </si>
  <si>
    <t>6D1HFTMSB07W6JLFZ7</t>
  </si>
  <si>
    <t>6D1HFTMSB07W6JM35X</t>
  </si>
  <si>
    <t>6D1HFTMSB07W7JR6BZ</t>
  </si>
  <si>
    <t>6D1HFTMSB07W7KMK4Y</t>
  </si>
  <si>
    <t>6D1HFTMSB07W7L3DSX</t>
  </si>
  <si>
    <t>6D1HFTMSB07W7MY2K8</t>
  </si>
  <si>
    <t>6D1HFTMSB07W8P4PDD</t>
  </si>
  <si>
    <t>6DPU2MKPB003LNXT7Y</t>
  </si>
  <si>
    <t>6DPU2MKPB004IO5BMQ</t>
  </si>
  <si>
    <t>6DPU2MKPB004VPLVI0</t>
  </si>
  <si>
    <t>6DPU2MKPB00564NERG</t>
  </si>
  <si>
    <t>6DPU2MKPB0080IA1J4</t>
  </si>
  <si>
    <t>6DPU2MKPB008S1IOCY</t>
  </si>
  <si>
    <t>6DPU2MKPB00JKDN6RW</t>
  </si>
  <si>
    <t>6DPU2MKPB00U77CYLE</t>
  </si>
  <si>
    <t>6DPU2MKPB013SL2050</t>
  </si>
  <si>
    <t>6DPU2MKPB01DIJIE1Q</t>
  </si>
  <si>
    <t>6DPU2MKPB01K7GEAF2</t>
  </si>
  <si>
    <t>6DPU2MKPB01MV1GX63</t>
  </si>
  <si>
    <t>6DPU2MKPB06W547XN2</t>
  </si>
  <si>
    <t>6DPU2MKPB07G5XJLWK</t>
  </si>
  <si>
    <t>6DPU2MKPB07G6DL332</t>
  </si>
  <si>
    <t>6DPU2MKPB07G6MYMKD</t>
  </si>
  <si>
    <t>6DPU2MKPB07GC4LRQW</t>
  </si>
  <si>
    <t>6DPU2MKPB07VL9YHC9</t>
  </si>
  <si>
    <t>6DPU2MKPB07W4DGCMV</t>
  </si>
  <si>
    <t>6DPU2MKPB07W4DGLJX</t>
  </si>
  <si>
    <t>6DPU2MKPB07W4DH9CW</t>
  </si>
  <si>
    <t>6DPU2MKPB07W4DHQJ9</t>
  </si>
  <si>
    <t>6DPU2MKPB07W4DHS5B</t>
  </si>
  <si>
    <t>6DPU2MKPB07W4DHXC8</t>
  </si>
  <si>
    <t>6DPU2MKPB07W5JHXF8</t>
  </si>
  <si>
    <t>6DPU2MKPB07W5JJ1WH</t>
  </si>
  <si>
    <t>6DPU2MKPB07W5JJ1WM</t>
  </si>
  <si>
    <t>6DPU2MKPB07W5JJP7R</t>
  </si>
  <si>
    <t>6DPU2MKPB07W5JK27G</t>
  </si>
  <si>
    <t>6DPU2MKPB07W5JK8TR</t>
  </si>
  <si>
    <t>6DPU2MKPB07W6J829F</t>
  </si>
  <si>
    <t>6DPU2MKPB07W6JLFZ7</t>
  </si>
  <si>
    <t>6DPU2MKPB07W6JNF81</t>
  </si>
  <si>
    <t>6DPU2MKPB07W7KMK4Y</t>
  </si>
  <si>
    <t>6DPU2MKPB07W7KV5KF</t>
  </si>
  <si>
    <t>6DPU2MKPB07W7L3DSX</t>
  </si>
  <si>
    <t>6DPU2MKPB07W7LQDX7</t>
  </si>
  <si>
    <t>6DPU2MKPB07W7MKLNT</t>
  </si>
  <si>
    <t>6DPU2MKPB07W8P4PDD</t>
  </si>
  <si>
    <t>6GSPTXJAB0037KLSR4</t>
  </si>
  <si>
    <t>6GSPTXJAB003IZ5JXC</t>
  </si>
  <si>
    <t>6GSPTXJAB00564NLFG</t>
  </si>
  <si>
    <t>6L7XHCCZB07G6LWTG6</t>
  </si>
  <si>
    <t>6PWVSPBOB07W5JJR4H</t>
  </si>
  <si>
    <t>6VR89N1LB004CM47VU</t>
  </si>
  <si>
    <t>6VR89N1LB01C47ZFLK</t>
  </si>
  <si>
    <t>6VR89N1LB01N6NGNQ8</t>
  </si>
  <si>
    <t>6VR89N1LB07W5JK4LF</t>
  </si>
  <si>
    <t>6VR89N1LB07W6GVS5C</t>
  </si>
  <si>
    <t>6ZGQP34KB0032W4158</t>
  </si>
  <si>
    <t>6ZGQP34KB003PAMIA2</t>
  </si>
  <si>
    <t>6ZGQP34KB003PO22H2</t>
  </si>
  <si>
    <t>6ZGQP34KB003UPJXIC</t>
  </si>
  <si>
    <t>6ZGQP34KB003V4A5VG</t>
  </si>
  <si>
    <t>6ZGQP34KB004CM47VU</t>
  </si>
  <si>
    <t>6ZGQP34KB004MY4PU6</t>
  </si>
  <si>
    <t>6ZGQP34KB0056C69DO</t>
  </si>
  <si>
    <t>6ZGQP34KB0056C7W1C</t>
  </si>
  <si>
    <t>6ZGQP34KB007C0YQLA</t>
  </si>
  <si>
    <t>6ZGQP34KB00BEFY1W8</t>
  </si>
  <si>
    <t>6ZGQP34KB00YR92VMA</t>
  </si>
  <si>
    <t>6ZGQP34KB011N78DMA</t>
  </si>
  <si>
    <t>6ZGQP34KB01C47ZFLK</t>
  </si>
  <si>
    <t>6ZGQP34KB01C4HCSOC</t>
  </si>
  <si>
    <t>6ZGQP34KB01ENKI4D2</t>
  </si>
  <si>
    <t>6ZGQP34KB01I252A34</t>
  </si>
  <si>
    <t>6ZGQP34KB01L6L45ES</t>
  </si>
  <si>
    <t>6ZGQP34KB01MT5WMMG</t>
  </si>
  <si>
    <t>6ZGQP34KB071KBDVV5</t>
  </si>
  <si>
    <t>6ZGQP34KB07VTTBDSV</t>
  </si>
  <si>
    <t>6ZGQP34KB07W5JJP7D</t>
  </si>
  <si>
    <t>6ZGQP34KB07W5JK4LF</t>
  </si>
  <si>
    <t>6ZGQP34KB07W6GVS5C</t>
  </si>
  <si>
    <t>6ZGQP34KB07W7KJC28</t>
  </si>
  <si>
    <t>7M2QCA5KB00AZKNPZC</t>
  </si>
  <si>
    <t>7M2QCA5KB07H3HGS9R</t>
  </si>
  <si>
    <t>7OH7IQXHB00AZKNPZC</t>
  </si>
  <si>
    <t>7PFJO9VPB00Y0G2L9I</t>
  </si>
  <si>
    <t>7PFJO9VPB00YUIM2J0</t>
  </si>
  <si>
    <t>7PFJO9VPB011N78DMA</t>
  </si>
  <si>
    <t>7PFJO9VPB07W6GVS5C</t>
  </si>
  <si>
    <t>7PQWY35CB00AZKNPZC</t>
  </si>
  <si>
    <t>7TOH4SKIB00CJ5FP04</t>
  </si>
  <si>
    <t>7ZNGEPQAB0100055LI</t>
  </si>
  <si>
    <t>81V4YVNTB002L3TSLQ</t>
  </si>
  <si>
    <t>81V4YVNTB00544XFHC</t>
  </si>
  <si>
    <t>81V4YVNTB00552K0GM</t>
  </si>
  <si>
    <t>81V4YVNTB00Y0G2L9I</t>
  </si>
  <si>
    <t>81V4YVNTB07G6LZVWH</t>
  </si>
  <si>
    <t>81V4YVNTB07W4DHT47</t>
  </si>
  <si>
    <t>81V4YVNTB07W6FNF6N</t>
  </si>
  <si>
    <t>81V4YVNTB07W6J829F</t>
  </si>
  <si>
    <t>81V4YVNTB07W6JG6Z7</t>
  </si>
  <si>
    <t>81V4YVNTB07W6JKKBV</t>
  </si>
  <si>
    <t>83YYT1WXB002VA464S</t>
  </si>
  <si>
    <t>84Q57SSPB07QNYCLBJ</t>
  </si>
  <si>
    <t>84Q57SSPB07W4DGC27</t>
  </si>
  <si>
    <t>84Q57SSPB07W5JHM12</t>
  </si>
  <si>
    <t>89J1FZUEB0100055LI</t>
  </si>
  <si>
    <t>8CRK8PGRB07W5JKB8Z</t>
  </si>
  <si>
    <t>8E4YHFGVB07W6HDNNV</t>
  </si>
  <si>
    <t>8FNVZZXMB003PAMIA2</t>
  </si>
  <si>
    <t>8GFIEEZOB00IRCDT7Y</t>
  </si>
  <si>
    <t>8IC45Q9KB000XUQ2LI</t>
  </si>
  <si>
    <t>8IC45Q9KB00544XKK4</t>
  </si>
  <si>
    <t>8IC45Q9KB005BFCNYU</t>
  </si>
  <si>
    <t>8IC45Q9KB00CJ5FP04</t>
  </si>
  <si>
    <t>8IC45Q9KB00CJ5FPTA</t>
  </si>
  <si>
    <t>8IC45Q9KB00ZOZZM4U</t>
  </si>
  <si>
    <t>8IC45Q9KB01DIJICIQ</t>
  </si>
  <si>
    <t>8IC45Q9KB01DKTP3PY</t>
  </si>
  <si>
    <t>8IC45Q9KB01DKTP3X6</t>
  </si>
  <si>
    <t>8IC45Q9KB01M3TTXMY</t>
  </si>
  <si>
    <t>8IC45Q9KB071ZFMC9Q</t>
  </si>
  <si>
    <t>8IC45Q9KB0766JZ8Q3</t>
  </si>
  <si>
    <t>8IC45Q9KB079Z3DSBK</t>
  </si>
  <si>
    <t>8IC45Q9KB07GS6ZB7T</t>
  </si>
  <si>
    <t>8IC45Q9KB07MTWHWZ1</t>
  </si>
  <si>
    <t>8IC45Q9KB07MTXLFXV</t>
  </si>
  <si>
    <t>8IC45Q9KB07VWZHCNX</t>
  </si>
  <si>
    <t>8IC45Q9KB07W6HDNNV</t>
  </si>
  <si>
    <t>8IC45Q9KB07W6HFDR8</t>
  </si>
  <si>
    <t>8IC45Q9KB07W6J6TG5</t>
  </si>
  <si>
    <t>8JRL112ZB07W6HDNNV</t>
  </si>
  <si>
    <t>8JVTHC2JB07H3HGS9R</t>
  </si>
  <si>
    <t>8TBCZ9EDB00EUUX59O</t>
  </si>
  <si>
    <t>8TBCZ9EDB07W5JHLCB</t>
  </si>
  <si>
    <t>8TP6LKKAB07W5JHLCB</t>
  </si>
  <si>
    <t>Dispute Summary</t>
  </si>
  <si>
    <t>ASIN/PO combo Invalid</t>
  </si>
  <si>
    <t>PO</t>
  </si>
  <si>
    <t>ASIN</t>
  </si>
  <si>
    <t>QTY</t>
  </si>
  <si>
    <t>Rebate</t>
  </si>
  <si>
    <t>PO Qty</t>
  </si>
  <si>
    <t>Claim QTY</t>
  </si>
  <si>
    <t>Over Claimed Qty</t>
  </si>
  <si>
    <t>Rebate Amt</t>
  </si>
  <si>
    <t>Total Over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</si>
</sst>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D1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/>
    <xf numFmtId="39" fontId="0" fillId="0" borderId="0" xfId="0" applyNumberFormat="1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dileep1\Desktop\AMAZON\Amazon%20Contractual%20Rebate%20Macro%20(14).xlsm" TargetMode="External"/><Relationship Id="rId1" Type="http://schemas.openxmlformats.org/officeDocument/2006/relationships/externalLinkPath" Target="Amazon%20Contractual%20Rebate%20Macro%20(1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Pivot"/>
      <sheetName val="Dispute Summary"/>
      <sheetName val="Recon"/>
      <sheetName val="BackupPivot"/>
      <sheetName val="Backup"/>
      <sheetName val="Calendar"/>
      <sheetName val="Config"/>
      <sheetName val="PO Report"/>
    </sheetNames>
    <sheetDataSet>
      <sheetData sheetId="0"/>
      <sheetData sheetId="1"/>
      <sheetData sheetId="2"/>
      <sheetData sheetId="3"/>
      <sheetData sheetId="4"/>
      <sheetData sheetId="5">
        <row r="1">
          <cell r="K1" t="str">
            <v>Rebate per Units</v>
          </cell>
          <cell r="L1" t="str">
            <v>Price per unit</v>
          </cell>
          <cell r="AJ1" t="str">
            <v>Invoice Concate</v>
          </cell>
        </row>
        <row r="2">
          <cell r="K2">
            <v>1.0761000000000001</v>
          </cell>
          <cell r="L2">
            <v>31.650000000000002</v>
          </cell>
          <cell r="AJ2" t="str">
            <v>8IC45Q9KB00CJ5FPTA</v>
          </cell>
        </row>
        <row r="3">
          <cell r="K3">
            <v>1.0761000000000001</v>
          </cell>
          <cell r="L3">
            <v>31.65</v>
          </cell>
          <cell r="AJ3" t="str">
            <v>54U7COBYB07CGNDZR3</v>
          </cell>
        </row>
        <row r="4">
          <cell r="K4">
            <v>2.17022</v>
          </cell>
          <cell r="L4">
            <v>63.83</v>
          </cell>
          <cell r="AJ4" t="str">
            <v>3WIANGOBB076K126YZ</v>
          </cell>
        </row>
        <row r="5">
          <cell r="K5">
            <v>0.29852000000000001</v>
          </cell>
          <cell r="L5">
            <v>8.7799999999999994</v>
          </cell>
          <cell r="AJ5" t="str">
            <v>3AWPOPBJB01A9HC69G</v>
          </cell>
        </row>
        <row r="6">
          <cell r="K6">
            <v>4.8256199999999998</v>
          </cell>
          <cell r="L6">
            <v>141.93</v>
          </cell>
          <cell r="AJ6" t="str">
            <v>8IC45Q9KB079Z3DSBK</v>
          </cell>
        </row>
        <row r="7">
          <cell r="K7">
            <v>0.49775999999999998</v>
          </cell>
          <cell r="L7">
            <v>14.639999999999999</v>
          </cell>
          <cell r="AJ7" t="str">
            <v>6GSPTXJAB003IZ5JXC</v>
          </cell>
        </row>
        <row r="8">
          <cell r="K8" t="e">
            <v>#DIV/0!</v>
          </cell>
          <cell r="L8" t="e">
            <v>#DIV/0!</v>
          </cell>
          <cell r="AJ8" t="str">
            <v>135JM91XB07W4DGLJX</v>
          </cell>
        </row>
        <row r="9">
          <cell r="K9">
            <v>2.5639400000000001</v>
          </cell>
          <cell r="L9">
            <v>75.41</v>
          </cell>
          <cell r="AJ9" t="str">
            <v>57D297ZKB01N6NGNQ8</v>
          </cell>
        </row>
        <row r="10">
          <cell r="K10">
            <v>7.15768</v>
          </cell>
          <cell r="L10">
            <v>210.52</v>
          </cell>
          <cell r="AJ10" t="str">
            <v>57D297ZKB011N78DMA</v>
          </cell>
        </row>
        <row r="11">
          <cell r="K11">
            <v>0.49775999999999998</v>
          </cell>
          <cell r="L11">
            <v>14.64</v>
          </cell>
          <cell r="AJ11" t="str">
            <v>6D1HFTMSB01K7GEAF2</v>
          </cell>
        </row>
        <row r="12">
          <cell r="K12" t="e">
            <v>#DIV/0!</v>
          </cell>
          <cell r="L12" t="e">
            <v>#DIV/0!</v>
          </cell>
          <cell r="AJ12" t="str">
            <v>135JM91XB07W4DGLJX</v>
          </cell>
        </row>
        <row r="13">
          <cell r="K13">
            <v>0.29852000000000001</v>
          </cell>
          <cell r="L13">
            <v>8.7799999999999994</v>
          </cell>
          <cell r="AJ13" t="str">
            <v>3AWPOPBJB01A9HC69G</v>
          </cell>
        </row>
        <row r="14">
          <cell r="K14">
            <v>1.19442</v>
          </cell>
          <cell r="L14">
            <v>35.130000000000003</v>
          </cell>
          <cell r="AJ14" t="str">
            <v>3AWPOPBJB008S1IOSS</v>
          </cell>
        </row>
        <row r="15">
          <cell r="K15">
            <v>3.94468</v>
          </cell>
          <cell r="L15">
            <v>116.02</v>
          </cell>
          <cell r="AJ15" t="str">
            <v>6D1HFTMSB07W6JKKBV</v>
          </cell>
        </row>
        <row r="16">
          <cell r="K16" t="e">
            <v>#DIV/0!</v>
          </cell>
          <cell r="L16" t="e">
            <v>#DIV/0!</v>
          </cell>
          <cell r="AJ16" t="str">
            <v>3AWPOPBJB01A9HC69G</v>
          </cell>
        </row>
        <row r="17">
          <cell r="K17">
            <v>5.0051399999999999</v>
          </cell>
          <cell r="L17">
            <v>147.21</v>
          </cell>
          <cell r="AJ17" t="str">
            <v>68K72QXCB07JGCM9QM</v>
          </cell>
        </row>
        <row r="18">
          <cell r="K18">
            <v>2.5639400000000001</v>
          </cell>
          <cell r="L18">
            <v>75.41</v>
          </cell>
          <cell r="AJ18" t="str">
            <v>5HGHPU5OB07W6JFPT1</v>
          </cell>
        </row>
        <row r="19">
          <cell r="K19">
            <v>2.3140399999999999</v>
          </cell>
          <cell r="L19">
            <v>68.06</v>
          </cell>
          <cell r="AJ19" t="str">
            <v>57D297ZKB07W6JNQ82</v>
          </cell>
        </row>
        <row r="20">
          <cell r="K20">
            <v>0.33829999999999999</v>
          </cell>
          <cell r="L20">
            <v>9.9499999999999993</v>
          </cell>
          <cell r="AJ20" t="str">
            <v>3S7Y1OIVB00544XFHC</v>
          </cell>
        </row>
        <row r="21">
          <cell r="K21">
            <v>0.53788000000000002</v>
          </cell>
          <cell r="L21">
            <v>15.82</v>
          </cell>
          <cell r="AJ21" t="str">
            <v>6D1HFTMSB01DIJIE1Q</v>
          </cell>
        </row>
        <row r="22">
          <cell r="K22">
            <v>1.0761000000000001</v>
          </cell>
          <cell r="L22">
            <v>31.650000000000002</v>
          </cell>
          <cell r="AJ22" t="str">
            <v>6D1HFTMSB07CGNDZR3</v>
          </cell>
        </row>
        <row r="23">
          <cell r="K23">
            <v>1.0761000000000001</v>
          </cell>
          <cell r="L23">
            <v>31.65</v>
          </cell>
          <cell r="AJ23" t="str">
            <v>6D1HFTMSB07CGNDZR3</v>
          </cell>
        </row>
        <row r="24">
          <cell r="K24">
            <v>2.5639400000000001</v>
          </cell>
          <cell r="L24">
            <v>75.41</v>
          </cell>
          <cell r="AJ24" t="str">
            <v>81V4YVNTB07W6JG6Z7</v>
          </cell>
        </row>
        <row r="25">
          <cell r="K25">
            <v>0.69699999999999995</v>
          </cell>
          <cell r="L25">
            <v>20.5</v>
          </cell>
          <cell r="AJ25" t="str">
            <v>5DN5PI5YB0078M385M</v>
          </cell>
        </row>
        <row r="26">
          <cell r="K26">
            <v>5.0051399999999999</v>
          </cell>
          <cell r="L26">
            <v>147.21</v>
          </cell>
          <cell r="AJ26" t="str">
            <v>3WIANGOBB07JGCM9QM</v>
          </cell>
        </row>
        <row r="27">
          <cell r="K27" t="e">
            <v>#DIV/0!</v>
          </cell>
          <cell r="L27" t="e">
            <v>#DIV/0!</v>
          </cell>
          <cell r="AJ27" t="str">
            <v>6D1HFTMSB07CGNDZR3</v>
          </cell>
        </row>
        <row r="28">
          <cell r="K28">
            <v>0.69020000000000004</v>
          </cell>
          <cell r="L28">
            <v>20.3</v>
          </cell>
          <cell r="AJ28" t="str">
            <v>6VR89N1LB07W5JK4LF</v>
          </cell>
        </row>
        <row r="29">
          <cell r="K29">
            <v>5.0051399999999999</v>
          </cell>
          <cell r="L29">
            <v>147.21</v>
          </cell>
          <cell r="AJ29" t="str">
            <v>3WIANGOBB07JGCM9QM</v>
          </cell>
        </row>
        <row r="30">
          <cell r="K30">
            <v>2.3140399999999999</v>
          </cell>
          <cell r="L30">
            <v>68.06</v>
          </cell>
          <cell r="AJ30" t="str">
            <v>1S3VNUKAB073399S1L</v>
          </cell>
        </row>
        <row r="31">
          <cell r="K31">
            <v>2.6730800000000001</v>
          </cell>
          <cell r="L31">
            <v>78.62</v>
          </cell>
          <cell r="AJ31" t="str">
            <v>3AWPOPBJB07MTY5HH8</v>
          </cell>
        </row>
        <row r="32">
          <cell r="K32">
            <v>0.27879999999999999</v>
          </cell>
          <cell r="L32">
            <v>8.1999999999999993</v>
          </cell>
          <cell r="AJ32" t="str">
            <v>57D297ZKB0056C69DO</v>
          </cell>
        </row>
        <row r="33">
          <cell r="K33">
            <v>0.49775999999999998</v>
          </cell>
          <cell r="L33">
            <v>14.64</v>
          </cell>
          <cell r="AJ33" t="str">
            <v>5HGHPU5OB004IO5BMQ</v>
          </cell>
        </row>
        <row r="34">
          <cell r="K34">
            <v>0.89658000000000004</v>
          </cell>
          <cell r="L34">
            <v>26.37</v>
          </cell>
          <cell r="AJ34" t="str">
            <v>8IC45Q9KB07W6HFDR8</v>
          </cell>
        </row>
        <row r="35">
          <cell r="K35">
            <v>2.3667400000000001</v>
          </cell>
          <cell r="L35">
            <v>69.61</v>
          </cell>
          <cell r="AJ35" t="str">
            <v>6GSPTXJAB0037KLSR4</v>
          </cell>
        </row>
        <row r="36">
          <cell r="K36">
            <v>2.6730800000000001</v>
          </cell>
          <cell r="L36">
            <v>78.61999999999999</v>
          </cell>
          <cell r="AJ36" t="str">
            <v>84Q57SSPB07QNYCLBJ</v>
          </cell>
        </row>
        <row r="37">
          <cell r="K37" t="e">
            <v>#DIV/0!</v>
          </cell>
          <cell r="L37" t="e">
            <v>#DIV/0!</v>
          </cell>
          <cell r="AJ37" t="str">
            <v>1H179DEHB003V4A5VG</v>
          </cell>
        </row>
        <row r="38">
          <cell r="K38">
            <v>0.69699999999999995</v>
          </cell>
          <cell r="L38">
            <v>20.5</v>
          </cell>
          <cell r="AJ38" t="str">
            <v>4FFLHW5MB01C4HCSOC</v>
          </cell>
        </row>
        <row r="39">
          <cell r="K39">
            <v>0.33829999999999999</v>
          </cell>
          <cell r="L39">
            <v>9.9499999999999993</v>
          </cell>
          <cell r="AJ39" t="str">
            <v>4RM5JT6BB00544XJDM</v>
          </cell>
        </row>
        <row r="40">
          <cell r="K40">
            <v>0.49775999999999998</v>
          </cell>
          <cell r="L40">
            <v>14.64</v>
          </cell>
          <cell r="AJ40" t="str">
            <v>3S7Y1OIVB00ZOOKDU4</v>
          </cell>
        </row>
        <row r="41">
          <cell r="K41">
            <v>1.5776000000000001</v>
          </cell>
          <cell r="L41">
            <v>46.4</v>
          </cell>
          <cell r="AJ41" t="str">
            <v>5HGHPU5OB07W4DGC27</v>
          </cell>
        </row>
        <row r="42">
          <cell r="K42" t="e">
            <v>#DIV/0!</v>
          </cell>
          <cell r="L42" t="e">
            <v>#DIV/0!</v>
          </cell>
          <cell r="AJ42" t="str">
            <v>1H179DEHB003V4A5VG</v>
          </cell>
        </row>
        <row r="43">
          <cell r="K43">
            <v>1.7938400000000001</v>
          </cell>
          <cell r="L43">
            <v>52.76</v>
          </cell>
          <cell r="AJ43" t="str">
            <v>5UESXM5PB07TQ6G276</v>
          </cell>
        </row>
        <row r="44">
          <cell r="K44">
            <v>2.3667400000000001</v>
          </cell>
          <cell r="L44">
            <v>69.61</v>
          </cell>
          <cell r="AJ44" t="str">
            <v>3S7Y1OIVB07FNHV4MW</v>
          </cell>
        </row>
        <row r="45">
          <cell r="K45">
            <v>0.25874000000000003</v>
          </cell>
          <cell r="L45">
            <v>7.6099999999999994</v>
          </cell>
          <cell r="AJ45" t="str">
            <v>6DPU2MKPB01MV1GX63</v>
          </cell>
        </row>
        <row r="46">
          <cell r="K46">
            <v>0.49775999999999998</v>
          </cell>
          <cell r="L46">
            <v>14.64</v>
          </cell>
          <cell r="AJ46" t="str">
            <v>68K72QXCB003V4A5UW</v>
          </cell>
        </row>
        <row r="47">
          <cell r="K47">
            <v>3.1361600000000003</v>
          </cell>
          <cell r="L47">
            <v>92.240000000000009</v>
          </cell>
          <cell r="AJ47" t="str">
            <v>3AWPOPBJB07W6H4R4D</v>
          </cell>
        </row>
        <row r="48">
          <cell r="K48" t="e">
            <v>#DIV/0!</v>
          </cell>
          <cell r="L48" t="e">
            <v>#DIV/0!</v>
          </cell>
          <cell r="AJ48" t="str">
            <v>54U7COBYB00M6MLYZU</v>
          </cell>
        </row>
        <row r="49">
          <cell r="K49">
            <v>0.33829999999999999</v>
          </cell>
          <cell r="L49">
            <v>9.9499999999999993</v>
          </cell>
          <cell r="AJ49" t="str">
            <v>4FFLHW5MB003PAMIA2</v>
          </cell>
        </row>
        <row r="50">
          <cell r="K50">
            <v>0.19890000000000002</v>
          </cell>
          <cell r="L50">
            <v>5.85</v>
          </cell>
          <cell r="AJ50" t="str">
            <v>4RM5JT6BB07H3HGS9R</v>
          </cell>
        </row>
        <row r="51">
          <cell r="K51">
            <v>0.69699999999999995</v>
          </cell>
          <cell r="L51">
            <v>20.5</v>
          </cell>
          <cell r="AJ51" t="str">
            <v>2WFUPSOGB007G95NG4</v>
          </cell>
        </row>
        <row r="52">
          <cell r="K52">
            <v>0.69020000000000004</v>
          </cell>
          <cell r="L52">
            <v>20.3</v>
          </cell>
          <cell r="AJ52" t="str">
            <v>4FFLHW5MB07W5JK4LF</v>
          </cell>
        </row>
        <row r="53">
          <cell r="K53">
            <v>0.89657999999999993</v>
          </cell>
          <cell r="L53">
            <v>26.369999999999997</v>
          </cell>
          <cell r="AJ53" t="str">
            <v>4AY3K18CB07W6G822Y</v>
          </cell>
        </row>
        <row r="54">
          <cell r="K54">
            <v>0.49775999999999998</v>
          </cell>
          <cell r="L54">
            <v>14.64</v>
          </cell>
          <cell r="AJ54" t="str">
            <v>1S3VNUKAB003V4A5UW</v>
          </cell>
        </row>
        <row r="55">
          <cell r="K55">
            <v>7.15768</v>
          </cell>
          <cell r="L55">
            <v>210.51999999999998</v>
          </cell>
          <cell r="AJ55" t="str">
            <v>5DN5PI5YB00YUIM2J0</v>
          </cell>
        </row>
        <row r="56">
          <cell r="K56">
            <v>0.99552000000000007</v>
          </cell>
          <cell r="L56">
            <v>29.279999999999998</v>
          </cell>
          <cell r="AJ56" t="str">
            <v>5EPWKXSHB013SL2050</v>
          </cell>
        </row>
        <row r="57">
          <cell r="K57" t="e">
            <v>#DIV/0!</v>
          </cell>
          <cell r="L57" t="e">
            <v>#DIV/0!</v>
          </cell>
          <cell r="AJ57" t="str">
            <v>135JM91XB07W7KT2B3</v>
          </cell>
        </row>
        <row r="58">
          <cell r="K58">
            <v>0.69699999999999995</v>
          </cell>
          <cell r="L58">
            <v>20.5</v>
          </cell>
          <cell r="AJ58" t="str">
            <v>6VR89N1LB01C47ZFLK</v>
          </cell>
        </row>
        <row r="59">
          <cell r="K59">
            <v>3.2922199999999999</v>
          </cell>
          <cell r="L59">
            <v>96.83</v>
          </cell>
          <cell r="AJ59" t="str">
            <v>3S7Y1OIVB002VA464S</v>
          </cell>
        </row>
        <row r="60">
          <cell r="K60">
            <v>0.53788000000000002</v>
          </cell>
          <cell r="L60">
            <v>15.82</v>
          </cell>
          <cell r="AJ60" t="str">
            <v>8IC45Q9KB01DKTP3PY</v>
          </cell>
        </row>
        <row r="61">
          <cell r="K61">
            <v>1.5283</v>
          </cell>
          <cell r="L61">
            <v>44.95</v>
          </cell>
          <cell r="AJ61" t="str">
            <v>5HXMAQACB0711V7BV6</v>
          </cell>
        </row>
        <row r="62">
          <cell r="K62">
            <v>2.5639400000000001</v>
          </cell>
          <cell r="L62">
            <v>75.41</v>
          </cell>
          <cell r="AJ62" t="str">
            <v>8E4YHFGVB07W6HDNNV</v>
          </cell>
        </row>
        <row r="63">
          <cell r="K63">
            <v>2.6730800000000001</v>
          </cell>
          <cell r="L63">
            <v>78.62</v>
          </cell>
          <cell r="AJ63" t="str">
            <v>135JM91XB07W7KT2B3</v>
          </cell>
        </row>
        <row r="64">
          <cell r="K64">
            <v>7.86998</v>
          </cell>
          <cell r="L64">
            <v>231.47</v>
          </cell>
          <cell r="AJ64" t="str">
            <v>6ZGQP34KB004MY4PU6</v>
          </cell>
        </row>
        <row r="65">
          <cell r="K65">
            <v>5.0051399999999999</v>
          </cell>
          <cell r="L65">
            <v>147.21</v>
          </cell>
          <cell r="AJ65" t="str">
            <v>3O2Z95HBB07JGCM9QM</v>
          </cell>
        </row>
        <row r="66">
          <cell r="K66">
            <v>0.99551999999999996</v>
          </cell>
          <cell r="L66">
            <v>29.28</v>
          </cell>
          <cell r="AJ66" t="str">
            <v>6DPU2MKPB07W5JHXF8</v>
          </cell>
        </row>
        <row r="67">
          <cell r="K67">
            <v>0.89658000000000004</v>
          </cell>
          <cell r="L67">
            <v>26.37</v>
          </cell>
          <cell r="AJ67" t="str">
            <v>1O6JEKYWB0766JZ8Q3</v>
          </cell>
        </row>
        <row r="68">
          <cell r="K68">
            <v>5.0051399999999999</v>
          </cell>
          <cell r="L68">
            <v>147.21</v>
          </cell>
          <cell r="AJ68" t="str">
            <v>3O2Z95HBB07JGCM9QM</v>
          </cell>
        </row>
        <row r="69">
          <cell r="K69">
            <v>1.0761000000000001</v>
          </cell>
          <cell r="L69">
            <v>31.65</v>
          </cell>
          <cell r="AJ69" t="str">
            <v>3461KSJBB07W6J52LN</v>
          </cell>
        </row>
        <row r="70">
          <cell r="K70">
            <v>7.15768</v>
          </cell>
          <cell r="L70">
            <v>210.52</v>
          </cell>
          <cell r="AJ70" t="str">
            <v>3B2Q175VB00YUIM2J0</v>
          </cell>
        </row>
        <row r="71">
          <cell r="K71">
            <v>0.33829999999999999</v>
          </cell>
          <cell r="L71">
            <v>9.9499999999999993</v>
          </cell>
          <cell r="AJ71" t="str">
            <v>3UTU3G8KB003PAMIA2</v>
          </cell>
        </row>
        <row r="72">
          <cell r="K72">
            <v>2.5639400000000001</v>
          </cell>
          <cell r="L72">
            <v>75.41</v>
          </cell>
          <cell r="AJ72" t="str">
            <v>81V4YVNTB07W6FNF6N</v>
          </cell>
        </row>
        <row r="73">
          <cell r="K73">
            <v>0.99551999999999996</v>
          </cell>
          <cell r="L73">
            <v>29.28</v>
          </cell>
          <cell r="AJ73" t="str">
            <v>4AY3K18CB00EUUXBDE</v>
          </cell>
        </row>
        <row r="74">
          <cell r="K74">
            <v>0.99551999999999996</v>
          </cell>
          <cell r="L74">
            <v>29.28</v>
          </cell>
          <cell r="AJ74" t="str">
            <v>4AY3K18CB00EUUXBDE</v>
          </cell>
        </row>
        <row r="75">
          <cell r="K75">
            <v>0.37468000000000001</v>
          </cell>
          <cell r="L75">
            <v>11.02</v>
          </cell>
          <cell r="AJ75" t="str">
            <v>8IC45Q9KB07VWZHCNX</v>
          </cell>
        </row>
        <row r="76">
          <cell r="K76">
            <v>1.7938400000000001</v>
          </cell>
          <cell r="L76">
            <v>52.76</v>
          </cell>
          <cell r="AJ76" t="str">
            <v>6D1HFTMSB07S9DR8QG</v>
          </cell>
        </row>
        <row r="77">
          <cell r="K77">
            <v>0.49775999999999998</v>
          </cell>
          <cell r="L77">
            <v>14.64</v>
          </cell>
          <cell r="AJ77" t="str">
            <v>6ZGQP34KB01I252A34</v>
          </cell>
        </row>
        <row r="78">
          <cell r="K78">
            <v>0.27879999999999999</v>
          </cell>
          <cell r="L78">
            <v>8.1999999999999993</v>
          </cell>
          <cell r="AJ78" t="str">
            <v>3O2Z95HBB004LAWLPW</v>
          </cell>
        </row>
        <row r="79">
          <cell r="K79">
            <v>0.89657999999999993</v>
          </cell>
          <cell r="L79">
            <v>26.37</v>
          </cell>
          <cell r="AJ79" t="str">
            <v>3AWPOPBJB076NFYGFP</v>
          </cell>
        </row>
        <row r="80">
          <cell r="K80">
            <v>0.35870000000000002</v>
          </cell>
          <cell r="L80">
            <v>10.549999999999999</v>
          </cell>
          <cell r="AJ80" t="str">
            <v>3AWPOPBJB01DKTP3X6</v>
          </cell>
        </row>
        <row r="81">
          <cell r="K81">
            <v>0.17884</v>
          </cell>
          <cell r="L81">
            <v>5.2600000000000007</v>
          </cell>
          <cell r="AJ81" t="str">
            <v>7OH7IQXHB00AZKNPZC</v>
          </cell>
        </row>
        <row r="82">
          <cell r="K82" t="e">
            <v>#DIV/0!</v>
          </cell>
          <cell r="L82" t="e">
            <v>#DIV/0!</v>
          </cell>
          <cell r="AJ82" t="str">
            <v>59PBXDMUB07MTY7N22</v>
          </cell>
        </row>
        <row r="83">
          <cell r="K83">
            <v>1.5775999999999999</v>
          </cell>
          <cell r="L83">
            <v>46.4</v>
          </cell>
          <cell r="AJ83" t="str">
            <v>6D1HFTMSB07W4DGC27</v>
          </cell>
        </row>
        <row r="84">
          <cell r="K84">
            <v>1.5929</v>
          </cell>
          <cell r="L84">
            <v>46.85</v>
          </cell>
          <cell r="AJ84" t="str">
            <v>6ZGQP34KB00YR92VMA</v>
          </cell>
        </row>
        <row r="85">
          <cell r="K85">
            <v>0.89589999999999992</v>
          </cell>
          <cell r="L85">
            <v>26.35</v>
          </cell>
          <cell r="AJ85" t="str">
            <v>5HGHPU5OB07W7JR6BZ</v>
          </cell>
        </row>
        <row r="86">
          <cell r="K86">
            <v>1.5776000000000001</v>
          </cell>
          <cell r="L86">
            <v>46.4</v>
          </cell>
          <cell r="AJ86" t="str">
            <v>5HGHPU5OB07W5JKHFR</v>
          </cell>
        </row>
        <row r="87">
          <cell r="K87" t="e">
            <v>#DIV/0!</v>
          </cell>
          <cell r="L87" t="e">
            <v>#DIV/0!</v>
          </cell>
          <cell r="AJ87" t="str">
            <v>8E4YHFGVB07W6HDNNV</v>
          </cell>
        </row>
        <row r="88">
          <cell r="K88">
            <v>2.9865599999999999</v>
          </cell>
          <cell r="L88">
            <v>87.84</v>
          </cell>
          <cell r="AJ88" t="str">
            <v>6D1HFTMSB06XH2VSXM</v>
          </cell>
        </row>
        <row r="89">
          <cell r="K89">
            <v>1.0761000000000001</v>
          </cell>
          <cell r="L89">
            <v>31.65</v>
          </cell>
          <cell r="AJ89" t="str">
            <v>3AWPOPBJB07MTWHWZ1</v>
          </cell>
        </row>
        <row r="90">
          <cell r="K90" t="e">
            <v>#DIV/0!</v>
          </cell>
          <cell r="L90" t="e">
            <v>#DIV/0!</v>
          </cell>
          <cell r="AJ90" t="str">
            <v>135JM91XB07W4DGLJX</v>
          </cell>
        </row>
        <row r="91">
          <cell r="K91">
            <v>1.09514</v>
          </cell>
          <cell r="L91">
            <v>32.21</v>
          </cell>
          <cell r="AJ91" t="str">
            <v>5HGHPU5OB00MWNDUDM</v>
          </cell>
        </row>
        <row r="92">
          <cell r="K92" t="e">
            <v>#DIV/0!</v>
          </cell>
          <cell r="L92" t="e">
            <v>#DIV/0!</v>
          </cell>
          <cell r="AJ92" t="str">
            <v>81V4YVNTB01MV1GX63</v>
          </cell>
        </row>
        <row r="93">
          <cell r="K93">
            <v>2.5639400000000001</v>
          </cell>
          <cell r="L93">
            <v>75.41</v>
          </cell>
          <cell r="AJ93" t="str">
            <v>6D1HFTMSB07W5JK1JN</v>
          </cell>
        </row>
        <row r="94">
          <cell r="K94">
            <v>2.17022</v>
          </cell>
          <cell r="L94">
            <v>63.830000000000005</v>
          </cell>
          <cell r="AJ94" t="str">
            <v>11CZAECYB076K126YZ</v>
          </cell>
        </row>
        <row r="95">
          <cell r="K95">
            <v>0.79627999999999999</v>
          </cell>
          <cell r="L95">
            <v>23.419999999999998</v>
          </cell>
          <cell r="AJ95" t="str">
            <v>6DPU2MKPB004VPLVI0</v>
          </cell>
        </row>
        <row r="96">
          <cell r="K96">
            <v>1.19442</v>
          </cell>
          <cell r="L96">
            <v>35.130000000000003</v>
          </cell>
          <cell r="AJ96" t="str">
            <v>5HGHPU5OB07VFVRZ6Y</v>
          </cell>
        </row>
        <row r="97">
          <cell r="K97">
            <v>1.4732200000000002</v>
          </cell>
          <cell r="L97">
            <v>43.330000000000005</v>
          </cell>
          <cell r="AJ97" t="str">
            <v>5HGHPU5OB00C7INSWU</v>
          </cell>
        </row>
        <row r="98">
          <cell r="K98">
            <v>1.25562</v>
          </cell>
          <cell r="L98">
            <v>36.93</v>
          </cell>
          <cell r="AJ98" t="str">
            <v>5HGHPU5OB07SCMTKGB</v>
          </cell>
        </row>
        <row r="99">
          <cell r="K99" t="e">
            <v>#DIV/0!</v>
          </cell>
          <cell r="L99" t="e">
            <v>#DIV/0!</v>
          </cell>
          <cell r="AJ99" t="str">
            <v>6D1HFTMSB06XH2VSXM</v>
          </cell>
        </row>
        <row r="100">
          <cell r="K100">
            <v>2.9865599999999999</v>
          </cell>
          <cell r="L100">
            <v>87.84</v>
          </cell>
          <cell r="AJ100" t="str">
            <v>6D1HFTMSB06XH2VSXM</v>
          </cell>
        </row>
        <row r="101">
          <cell r="K101">
            <v>1.61432</v>
          </cell>
          <cell r="L101">
            <v>47.48</v>
          </cell>
          <cell r="AJ101" t="str">
            <v>54U7COBYB07GS6ZS8J</v>
          </cell>
        </row>
        <row r="102">
          <cell r="K102">
            <v>0.71740000000000004</v>
          </cell>
          <cell r="L102">
            <v>21.1</v>
          </cell>
          <cell r="AJ102" t="str">
            <v>5HGHPU5OB01DKTP30O</v>
          </cell>
        </row>
        <row r="103">
          <cell r="K103">
            <v>0.19889999999999999</v>
          </cell>
          <cell r="L103">
            <v>5.85</v>
          </cell>
          <cell r="AJ103" t="str">
            <v>5HGHPU5OB003AUZKYI</v>
          </cell>
        </row>
        <row r="104">
          <cell r="K104">
            <v>0.59704000000000002</v>
          </cell>
          <cell r="L104">
            <v>17.559999999999999</v>
          </cell>
          <cell r="AJ104" t="str">
            <v>5HGHPU5OB06W547XN2</v>
          </cell>
        </row>
        <row r="105">
          <cell r="K105" t="e">
            <v>#DIV/0!</v>
          </cell>
          <cell r="L105" t="e">
            <v>#DIV/0!</v>
          </cell>
          <cell r="AJ105" t="str">
            <v>8E4YHFGVB07W6HDNNV</v>
          </cell>
        </row>
        <row r="106">
          <cell r="K106">
            <v>2.8522600000000002</v>
          </cell>
          <cell r="L106">
            <v>83.89</v>
          </cell>
          <cell r="AJ106" t="str">
            <v>5HGHPU5OB07W7MKLNT</v>
          </cell>
        </row>
        <row r="107">
          <cell r="K107">
            <v>1.1944199999999998</v>
          </cell>
          <cell r="L107">
            <v>35.130000000000003</v>
          </cell>
          <cell r="AJ107" t="str">
            <v>6D1HFTMSB003LNXT7Y</v>
          </cell>
        </row>
        <row r="108">
          <cell r="K108">
            <v>1.4348000000000001</v>
          </cell>
          <cell r="L108">
            <v>42.2</v>
          </cell>
          <cell r="AJ108" t="str">
            <v>6ZGQP34KB01L6L45ES</v>
          </cell>
        </row>
        <row r="109">
          <cell r="K109">
            <v>0.33829999999999999</v>
          </cell>
          <cell r="L109">
            <v>9.9499999999999993</v>
          </cell>
          <cell r="AJ109" t="str">
            <v>3UTU3G8KB003V4A5VG</v>
          </cell>
        </row>
        <row r="110">
          <cell r="K110">
            <v>0.39813999999999999</v>
          </cell>
          <cell r="L110">
            <v>11.71</v>
          </cell>
          <cell r="AJ110" t="str">
            <v>3AWPOPBJB00ZOZZM4U</v>
          </cell>
        </row>
        <row r="111">
          <cell r="K111">
            <v>0.69700000000000006</v>
          </cell>
          <cell r="L111">
            <v>20.5</v>
          </cell>
          <cell r="AJ111" t="str">
            <v>3C9KY3UKB00EUUXFFS</v>
          </cell>
        </row>
        <row r="112">
          <cell r="K112">
            <v>0.33829999999999999</v>
          </cell>
          <cell r="L112">
            <v>9.9499999999999993</v>
          </cell>
          <cell r="AJ112" t="str">
            <v>1S3VNUKAB008M4RH1G</v>
          </cell>
        </row>
        <row r="113">
          <cell r="K113">
            <v>1.0761000000000001</v>
          </cell>
          <cell r="L113">
            <v>31.65</v>
          </cell>
          <cell r="AJ113" t="str">
            <v>3AWPOPBJB07MTWHWZ1</v>
          </cell>
        </row>
        <row r="114">
          <cell r="K114">
            <v>0.49775999999999998</v>
          </cell>
          <cell r="L114">
            <v>14.64</v>
          </cell>
          <cell r="AJ114" t="str">
            <v>6VR89N1LB004CM47VU</v>
          </cell>
        </row>
        <row r="115">
          <cell r="K115">
            <v>1.25562</v>
          </cell>
          <cell r="L115">
            <v>36.93</v>
          </cell>
          <cell r="AJ115" t="str">
            <v>34X9Y94JB07W6J6TG5</v>
          </cell>
        </row>
        <row r="116">
          <cell r="K116">
            <v>2.3667400000000001</v>
          </cell>
          <cell r="L116">
            <v>69.61</v>
          </cell>
          <cell r="AJ116" t="str">
            <v>5IZH76JAB0038NRMKW</v>
          </cell>
        </row>
        <row r="117">
          <cell r="K117">
            <v>2.6730800000000001</v>
          </cell>
          <cell r="L117">
            <v>78.62</v>
          </cell>
          <cell r="AJ117" t="str">
            <v>6D1HFTMSB07SF2F2LV</v>
          </cell>
        </row>
        <row r="118">
          <cell r="K118">
            <v>0.59704000000000002</v>
          </cell>
          <cell r="L118">
            <v>17.559999999999999</v>
          </cell>
          <cell r="AJ118" t="str">
            <v>5HGHPU5OB06W547XN2</v>
          </cell>
        </row>
        <row r="119">
          <cell r="K119">
            <v>2.5639400000000001</v>
          </cell>
          <cell r="L119">
            <v>75.41</v>
          </cell>
          <cell r="AJ119" t="str">
            <v>6ZGQP34KB01MT5WMMG</v>
          </cell>
        </row>
        <row r="120">
          <cell r="K120">
            <v>1.7748000000000002</v>
          </cell>
          <cell r="L120">
            <v>52.2</v>
          </cell>
          <cell r="AJ120" t="str">
            <v>6PWVSPBOB07W5JJR4H</v>
          </cell>
        </row>
        <row r="121">
          <cell r="K121">
            <v>0.39813999999999999</v>
          </cell>
          <cell r="L121">
            <v>11.709999999999999</v>
          </cell>
          <cell r="AJ121" t="str">
            <v>3AWPOPBJB00544XKK4</v>
          </cell>
        </row>
        <row r="122">
          <cell r="K122">
            <v>0.35870000000000002</v>
          </cell>
          <cell r="L122">
            <v>10.55</v>
          </cell>
          <cell r="AJ122" t="str">
            <v>8IC45Q9KB01DKTP3X6</v>
          </cell>
        </row>
        <row r="123">
          <cell r="K123">
            <v>2.8522599999999998</v>
          </cell>
          <cell r="L123">
            <v>83.89</v>
          </cell>
          <cell r="AJ123" t="str">
            <v>6DPU2MKPB07W5JJ1WM</v>
          </cell>
        </row>
        <row r="124">
          <cell r="K124">
            <v>0.19889999999999999</v>
          </cell>
          <cell r="L124">
            <v>5.85</v>
          </cell>
          <cell r="AJ124" t="str">
            <v>7M2QCA5KB07H3HGS9R</v>
          </cell>
        </row>
        <row r="125">
          <cell r="K125">
            <v>0.49775999999999998</v>
          </cell>
          <cell r="L125">
            <v>14.64</v>
          </cell>
          <cell r="AJ125" t="str">
            <v>11CZAECYB003V4A5UW</v>
          </cell>
        </row>
        <row r="126">
          <cell r="K126">
            <v>1.0761000000000001</v>
          </cell>
          <cell r="L126">
            <v>31.65</v>
          </cell>
          <cell r="AJ126" t="str">
            <v>6D1HFTMSB07W4DHMXL</v>
          </cell>
        </row>
        <row r="127">
          <cell r="K127">
            <v>0.99552000000000007</v>
          </cell>
          <cell r="L127">
            <v>29.28</v>
          </cell>
          <cell r="AJ127" t="str">
            <v>7PFJO9VPB00Y0G2L9I</v>
          </cell>
        </row>
        <row r="128">
          <cell r="K128">
            <v>0.49775999999999998</v>
          </cell>
          <cell r="L128">
            <v>14.64</v>
          </cell>
          <cell r="AJ128" t="str">
            <v>6D1HFTMSB004IO5BMQ</v>
          </cell>
        </row>
        <row r="129">
          <cell r="K129">
            <v>2.3140399999999999</v>
          </cell>
          <cell r="L129">
            <v>68.06</v>
          </cell>
          <cell r="AJ129" t="str">
            <v>6D1HFTMSB07G5XJLWK</v>
          </cell>
        </row>
        <row r="130">
          <cell r="K130">
            <v>1.25562</v>
          </cell>
          <cell r="L130">
            <v>36.93</v>
          </cell>
          <cell r="AJ130" t="str">
            <v>6D1HFTMSB00L8VNQ88</v>
          </cell>
        </row>
        <row r="131">
          <cell r="K131">
            <v>0.79627999999999999</v>
          </cell>
          <cell r="L131">
            <v>23.42</v>
          </cell>
          <cell r="AJ131" t="str">
            <v>5DN5PI5YB00BEFY1W8</v>
          </cell>
        </row>
        <row r="132">
          <cell r="K132">
            <v>1.4347999999999999</v>
          </cell>
          <cell r="L132">
            <v>42.199999999999996</v>
          </cell>
          <cell r="AJ132" t="str">
            <v>3S7Y1OIVB07MTXLFXV</v>
          </cell>
        </row>
        <row r="133">
          <cell r="K133">
            <v>2.3667400000000001</v>
          </cell>
          <cell r="L133">
            <v>69.61</v>
          </cell>
          <cell r="AJ133" t="str">
            <v>6ZGQP34KB0032W4158</v>
          </cell>
        </row>
        <row r="134">
          <cell r="K134">
            <v>0.49775999999999998</v>
          </cell>
          <cell r="L134">
            <v>14.64</v>
          </cell>
          <cell r="AJ134" t="str">
            <v>5HGHPU5OB01K7GEAF2</v>
          </cell>
        </row>
        <row r="135">
          <cell r="K135" t="e">
            <v>#DIV/0!</v>
          </cell>
          <cell r="L135" t="e">
            <v>#DIV/0!</v>
          </cell>
          <cell r="AJ135" t="str">
            <v>1QCXHA1RB07W6JG6Z7</v>
          </cell>
        </row>
        <row r="136">
          <cell r="K136">
            <v>0.69020000000000004</v>
          </cell>
          <cell r="L136">
            <v>20.3</v>
          </cell>
          <cell r="AJ136" t="str">
            <v>5IZH76JAB07W5JK4LF</v>
          </cell>
        </row>
        <row r="137">
          <cell r="K137">
            <v>2.5639399999999997</v>
          </cell>
          <cell r="L137">
            <v>75.41</v>
          </cell>
          <cell r="AJ137" t="str">
            <v>6DPU2MKPB07W5JJ1WH</v>
          </cell>
        </row>
        <row r="138">
          <cell r="K138">
            <v>0.62763999999999998</v>
          </cell>
          <cell r="L138">
            <v>18.46</v>
          </cell>
          <cell r="AJ138" t="str">
            <v>3AWPOPBJB00CJ5FP04</v>
          </cell>
        </row>
        <row r="139">
          <cell r="K139">
            <v>2.19028</v>
          </cell>
          <cell r="L139">
            <v>64.42</v>
          </cell>
          <cell r="AJ139" t="str">
            <v>2WFUPSOGB0055ZWOZ4</v>
          </cell>
        </row>
        <row r="140">
          <cell r="K140">
            <v>2.5639400000000001</v>
          </cell>
          <cell r="L140">
            <v>75.41</v>
          </cell>
          <cell r="AJ140" t="str">
            <v>1QCXHA1RB07W6JG6Z7</v>
          </cell>
        </row>
        <row r="141">
          <cell r="K141">
            <v>1.7938400000000001</v>
          </cell>
          <cell r="L141">
            <v>52.76</v>
          </cell>
          <cell r="AJ141" t="str">
            <v>3B2Q175VB071XW5FW8</v>
          </cell>
        </row>
        <row r="142">
          <cell r="K142">
            <v>0.99551999999999996</v>
          </cell>
          <cell r="L142">
            <v>29.28</v>
          </cell>
          <cell r="AJ142" t="str">
            <v>5HGHPU5OB07W5JHXF8</v>
          </cell>
        </row>
        <row r="143">
          <cell r="K143">
            <v>0.99551999999999996</v>
          </cell>
          <cell r="L143">
            <v>29.28</v>
          </cell>
          <cell r="AJ143" t="str">
            <v>81V4YVNTB00Y0G2L9I</v>
          </cell>
        </row>
        <row r="144">
          <cell r="K144">
            <v>0.17884</v>
          </cell>
          <cell r="L144">
            <v>5.26</v>
          </cell>
          <cell r="AJ144" t="str">
            <v>7PQWY35CB00AZKNPZC</v>
          </cell>
        </row>
        <row r="145">
          <cell r="K145">
            <v>0.89589999999999992</v>
          </cell>
          <cell r="L145">
            <v>26.35</v>
          </cell>
          <cell r="AJ145" t="str">
            <v>3S7Y1OIVB005BFCNYU</v>
          </cell>
        </row>
        <row r="146">
          <cell r="K146">
            <v>3.92496</v>
          </cell>
          <cell r="L146">
            <v>115.44000000000001</v>
          </cell>
          <cell r="AJ146" t="str">
            <v>2WFUPSOGB003UPJXIC</v>
          </cell>
        </row>
        <row r="147">
          <cell r="K147">
            <v>1.3610199999999999</v>
          </cell>
          <cell r="L147">
            <v>40.03</v>
          </cell>
          <cell r="AJ147" t="str">
            <v>6DPU2MKPB07W4DHXC8</v>
          </cell>
        </row>
        <row r="148">
          <cell r="K148">
            <v>0.69699999999999995</v>
          </cell>
          <cell r="L148">
            <v>20.5</v>
          </cell>
          <cell r="AJ148" t="str">
            <v>5IZH76JAB01C47ZFLK</v>
          </cell>
        </row>
        <row r="149">
          <cell r="K149">
            <v>2.5639400000000001</v>
          </cell>
          <cell r="L149">
            <v>75.410000000000011</v>
          </cell>
          <cell r="AJ149" t="str">
            <v>2WFUPSOGB01MT5WMMG</v>
          </cell>
        </row>
        <row r="150">
          <cell r="K150">
            <v>1.5775999999999999</v>
          </cell>
          <cell r="L150">
            <v>46.4</v>
          </cell>
          <cell r="AJ150" t="str">
            <v>6DPU2MKPB07W6JLFZ7</v>
          </cell>
        </row>
        <row r="151">
          <cell r="K151">
            <v>0.99551999999999996</v>
          </cell>
          <cell r="L151">
            <v>29.28</v>
          </cell>
          <cell r="AJ151" t="str">
            <v>6DPU2MKPB013SL2050</v>
          </cell>
        </row>
        <row r="152">
          <cell r="K152">
            <v>2.71082</v>
          </cell>
          <cell r="L152">
            <v>79.73</v>
          </cell>
          <cell r="AJ152" t="str">
            <v>54U7COBYB07G6DKDY8</v>
          </cell>
        </row>
        <row r="153">
          <cell r="K153">
            <v>1.7938400000000001</v>
          </cell>
          <cell r="L153">
            <v>52.76</v>
          </cell>
          <cell r="AJ153" t="str">
            <v>4FFLHW5MB06XQ3V8G7</v>
          </cell>
        </row>
        <row r="154">
          <cell r="K154">
            <v>0.99551999999999996</v>
          </cell>
          <cell r="L154">
            <v>29.28</v>
          </cell>
          <cell r="AJ154" t="str">
            <v>6D1HFTMSB07W5JK27G</v>
          </cell>
        </row>
        <row r="155">
          <cell r="K155">
            <v>0.99551999999999996</v>
          </cell>
          <cell r="L155">
            <v>29.28</v>
          </cell>
          <cell r="AJ155" t="str">
            <v>6D1HFTMSB00EUUX59O</v>
          </cell>
        </row>
        <row r="156">
          <cell r="K156">
            <v>3.2922199999999999</v>
          </cell>
          <cell r="L156">
            <v>96.83</v>
          </cell>
          <cell r="AJ156" t="str">
            <v>83YYT1WXB002VA464S</v>
          </cell>
        </row>
        <row r="157">
          <cell r="K157">
            <v>0.59704000000000002</v>
          </cell>
          <cell r="L157">
            <v>17.559999999999999</v>
          </cell>
          <cell r="AJ157" t="str">
            <v>6D1HFTMSB06W547XN2</v>
          </cell>
        </row>
        <row r="158">
          <cell r="K158">
            <v>4.46692</v>
          </cell>
          <cell r="L158">
            <v>131.38</v>
          </cell>
          <cell r="AJ158" t="str">
            <v>6ZGQP34KB07VTTBDSV</v>
          </cell>
        </row>
        <row r="159">
          <cell r="K159">
            <v>0.99551999999999996</v>
          </cell>
          <cell r="L159">
            <v>29.28</v>
          </cell>
          <cell r="AJ159" t="str">
            <v>5HGHPU5OB003STDR1E</v>
          </cell>
        </row>
        <row r="160">
          <cell r="K160">
            <v>2.5884200000000002</v>
          </cell>
          <cell r="L160">
            <v>76.13</v>
          </cell>
          <cell r="AJ160" t="str">
            <v>3ED4D7ZNB0100055LI</v>
          </cell>
        </row>
        <row r="161">
          <cell r="K161" t="e">
            <v>#DIV/0!</v>
          </cell>
          <cell r="L161" t="e">
            <v>#DIV/0!</v>
          </cell>
          <cell r="AJ161" t="str">
            <v>6NU6YJHWB01A9GXEOI</v>
          </cell>
        </row>
        <row r="162">
          <cell r="K162">
            <v>1.7938400000000001</v>
          </cell>
          <cell r="L162">
            <v>52.76</v>
          </cell>
          <cell r="AJ162" t="str">
            <v>4FFLHW5MB06XPXRN4K</v>
          </cell>
        </row>
        <row r="163">
          <cell r="K163">
            <v>0.69699999999999995</v>
          </cell>
          <cell r="L163">
            <v>20.5</v>
          </cell>
          <cell r="AJ163" t="str">
            <v>5HGHPU5OB008S1IOCY</v>
          </cell>
        </row>
        <row r="164">
          <cell r="K164">
            <v>1.7938400000000001</v>
          </cell>
          <cell r="L164">
            <v>52.76</v>
          </cell>
          <cell r="AJ164" t="str">
            <v>6D1HFTMSB07TQ6G276</v>
          </cell>
        </row>
        <row r="165">
          <cell r="K165">
            <v>0.17884</v>
          </cell>
          <cell r="L165">
            <v>5.26</v>
          </cell>
          <cell r="AJ165" t="str">
            <v>5JTB5LYOB00AZKNPZC</v>
          </cell>
        </row>
        <row r="166">
          <cell r="K166">
            <v>2.8522599999999998</v>
          </cell>
          <cell r="L166">
            <v>83.89</v>
          </cell>
          <cell r="AJ166" t="str">
            <v>1S3VNUKAB01MCXJWD1</v>
          </cell>
        </row>
        <row r="167">
          <cell r="K167">
            <v>0.79627999999999999</v>
          </cell>
          <cell r="L167">
            <v>23.419999999999998</v>
          </cell>
          <cell r="AJ167" t="str">
            <v>4AY3K18CB004VPLVI0</v>
          </cell>
        </row>
        <row r="168">
          <cell r="K168">
            <v>0.27879999999999999</v>
          </cell>
          <cell r="L168">
            <v>8.1999999999999993</v>
          </cell>
          <cell r="AJ168" t="str">
            <v>5DN5PI5YB00BT8QIJ4</v>
          </cell>
        </row>
        <row r="169">
          <cell r="K169" t="e">
            <v>#DIV/0!</v>
          </cell>
          <cell r="L169" t="e">
            <v>#DIV/0!</v>
          </cell>
          <cell r="AJ169" t="str">
            <v>2BH1M1WRB010EPT2X6</v>
          </cell>
        </row>
        <row r="170">
          <cell r="K170">
            <v>3.9249600000000004</v>
          </cell>
          <cell r="L170">
            <v>115.44</v>
          </cell>
          <cell r="AJ170" t="str">
            <v>6ZGQP34KB003UPJXIC</v>
          </cell>
        </row>
        <row r="171">
          <cell r="K171">
            <v>0.49775999999999998</v>
          </cell>
          <cell r="L171">
            <v>14.64</v>
          </cell>
          <cell r="AJ171" t="str">
            <v>5DN5PI5YB007C0YQLA</v>
          </cell>
        </row>
        <row r="172">
          <cell r="K172">
            <v>1.4348000000000001</v>
          </cell>
          <cell r="L172">
            <v>42.2</v>
          </cell>
          <cell r="AJ172" t="str">
            <v>4FFLHW5MB07W6GVS5C</v>
          </cell>
        </row>
        <row r="173">
          <cell r="K173">
            <v>0.69699999999999995</v>
          </cell>
          <cell r="L173">
            <v>20.5</v>
          </cell>
          <cell r="AJ173" t="str">
            <v>5HGHPU5OB00MWR5IVA</v>
          </cell>
        </row>
        <row r="174">
          <cell r="K174">
            <v>0.29852000000000001</v>
          </cell>
          <cell r="L174">
            <v>8.7799999999999994</v>
          </cell>
          <cell r="AJ174" t="str">
            <v>6D1HFTMSB07W7MY2K8</v>
          </cell>
        </row>
        <row r="175">
          <cell r="K175">
            <v>0.69020000000000004</v>
          </cell>
          <cell r="L175">
            <v>20.299999999999997</v>
          </cell>
          <cell r="AJ175" t="str">
            <v>5EPWKXSHB07W7KJC28</v>
          </cell>
        </row>
        <row r="176">
          <cell r="K176">
            <v>0.99551999999999996</v>
          </cell>
          <cell r="L176">
            <v>29.28</v>
          </cell>
          <cell r="AJ176" t="str">
            <v>6DPU2MKPB07W7L3DSX</v>
          </cell>
        </row>
        <row r="177">
          <cell r="K177">
            <v>0.33829999999999999</v>
          </cell>
          <cell r="L177">
            <v>9.9499999999999993</v>
          </cell>
          <cell r="AJ177" t="str">
            <v>4FFLHW5MB003V4A5VG</v>
          </cell>
        </row>
        <row r="178">
          <cell r="K178">
            <v>0.59704000000000002</v>
          </cell>
          <cell r="L178">
            <v>17.559999999999999</v>
          </cell>
          <cell r="AJ178" t="str">
            <v>81V4YVNTB002L3TSLQ</v>
          </cell>
        </row>
        <row r="179">
          <cell r="K179" t="e">
            <v>#DIV/0!</v>
          </cell>
          <cell r="L179" t="e">
            <v>#DIV/0!</v>
          </cell>
          <cell r="AJ179" t="str">
            <v>18TAMU9GB01I252A34</v>
          </cell>
        </row>
        <row r="180">
          <cell r="K180">
            <v>0.29852000000000001</v>
          </cell>
          <cell r="L180">
            <v>8.7799999999999994</v>
          </cell>
          <cell r="AJ180" t="str">
            <v>6D1HFTMSB07W7MY2K8</v>
          </cell>
        </row>
        <row r="181">
          <cell r="K181">
            <v>0.29852000000000001</v>
          </cell>
          <cell r="L181">
            <v>8.7799999999999994</v>
          </cell>
          <cell r="AJ181" t="str">
            <v>5HGHPU5OB07GDYYN38</v>
          </cell>
        </row>
        <row r="182">
          <cell r="K182">
            <v>2.5884200000000002</v>
          </cell>
          <cell r="L182">
            <v>76.13</v>
          </cell>
          <cell r="AJ182" t="str">
            <v>89J1FZUEB0100055LI</v>
          </cell>
        </row>
        <row r="183">
          <cell r="K183">
            <v>0.49775999999999998</v>
          </cell>
          <cell r="L183">
            <v>14.64</v>
          </cell>
          <cell r="AJ183" t="str">
            <v>6GSPTXJAB00564NLFG</v>
          </cell>
        </row>
        <row r="184">
          <cell r="K184" t="e">
            <v>#DIV/0!</v>
          </cell>
          <cell r="L184" t="e">
            <v>#DIV/0!</v>
          </cell>
          <cell r="AJ184" t="str">
            <v>6DPU2MKPB07W7LNTM5</v>
          </cell>
        </row>
        <row r="185">
          <cell r="K185">
            <v>1.4348000000000001</v>
          </cell>
          <cell r="L185">
            <v>42.2</v>
          </cell>
          <cell r="AJ185" t="str">
            <v>6DPU2MKPB07W7LNTM5</v>
          </cell>
        </row>
        <row r="186">
          <cell r="K186">
            <v>3.05728</v>
          </cell>
          <cell r="L186">
            <v>89.92</v>
          </cell>
          <cell r="AJ186" t="str">
            <v>11CZAECYB078MLBGRM</v>
          </cell>
        </row>
        <row r="187">
          <cell r="K187" t="e">
            <v>#DIV/0!</v>
          </cell>
          <cell r="L187" t="e">
            <v>#DIV/0!</v>
          </cell>
          <cell r="AJ187" t="str">
            <v>3E6XIIZZB07W4DGVQF</v>
          </cell>
        </row>
        <row r="188">
          <cell r="K188">
            <v>0.27879999999999999</v>
          </cell>
          <cell r="L188">
            <v>8.1999999999999993</v>
          </cell>
          <cell r="AJ188" t="str">
            <v>6ZGQP34KB0056C69DO</v>
          </cell>
        </row>
        <row r="189">
          <cell r="K189">
            <v>0.49775999999999998</v>
          </cell>
          <cell r="L189">
            <v>14.64</v>
          </cell>
          <cell r="AJ189" t="str">
            <v>5DN5PI5YB004CM47VU</v>
          </cell>
        </row>
        <row r="190">
          <cell r="K190">
            <v>1.4348000000000001</v>
          </cell>
          <cell r="L190">
            <v>42.199999999999996</v>
          </cell>
          <cell r="AJ190" t="str">
            <v>6ZGQP34KB07W6GVS5C</v>
          </cell>
        </row>
        <row r="191">
          <cell r="K191">
            <v>0.89658000000000004</v>
          </cell>
          <cell r="L191">
            <v>26.37</v>
          </cell>
          <cell r="AJ191" t="str">
            <v>3AWPOPBJB07W6HK7ZC</v>
          </cell>
        </row>
        <row r="192">
          <cell r="K192">
            <v>0.89589999999999992</v>
          </cell>
          <cell r="L192">
            <v>26.35</v>
          </cell>
          <cell r="AJ192" t="str">
            <v>6D1HFTMSB07W7JR6BZ</v>
          </cell>
        </row>
        <row r="193">
          <cell r="K193">
            <v>3.94468</v>
          </cell>
          <cell r="L193">
            <v>116.02</v>
          </cell>
          <cell r="AJ193" t="str">
            <v>81V4YVNTB07W6JKKBV</v>
          </cell>
        </row>
        <row r="194">
          <cell r="K194">
            <v>0.33829999999999999</v>
          </cell>
          <cell r="L194">
            <v>9.9499999999999993</v>
          </cell>
          <cell r="AJ194" t="str">
            <v>6ZGQP34KB003V4A5VG</v>
          </cell>
        </row>
        <row r="195">
          <cell r="K195">
            <v>0.59704000000000002</v>
          </cell>
          <cell r="L195">
            <v>17.559999999999999</v>
          </cell>
          <cell r="AJ195" t="str">
            <v>57D297ZKB01ENKI4D2</v>
          </cell>
        </row>
        <row r="196">
          <cell r="K196">
            <v>0.33829999999999999</v>
          </cell>
          <cell r="L196">
            <v>9.9499999999999993</v>
          </cell>
          <cell r="AJ196" t="str">
            <v>5IZH76JAB003PAMIA2</v>
          </cell>
        </row>
        <row r="197">
          <cell r="K197">
            <v>1.7938400000000001</v>
          </cell>
          <cell r="L197">
            <v>52.760000000000005</v>
          </cell>
          <cell r="AJ197" t="str">
            <v>6D1HFTMSB07W6JKL78</v>
          </cell>
        </row>
        <row r="198">
          <cell r="K198">
            <v>2.3667400000000001</v>
          </cell>
          <cell r="L198">
            <v>69.61</v>
          </cell>
          <cell r="AJ198" t="str">
            <v>3AWPOPBJB07FNHV4MW</v>
          </cell>
        </row>
        <row r="199">
          <cell r="K199">
            <v>2.6730800000000001</v>
          </cell>
          <cell r="L199">
            <v>78.62</v>
          </cell>
          <cell r="AJ199" t="str">
            <v>5HGHPU5OB07QKC4WWD</v>
          </cell>
        </row>
        <row r="200">
          <cell r="K200">
            <v>7.15768</v>
          </cell>
          <cell r="L200">
            <v>210.52</v>
          </cell>
          <cell r="AJ200" t="str">
            <v>2WFUPSOGB00YUIM2J0</v>
          </cell>
        </row>
        <row r="201">
          <cell r="K201">
            <v>1.0761000000000001</v>
          </cell>
          <cell r="L201">
            <v>31.65</v>
          </cell>
          <cell r="AJ201" t="str">
            <v>5HGHPU5OB07W6J52LN</v>
          </cell>
        </row>
        <row r="202">
          <cell r="K202">
            <v>1.4348000000000001</v>
          </cell>
          <cell r="L202">
            <v>42.2</v>
          </cell>
          <cell r="AJ202" t="str">
            <v>5DN5PI5YB01L6L45ES</v>
          </cell>
        </row>
        <row r="203">
          <cell r="K203">
            <v>5.0051400000000008</v>
          </cell>
          <cell r="L203">
            <v>147.21</v>
          </cell>
          <cell r="AJ203" t="str">
            <v>1IPN3LSPB07JGCM9QM</v>
          </cell>
        </row>
        <row r="204">
          <cell r="K204">
            <v>3.94468</v>
          </cell>
          <cell r="L204">
            <v>116.02</v>
          </cell>
          <cell r="AJ204" t="str">
            <v>3S7Y1OIVB07W7M4MZP</v>
          </cell>
        </row>
        <row r="205">
          <cell r="K205">
            <v>0.69699999999999995</v>
          </cell>
          <cell r="L205">
            <v>20.5</v>
          </cell>
          <cell r="AJ205" t="str">
            <v>3B2Q175VB01C47ZFLK</v>
          </cell>
        </row>
        <row r="206">
          <cell r="K206">
            <v>2.8522599999999998</v>
          </cell>
          <cell r="L206">
            <v>83.89</v>
          </cell>
          <cell r="AJ206" t="str">
            <v>5HGHPU5OB07W5JJ1WM</v>
          </cell>
        </row>
        <row r="207">
          <cell r="K207">
            <v>0.89657999999999993</v>
          </cell>
          <cell r="L207">
            <v>26.369999999999997</v>
          </cell>
          <cell r="AJ207" t="str">
            <v>5UESXM5PB07W6G822Y</v>
          </cell>
        </row>
        <row r="208">
          <cell r="K208">
            <v>1.4347999999999999</v>
          </cell>
          <cell r="L208">
            <v>42.2</v>
          </cell>
          <cell r="AJ208" t="str">
            <v>5EPWKXSHB07W6GVS5C</v>
          </cell>
        </row>
        <row r="209">
          <cell r="K209">
            <v>2.3140399999999999</v>
          </cell>
          <cell r="L209">
            <v>68.06</v>
          </cell>
          <cell r="AJ209" t="str">
            <v>5HGHPU5OB07W7MQMDF</v>
          </cell>
        </row>
        <row r="210">
          <cell r="K210">
            <v>0.27879999999999999</v>
          </cell>
          <cell r="L210">
            <v>8.1999999999999993</v>
          </cell>
          <cell r="AJ210" t="str">
            <v>11CZAECYB004LAWLPW</v>
          </cell>
        </row>
        <row r="211">
          <cell r="K211">
            <v>0.19889999999999999</v>
          </cell>
          <cell r="L211">
            <v>5.85</v>
          </cell>
          <cell r="AJ211" t="str">
            <v>8JVTHC2JB07H3HGS9R</v>
          </cell>
        </row>
        <row r="212">
          <cell r="K212">
            <v>1.0761000000000001</v>
          </cell>
          <cell r="L212">
            <v>31.65</v>
          </cell>
          <cell r="AJ212" t="str">
            <v>5HGHPU5OB07W6J52LN</v>
          </cell>
        </row>
        <row r="213">
          <cell r="K213">
            <v>0.69019999999999992</v>
          </cell>
          <cell r="L213">
            <v>20.3</v>
          </cell>
          <cell r="AJ213" t="str">
            <v>6ZGQP34KB07W7KJC28</v>
          </cell>
        </row>
        <row r="214">
          <cell r="K214">
            <v>7.15768</v>
          </cell>
          <cell r="L214">
            <v>210.52</v>
          </cell>
          <cell r="AJ214" t="str">
            <v>2NXVQ1IGB00YUIM2J0</v>
          </cell>
        </row>
        <row r="215">
          <cell r="K215">
            <v>2.3140399999999999</v>
          </cell>
          <cell r="L215">
            <v>68.06</v>
          </cell>
          <cell r="AJ215" t="str">
            <v>6DPU2MKPB07G5XJLWK</v>
          </cell>
        </row>
        <row r="216">
          <cell r="K216">
            <v>1.5864399999999999</v>
          </cell>
          <cell r="L216">
            <v>46.66</v>
          </cell>
          <cell r="AJ216" t="str">
            <v>3S7Y1OIVB00C3VSZEW</v>
          </cell>
        </row>
        <row r="217">
          <cell r="K217">
            <v>0.33829999999999999</v>
          </cell>
          <cell r="L217">
            <v>9.9499999999999993</v>
          </cell>
          <cell r="AJ217" t="str">
            <v>2WFUPSOGB004APAH40</v>
          </cell>
        </row>
        <row r="218">
          <cell r="K218">
            <v>1.0761000000000001</v>
          </cell>
          <cell r="L218">
            <v>31.650000000000002</v>
          </cell>
          <cell r="AJ218" t="str">
            <v>6D1HFTMSB07W6J52LN</v>
          </cell>
        </row>
        <row r="219">
          <cell r="K219">
            <v>0.49776000000000004</v>
          </cell>
          <cell r="L219">
            <v>14.639999999999999</v>
          </cell>
          <cell r="AJ219" t="str">
            <v>5IZH76JAB077BT728N</v>
          </cell>
        </row>
        <row r="220">
          <cell r="K220">
            <v>2.3140399999999999</v>
          </cell>
          <cell r="L220">
            <v>68.06</v>
          </cell>
          <cell r="AJ220" t="str">
            <v>3WIANGOBB073399S1L</v>
          </cell>
        </row>
        <row r="221">
          <cell r="K221">
            <v>0.49776000000000004</v>
          </cell>
          <cell r="L221">
            <v>14.64</v>
          </cell>
          <cell r="AJ221" t="str">
            <v>5IZH76JAB077BT728N</v>
          </cell>
        </row>
        <row r="222">
          <cell r="K222">
            <v>0.99551999999999996</v>
          </cell>
          <cell r="L222">
            <v>29.28</v>
          </cell>
          <cell r="AJ222" t="str">
            <v>6DPU2MKPB07W5JK27G</v>
          </cell>
        </row>
        <row r="223">
          <cell r="K223">
            <v>1.972</v>
          </cell>
          <cell r="L223">
            <v>58</v>
          </cell>
          <cell r="AJ223" t="str">
            <v>8TP6LKKAB07W5JHLCB</v>
          </cell>
        </row>
        <row r="224">
          <cell r="K224">
            <v>0.35870000000000002</v>
          </cell>
          <cell r="L224">
            <v>10.549999999999999</v>
          </cell>
          <cell r="AJ224" t="str">
            <v>5GJU9A7GB01DKTP3X6</v>
          </cell>
        </row>
        <row r="225">
          <cell r="K225">
            <v>0.49776000000000004</v>
          </cell>
          <cell r="L225">
            <v>14.639999999999999</v>
          </cell>
          <cell r="AJ225" t="str">
            <v>5EPWKXSHB004CM47VU</v>
          </cell>
        </row>
        <row r="226">
          <cell r="K226">
            <v>0.49775999999999998</v>
          </cell>
          <cell r="L226">
            <v>14.64</v>
          </cell>
          <cell r="AJ226" t="str">
            <v>4FFLHW5MB00EJ3RN7C</v>
          </cell>
        </row>
        <row r="227">
          <cell r="K227">
            <v>0.19889999999999999</v>
          </cell>
          <cell r="L227">
            <v>5.85</v>
          </cell>
          <cell r="AJ227" t="str">
            <v>5TC236HGB07H3HGS9R</v>
          </cell>
        </row>
        <row r="228">
          <cell r="K228" t="e">
            <v>#DIV/0!</v>
          </cell>
          <cell r="L228" t="e">
            <v>#DIV/0!</v>
          </cell>
          <cell r="AJ228" t="str">
            <v>3AWPOPBJB07GS6ZB7T</v>
          </cell>
        </row>
        <row r="229">
          <cell r="K229" t="e">
            <v>#DIV/0!</v>
          </cell>
          <cell r="L229" t="e">
            <v>#DIV/0!</v>
          </cell>
          <cell r="AJ229" t="str">
            <v>5TC236HGB07H3HGS9R</v>
          </cell>
        </row>
        <row r="230">
          <cell r="K230">
            <v>0.49775999999999998</v>
          </cell>
          <cell r="L230">
            <v>14.64</v>
          </cell>
          <cell r="AJ230" t="str">
            <v>5IZH76JAB00EJ3RMDM</v>
          </cell>
        </row>
        <row r="231">
          <cell r="K231" t="e">
            <v>#DIV/0!</v>
          </cell>
          <cell r="L231" t="e">
            <v>#DIV/0!</v>
          </cell>
          <cell r="AJ231" t="str">
            <v>6NU6YJHWB07W4DGVQF</v>
          </cell>
        </row>
        <row r="232">
          <cell r="K232">
            <v>0.33829999999999999</v>
          </cell>
          <cell r="L232">
            <v>9.9499999999999993</v>
          </cell>
          <cell r="AJ232" t="str">
            <v>5HGHPU5OB0056I3IDW</v>
          </cell>
        </row>
        <row r="233">
          <cell r="K233">
            <v>1.61432</v>
          </cell>
          <cell r="L233">
            <v>47.48</v>
          </cell>
          <cell r="AJ233" t="str">
            <v>3AWPOPBJB07GS6ZB7T</v>
          </cell>
        </row>
        <row r="234">
          <cell r="K234">
            <v>2.6730800000000001</v>
          </cell>
          <cell r="L234">
            <v>78.62</v>
          </cell>
          <cell r="AJ234" t="str">
            <v>5IZH76JAB074C9LZVX</v>
          </cell>
        </row>
        <row r="235">
          <cell r="K235">
            <v>0.29852000000000001</v>
          </cell>
          <cell r="L235">
            <v>8.7799999999999994</v>
          </cell>
          <cell r="AJ235" t="str">
            <v>6D1HFTMSB07GDYYN38</v>
          </cell>
        </row>
        <row r="236">
          <cell r="K236" t="e">
            <v>#DIV/0!</v>
          </cell>
          <cell r="L236" t="e">
            <v>#DIV/0!</v>
          </cell>
          <cell r="AJ236" t="str">
            <v>5IZH76JAB07W5JK4LF</v>
          </cell>
        </row>
        <row r="237">
          <cell r="K237">
            <v>7.15768</v>
          </cell>
          <cell r="L237">
            <v>210.52</v>
          </cell>
          <cell r="AJ237" t="str">
            <v>6ZGQP34KB011N78DMA</v>
          </cell>
        </row>
        <row r="238">
          <cell r="K238">
            <v>0.79627999999999999</v>
          </cell>
          <cell r="L238">
            <v>23.42</v>
          </cell>
          <cell r="AJ238" t="str">
            <v>6ZGQP34KB00BEFY1W8</v>
          </cell>
        </row>
        <row r="239">
          <cell r="K239">
            <v>0.79627999999999999</v>
          </cell>
          <cell r="L239">
            <v>23.419999999999998</v>
          </cell>
          <cell r="AJ239" t="str">
            <v>5KSSWWOJB00BCE30RS</v>
          </cell>
        </row>
        <row r="240">
          <cell r="K240">
            <v>2.5884199999999997</v>
          </cell>
          <cell r="L240">
            <v>76.13</v>
          </cell>
          <cell r="AJ240" t="str">
            <v>135JM91XB0100055LI</v>
          </cell>
        </row>
        <row r="241">
          <cell r="K241">
            <v>1.0760999999999998</v>
          </cell>
          <cell r="L241">
            <v>31.65</v>
          </cell>
          <cell r="AJ241" t="str">
            <v>3S7Y1OIVB00CJ5FPTA</v>
          </cell>
        </row>
        <row r="242">
          <cell r="K242">
            <v>0.69020000000000004</v>
          </cell>
          <cell r="L242">
            <v>20.3</v>
          </cell>
          <cell r="AJ242" t="str">
            <v>3B2Q175VB07W5JK4LF</v>
          </cell>
        </row>
        <row r="243">
          <cell r="K243">
            <v>2.5639400000000001</v>
          </cell>
          <cell r="L243">
            <v>75.41</v>
          </cell>
          <cell r="AJ243" t="str">
            <v>3B2Q175VB01N6NGNQ8</v>
          </cell>
        </row>
        <row r="244">
          <cell r="K244">
            <v>0.79627999999999999</v>
          </cell>
          <cell r="L244">
            <v>23.42</v>
          </cell>
          <cell r="AJ244" t="str">
            <v>4FFLHW5MB00BF5QDZU</v>
          </cell>
        </row>
        <row r="245">
          <cell r="K245">
            <v>0.29852000000000001</v>
          </cell>
          <cell r="L245">
            <v>8.7799999999999994</v>
          </cell>
          <cell r="AJ245" t="str">
            <v>5WP5GFZIB07W5JK4VQ</v>
          </cell>
        </row>
        <row r="246">
          <cell r="K246">
            <v>0.33829999999999999</v>
          </cell>
          <cell r="L246">
            <v>9.9499999999999993</v>
          </cell>
          <cell r="AJ246" t="str">
            <v>5HGHPU5OB0056I3IDW</v>
          </cell>
        </row>
        <row r="247">
          <cell r="K247">
            <v>0.79627999999999999</v>
          </cell>
          <cell r="L247">
            <v>23.42</v>
          </cell>
          <cell r="AJ247" t="str">
            <v>6DPU2MKPB07W6J829F</v>
          </cell>
        </row>
        <row r="248">
          <cell r="K248">
            <v>2.5639400000000001</v>
          </cell>
          <cell r="L248">
            <v>75.41</v>
          </cell>
          <cell r="AJ248" t="str">
            <v>3S7Y1OIVB07W6JG6Z7</v>
          </cell>
        </row>
        <row r="249">
          <cell r="K249">
            <v>0.79627999999999999</v>
          </cell>
          <cell r="L249">
            <v>23.419999999999998</v>
          </cell>
          <cell r="AJ249" t="str">
            <v>6DPU2MKPB07W6J829F</v>
          </cell>
        </row>
        <row r="250">
          <cell r="K250">
            <v>4.9881399999999996</v>
          </cell>
          <cell r="L250">
            <v>146.71</v>
          </cell>
          <cell r="AJ250" t="str">
            <v>6D1HFTMSB07W4DJDCS</v>
          </cell>
        </row>
        <row r="251">
          <cell r="K251">
            <v>0.79627999999999999</v>
          </cell>
          <cell r="L251">
            <v>23.42</v>
          </cell>
          <cell r="AJ251" t="str">
            <v>6D1HFTMSB01K7GEAFC</v>
          </cell>
        </row>
        <row r="252">
          <cell r="K252">
            <v>3.62066</v>
          </cell>
          <cell r="L252">
            <v>106.49</v>
          </cell>
          <cell r="AJ252" t="str">
            <v>4AY3K18CB07G6DL332</v>
          </cell>
        </row>
        <row r="253">
          <cell r="K253">
            <v>1.4348000000000001</v>
          </cell>
          <cell r="L253">
            <v>42.199999999999996</v>
          </cell>
          <cell r="AJ253" t="str">
            <v>4FFLHW5MB01L6L45ES</v>
          </cell>
        </row>
        <row r="254">
          <cell r="K254">
            <v>0.59704000000000002</v>
          </cell>
          <cell r="L254">
            <v>17.559999999999999</v>
          </cell>
          <cell r="AJ254" t="str">
            <v>5EPWKXSHB01ENKI4D2</v>
          </cell>
        </row>
        <row r="255">
          <cell r="K255">
            <v>0.79627999999999999</v>
          </cell>
          <cell r="L255">
            <v>23.419999999999998</v>
          </cell>
          <cell r="AJ255" t="str">
            <v>6D1HFTMSB01K7GEAFC</v>
          </cell>
        </row>
        <row r="256">
          <cell r="K256">
            <v>1.5864400000000001</v>
          </cell>
          <cell r="L256">
            <v>46.66</v>
          </cell>
          <cell r="AJ256" t="str">
            <v>1QCXHA1RB00C3VSZEW</v>
          </cell>
        </row>
        <row r="257">
          <cell r="K257">
            <v>0.49776000000000004</v>
          </cell>
          <cell r="L257">
            <v>14.639999999999999</v>
          </cell>
          <cell r="AJ257" t="str">
            <v>4FFLHW5MB01I252A34</v>
          </cell>
        </row>
        <row r="258">
          <cell r="K258" t="e">
            <v>#DIV/0!</v>
          </cell>
          <cell r="L258" t="e">
            <v>#DIV/0!</v>
          </cell>
          <cell r="AJ258" t="str">
            <v>51XCCHHLB01N5NYRES</v>
          </cell>
        </row>
        <row r="259">
          <cell r="K259">
            <v>0.70516000000000001</v>
          </cell>
          <cell r="L259">
            <v>20.74</v>
          </cell>
          <cell r="AJ259" t="str">
            <v>3S7Y1OIVB07J9Q68CK</v>
          </cell>
        </row>
        <row r="260">
          <cell r="K260">
            <v>0.99551999999999996</v>
          </cell>
          <cell r="L260">
            <v>29.28</v>
          </cell>
          <cell r="AJ260" t="str">
            <v>6D1HFTMSB07W5JHXF8</v>
          </cell>
        </row>
        <row r="261">
          <cell r="K261">
            <v>2.8522599999999998</v>
          </cell>
          <cell r="L261">
            <v>83.89</v>
          </cell>
          <cell r="AJ261" t="str">
            <v>11CZAECYB01MCXJWD1</v>
          </cell>
        </row>
        <row r="262">
          <cell r="K262">
            <v>1.25562</v>
          </cell>
          <cell r="L262">
            <v>36.93</v>
          </cell>
          <cell r="AJ262" t="str">
            <v>3AWPOPBJB07W6JNK1Z</v>
          </cell>
        </row>
        <row r="263">
          <cell r="K263">
            <v>0.69699999999999995</v>
          </cell>
          <cell r="L263">
            <v>20.5</v>
          </cell>
          <cell r="AJ263" t="str">
            <v>5EPWKXSHB01C47ZFLK</v>
          </cell>
        </row>
        <row r="264">
          <cell r="K264">
            <v>2.3140399999999999</v>
          </cell>
          <cell r="L264">
            <v>68.06</v>
          </cell>
          <cell r="AJ264" t="str">
            <v>3B2Q175VB07W6JNQ82</v>
          </cell>
        </row>
        <row r="265">
          <cell r="K265">
            <v>3.62066</v>
          </cell>
          <cell r="L265">
            <v>106.49</v>
          </cell>
          <cell r="AJ265" t="str">
            <v>81V4YVNTB07G6LZVWH</v>
          </cell>
        </row>
        <row r="266">
          <cell r="K266">
            <v>3.62066</v>
          </cell>
          <cell r="L266">
            <v>106.49000000000001</v>
          </cell>
          <cell r="AJ266" t="str">
            <v>6DPU2MKPB07G6MYMKD</v>
          </cell>
        </row>
        <row r="267">
          <cell r="K267">
            <v>2.5639400000000001</v>
          </cell>
          <cell r="L267">
            <v>75.41</v>
          </cell>
          <cell r="AJ267" t="str">
            <v>8JRL112ZB07W6HDNNV</v>
          </cell>
        </row>
        <row r="268">
          <cell r="K268">
            <v>0.39813999999999999</v>
          </cell>
          <cell r="L268">
            <v>11.71</v>
          </cell>
          <cell r="AJ268" t="str">
            <v>8IC45Q9KB000XUQ2LI</v>
          </cell>
        </row>
        <row r="269">
          <cell r="K269">
            <v>0.17884</v>
          </cell>
          <cell r="L269">
            <v>5.26</v>
          </cell>
          <cell r="AJ269" t="str">
            <v>3G5UZVPKB00AZKNPZC</v>
          </cell>
        </row>
        <row r="270">
          <cell r="K270">
            <v>0.29852000000000001</v>
          </cell>
          <cell r="L270">
            <v>8.7799999999999994</v>
          </cell>
          <cell r="AJ270" t="str">
            <v>6DPU2MKPB07W4DH9CW</v>
          </cell>
        </row>
        <row r="271">
          <cell r="K271">
            <v>0.49775999999999998</v>
          </cell>
          <cell r="L271">
            <v>14.64</v>
          </cell>
          <cell r="AJ271" t="str">
            <v>3AWPOPBJB00ZOOKDU4</v>
          </cell>
        </row>
        <row r="272">
          <cell r="K272">
            <v>0.49776000000000004</v>
          </cell>
          <cell r="L272">
            <v>14.64</v>
          </cell>
          <cell r="AJ272" t="str">
            <v>2WFUPSOGB004CM47VU</v>
          </cell>
        </row>
        <row r="273">
          <cell r="K273">
            <v>0.99551999999999996</v>
          </cell>
          <cell r="L273">
            <v>29.28</v>
          </cell>
          <cell r="AJ273" t="str">
            <v>6D1HFTMSB013SL1YXO</v>
          </cell>
        </row>
        <row r="274">
          <cell r="K274">
            <v>1.25562</v>
          </cell>
          <cell r="L274">
            <v>36.93</v>
          </cell>
          <cell r="AJ274" t="str">
            <v>5HGHPU5OB00L8VNQ88</v>
          </cell>
        </row>
        <row r="275">
          <cell r="K275">
            <v>0.59704000000000002</v>
          </cell>
          <cell r="L275">
            <v>17.559999999999999</v>
          </cell>
          <cell r="AJ275" t="str">
            <v>6ZGQP34KB01ENKI4D2</v>
          </cell>
        </row>
        <row r="276">
          <cell r="K276">
            <v>0.69699999999999995</v>
          </cell>
          <cell r="L276">
            <v>20.5</v>
          </cell>
          <cell r="AJ276" t="str">
            <v>6DPU2MKPB008S1IOCY</v>
          </cell>
        </row>
        <row r="277">
          <cell r="K277">
            <v>0.69699999999999995</v>
          </cell>
          <cell r="L277">
            <v>20.5</v>
          </cell>
          <cell r="AJ277" t="str">
            <v>6DPU2MKPB008S1IOCY</v>
          </cell>
        </row>
        <row r="278">
          <cell r="K278">
            <v>1.972</v>
          </cell>
          <cell r="L278">
            <v>58</v>
          </cell>
          <cell r="AJ278" t="str">
            <v>8TBCZ9EDB07W5JHLCB</v>
          </cell>
        </row>
        <row r="279">
          <cell r="K279" t="e">
            <v>#DIV/0!</v>
          </cell>
          <cell r="L279" t="e">
            <v>#DIV/0!</v>
          </cell>
          <cell r="AJ279" t="str">
            <v>5DW1164XB01K7GEG9W</v>
          </cell>
        </row>
        <row r="280">
          <cell r="K280">
            <v>1.972</v>
          </cell>
          <cell r="L280">
            <v>58</v>
          </cell>
          <cell r="AJ280" t="str">
            <v>8TBCZ9EDB07W5JHLCB</v>
          </cell>
        </row>
        <row r="281">
          <cell r="K281">
            <v>4.9112999999999998</v>
          </cell>
          <cell r="L281">
            <v>144.44999999999999</v>
          </cell>
          <cell r="AJ281" t="str">
            <v>5UESXM5PB0748NCPN5</v>
          </cell>
        </row>
        <row r="282">
          <cell r="K282">
            <v>0.27879999999999999</v>
          </cell>
          <cell r="L282">
            <v>8.1999999999999993</v>
          </cell>
          <cell r="AJ282" t="str">
            <v>4FFLHW5MB00BT8QIJ4</v>
          </cell>
        </row>
        <row r="283">
          <cell r="K283">
            <v>2.16954</v>
          </cell>
          <cell r="L283">
            <v>63.81</v>
          </cell>
          <cell r="AJ283" t="str">
            <v>6DPU2MKPB07W7KMK4Y</v>
          </cell>
        </row>
        <row r="284">
          <cell r="K284">
            <v>0.33829999999999999</v>
          </cell>
          <cell r="L284">
            <v>9.9499999999999993</v>
          </cell>
          <cell r="AJ284" t="str">
            <v>2WFUPSOGB003PO22H2</v>
          </cell>
        </row>
        <row r="285">
          <cell r="K285">
            <v>11.310779999999999</v>
          </cell>
          <cell r="L285">
            <v>332.67</v>
          </cell>
          <cell r="AJ285" t="str">
            <v>6DPU2MKPB00U77CYLE</v>
          </cell>
        </row>
        <row r="286">
          <cell r="K286" t="e">
            <v>#DIV/0!</v>
          </cell>
          <cell r="L286" t="e">
            <v>#DIV/0!</v>
          </cell>
          <cell r="AJ286" t="str">
            <v>6D1HFTMSB00IRCDT7Y</v>
          </cell>
        </row>
        <row r="287">
          <cell r="K287">
            <v>3.2922199999999999</v>
          </cell>
          <cell r="L287">
            <v>96.83</v>
          </cell>
          <cell r="AJ287" t="str">
            <v>3S7Y1OIVB00N1YPXW2</v>
          </cell>
        </row>
        <row r="288">
          <cell r="K288">
            <v>1.4348000000000001</v>
          </cell>
          <cell r="L288">
            <v>42.2</v>
          </cell>
          <cell r="AJ288" t="str">
            <v>5UESXM5PB07W4DHMVB</v>
          </cell>
        </row>
        <row r="289">
          <cell r="K289">
            <v>0.69699999999999995</v>
          </cell>
          <cell r="L289">
            <v>20.5</v>
          </cell>
          <cell r="AJ289" t="str">
            <v>6ZGQP34KB01C4HCSOC</v>
          </cell>
        </row>
        <row r="290">
          <cell r="K290">
            <v>11.310779999999999</v>
          </cell>
          <cell r="L290">
            <v>332.67</v>
          </cell>
          <cell r="AJ290" t="str">
            <v>6DPU2MKPB00U77CYLE</v>
          </cell>
        </row>
        <row r="291">
          <cell r="K291">
            <v>0.33829999999999999</v>
          </cell>
          <cell r="L291">
            <v>9.9499999999999993</v>
          </cell>
          <cell r="AJ291" t="str">
            <v>6ZGQP34KB003PAMIA2</v>
          </cell>
        </row>
        <row r="292">
          <cell r="K292">
            <v>1.61432</v>
          </cell>
          <cell r="L292">
            <v>47.48</v>
          </cell>
          <cell r="AJ292" t="str">
            <v>5UESXM5PB07W5JK8TR</v>
          </cell>
        </row>
        <row r="293">
          <cell r="K293">
            <v>0.69020000000000004</v>
          </cell>
          <cell r="L293">
            <v>20.3</v>
          </cell>
          <cell r="AJ293" t="str">
            <v>5EPWKXSHB07W5JK4LF</v>
          </cell>
        </row>
        <row r="294">
          <cell r="K294">
            <v>5.4090600000000002</v>
          </cell>
          <cell r="L294">
            <v>159.09</v>
          </cell>
          <cell r="AJ294" t="str">
            <v>68K72QXCB078MHS3SC</v>
          </cell>
        </row>
        <row r="295">
          <cell r="K295">
            <v>0.49775999999999998</v>
          </cell>
          <cell r="L295">
            <v>14.64</v>
          </cell>
          <cell r="AJ295" t="str">
            <v>6ZGQP34KB004CM47VU</v>
          </cell>
        </row>
        <row r="296">
          <cell r="K296">
            <v>2.6730800000000001</v>
          </cell>
          <cell r="L296">
            <v>78.62</v>
          </cell>
          <cell r="AJ296" t="str">
            <v>3O2Z95HBB01MQ0N57Q</v>
          </cell>
        </row>
        <row r="297">
          <cell r="K297">
            <v>2.6730800000000001</v>
          </cell>
          <cell r="L297">
            <v>78.62</v>
          </cell>
          <cell r="AJ297" t="str">
            <v>3O2Z95HBB01MQ0N57Q</v>
          </cell>
        </row>
        <row r="298">
          <cell r="K298">
            <v>0.49776000000000004</v>
          </cell>
          <cell r="L298">
            <v>14.64</v>
          </cell>
          <cell r="AJ298" t="str">
            <v>5KSSWWOJB003K1FXTO</v>
          </cell>
        </row>
        <row r="299">
          <cell r="K299">
            <v>3.92496</v>
          </cell>
          <cell r="L299">
            <v>115.44</v>
          </cell>
          <cell r="AJ299" t="str">
            <v>4FFLHW5MB074KGS5C3</v>
          </cell>
        </row>
        <row r="300">
          <cell r="K300">
            <v>1.5776000000000001</v>
          </cell>
          <cell r="L300">
            <v>46.4</v>
          </cell>
          <cell r="AJ300" t="str">
            <v>5HGHPU5OB07W8P4PDD</v>
          </cell>
        </row>
        <row r="301">
          <cell r="K301">
            <v>0.59704000000000002</v>
          </cell>
          <cell r="L301">
            <v>17.559999999999999</v>
          </cell>
          <cell r="AJ301" t="str">
            <v>1ABLPEELB002L3TSLQ</v>
          </cell>
        </row>
        <row r="302">
          <cell r="K302">
            <v>2.6730800000000001</v>
          </cell>
          <cell r="L302">
            <v>78.62</v>
          </cell>
          <cell r="AJ302" t="str">
            <v>4FFLHW5MB074C9889M</v>
          </cell>
        </row>
        <row r="303">
          <cell r="K303">
            <v>0.39813999999999999</v>
          </cell>
          <cell r="L303">
            <v>11.71</v>
          </cell>
          <cell r="AJ303" t="str">
            <v>8IC45Q9KB00544XKK4</v>
          </cell>
        </row>
        <row r="304">
          <cell r="K304">
            <v>1.41066</v>
          </cell>
          <cell r="L304">
            <v>41.49</v>
          </cell>
          <cell r="AJ304" t="str">
            <v>3AWPOPBJB07W6HLN9H</v>
          </cell>
        </row>
        <row r="305">
          <cell r="K305">
            <v>2.49424</v>
          </cell>
          <cell r="L305">
            <v>73.36</v>
          </cell>
          <cell r="AJ305" t="str">
            <v>6D1HFTMSB07W6HJVDK</v>
          </cell>
        </row>
        <row r="306">
          <cell r="K306">
            <v>0.49775999999999998</v>
          </cell>
          <cell r="L306">
            <v>14.64</v>
          </cell>
          <cell r="AJ306" t="str">
            <v>4FFLHW5MB00EJ3RMDM</v>
          </cell>
        </row>
        <row r="307">
          <cell r="K307">
            <v>7.15768</v>
          </cell>
          <cell r="L307">
            <v>210.52</v>
          </cell>
          <cell r="AJ307" t="str">
            <v>3B2Q175VB011N78DMA</v>
          </cell>
        </row>
        <row r="308">
          <cell r="K308" t="e">
            <v>#DIV/0!</v>
          </cell>
          <cell r="L308" t="e">
            <v>#DIV/0!</v>
          </cell>
          <cell r="AJ308" t="str">
            <v>6ZGQP34KB003UL1RGC</v>
          </cell>
        </row>
        <row r="309">
          <cell r="K309">
            <v>0.99551999999999996</v>
          </cell>
          <cell r="L309">
            <v>29.28</v>
          </cell>
          <cell r="AJ309" t="str">
            <v>6D1HFTMSB00IRCDT7Y</v>
          </cell>
        </row>
        <row r="310">
          <cell r="K310">
            <v>0.33829999999999999</v>
          </cell>
          <cell r="L310">
            <v>9.9499999999999993</v>
          </cell>
          <cell r="AJ310" t="str">
            <v>6ZGQP34KB003PO22H2</v>
          </cell>
        </row>
        <row r="311">
          <cell r="K311">
            <v>0.27879999999999999</v>
          </cell>
          <cell r="L311">
            <v>8.1999999999999993</v>
          </cell>
          <cell r="AJ311" t="str">
            <v>6ZGQP34KB003UL1RGC</v>
          </cell>
        </row>
        <row r="312">
          <cell r="K312">
            <v>1.19442</v>
          </cell>
          <cell r="L312">
            <v>35.130000000000003</v>
          </cell>
          <cell r="AJ312" t="str">
            <v>5HGHPU5OB07VL9YHC9</v>
          </cell>
        </row>
        <row r="313">
          <cell r="K313">
            <v>0.17884</v>
          </cell>
          <cell r="L313">
            <v>5.2600000000000007</v>
          </cell>
          <cell r="AJ313" t="str">
            <v>7M2QCA5KB00AZKNPZC</v>
          </cell>
        </row>
        <row r="314">
          <cell r="K314">
            <v>0.99551999999999996</v>
          </cell>
          <cell r="L314">
            <v>29.28</v>
          </cell>
          <cell r="AJ314" t="str">
            <v>6D1HFTMSB00IRCDT7Y</v>
          </cell>
        </row>
        <row r="315">
          <cell r="K315">
            <v>0.71740000000000004</v>
          </cell>
          <cell r="L315">
            <v>21.099999999999998</v>
          </cell>
          <cell r="AJ315" t="str">
            <v>3AWPOPBJB01DIJICIQ</v>
          </cell>
        </row>
        <row r="316">
          <cell r="K316">
            <v>0.27879999999999999</v>
          </cell>
          <cell r="L316">
            <v>8.1999999999999993</v>
          </cell>
          <cell r="AJ316" t="str">
            <v>5DN5PI5YB0056C69DO</v>
          </cell>
        </row>
        <row r="317">
          <cell r="K317">
            <v>0.49775999999999998</v>
          </cell>
          <cell r="L317">
            <v>14.64</v>
          </cell>
          <cell r="AJ317" t="str">
            <v>2WFUPSOGB00EJ3RN7C</v>
          </cell>
        </row>
        <row r="318">
          <cell r="K318">
            <v>0.53788000000000002</v>
          </cell>
          <cell r="L318">
            <v>15.82</v>
          </cell>
          <cell r="AJ318" t="str">
            <v>6DPU2MKPB01DIJIE1Q</v>
          </cell>
        </row>
        <row r="319">
          <cell r="K319">
            <v>2.1348600000000002</v>
          </cell>
          <cell r="L319">
            <v>62.79</v>
          </cell>
          <cell r="AJ319" t="str">
            <v>4FFLHW5MB07W5JKPSF</v>
          </cell>
        </row>
        <row r="320">
          <cell r="K320">
            <v>1.61432</v>
          </cell>
          <cell r="L320">
            <v>47.480000000000004</v>
          </cell>
          <cell r="AJ320" t="str">
            <v>8IC45Q9KB07GS6ZB7T</v>
          </cell>
        </row>
        <row r="321">
          <cell r="K321">
            <v>2.16954</v>
          </cell>
          <cell r="L321">
            <v>63.81</v>
          </cell>
          <cell r="AJ321" t="str">
            <v>5HGHPU5OB07W7KMK4Y</v>
          </cell>
        </row>
        <row r="322">
          <cell r="K322">
            <v>2.8522600000000002</v>
          </cell>
          <cell r="L322">
            <v>83.89</v>
          </cell>
          <cell r="AJ322" t="str">
            <v>5HGHPU5OB07W6J51XR</v>
          </cell>
        </row>
        <row r="323">
          <cell r="K323">
            <v>0.69020000000000004</v>
          </cell>
          <cell r="L323">
            <v>20.3</v>
          </cell>
          <cell r="AJ323" t="str">
            <v>5DN5PI5YB07W7KJC28</v>
          </cell>
        </row>
        <row r="324">
          <cell r="K324">
            <v>0.33829999999999999</v>
          </cell>
          <cell r="L324">
            <v>9.9499999999999993</v>
          </cell>
          <cell r="AJ324" t="str">
            <v>5WP5GFZIB00544XJDM</v>
          </cell>
        </row>
        <row r="325">
          <cell r="K325">
            <v>1.41066</v>
          </cell>
          <cell r="L325">
            <v>41.49</v>
          </cell>
          <cell r="AJ325" t="str">
            <v>3AWPOPBJB07W6HDNPF</v>
          </cell>
        </row>
        <row r="326">
          <cell r="K326">
            <v>1.41066</v>
          </cell>
          <cell r="L326">
            <v>41.49</v>
          </cell>
          <cell r="AJ326" t="str">
            <v>3AWPOPBJB07W6HDNPG</v>
          </cell>
        </row>
        <row r="327">
          <cell r="K327">
            <v>4.5362799999999996</v>
          </cell>
          <cell r="L327">
            <v>133.41999999999999</v>
          </cell>
          <cell r="AJ327" t="str">
            <v>6DPU2MKPB07W6JNF81</v>
          </cell>
        </row>
        <row r="328">
          <cell r="K328">
            <v>1.19442</v>
          </cell>
          <cell r="L328">
            <v>35.130000000000003</v>
          </cell>
          <cell r="AJ328" t="str">
            <v>5UESXM5PB00JKDN6RW</v>
          </cell>
        </row>
        <row r="329">
          <cell r="K329">
            <v>1.0761000000000001</v>
          </cell>
          <cell r="L329">
            <v>31.65</v>
          </cell>
          <cell r="AJ329" t="str">
            <v>8IC45Q9KB07MTWHWZ1</v>
          </cell>
        </row>
        <row r="330">
          <cell r="K330">
            <v>0.49775999999999998</v>
          </cell>
          <cell r="L330">
            <v>14.64</v>
          </cell>
          <cell r="AJ330" t="str">
            <v>6ZGQP34KB007C0YQLA</v>
          </cell>
        </row>
        <row r="331">
          <cell r="K331">
            <v>1.972</v>
          </cell>
          <cell r="L331">
            <v>58</v>
          </cell>
          <cell r="AJ331" t="str">
            <v>6DPU2MKPB07W7KV5KF</v>
          </cell>
        </row>
        <row r="332">
          <cell r="K332">
            <v>0.99551999999999996</v>
          </cell>
          <cell r="L332">
            <v>29.28</v>
          </cell>
          <cell r="AJ332" t="str">
            <v>6D1HFTMSB07W7L3DSX</v>
          </cell>
        </row>
        <row r="333">
          <cell r="K333">
            <v>0.49776000000000004</v>
          </cell>
          <cell r="L333">
            <v>14.639999999999999</v>
          </cell>
          <cell r="AJ333" t="str">
            <v>6DPU2MKPB01K7GEAF2</v>
          </cell>
        </row>
        <row r="334">
          <cell r="K334">
            <v>5.6439999999999992</v>
          </cell>
          <cell r="L334">
            <v>166</v>
          </cell>
          <cell r="AJ334" t="str">
            <v>6DPU2MKPB0080IA1J4</v>
          </cell>
        </row>
        <row r="335">
          <cell r="K335">
            <v>2.5639400000000001</v>
          </cell>
          <cell r="L335">
            <v>75.41</v>
          </cell>
          <cell r="AJ335" t="str">
            <v>6VR89N1LB01N6NGNQ8</v>
          </cell>
        </row>
        <row r="336">
          <cell r="K336">
            <v>0.99551999999999996</v>
          </cell>
          <cell r="L336">
            <v>29.28</v>
          </cell>
          <cell r="AJ336" t="str">
            <v>8GFIEEZOB00IRCDT7Y</v>
          </cell>
        </row>
        <row r="337">
          <cell r="K337">
            <v>0.62763999999999998</v>
          </cell>
          <cell r="L337">
            <v>18.46</v>
          </cell>
          <cell r="AJ337" t="str">
            <v>8IC45Q9KB00CJ5FP04</v>
          </cell>
        </row>
        <row r="338">
          <cell r="K338">
            <v>0.69699999999999995</v>
          </cell>
          <cell r="L338">
            <v>20.5</v>
          </cell>
          <cell r="AJ338" t="str">
            <v>57D297ZKB01C47ZFLK</v>
          </cell>
        </row>
        <row r="339">
          <cell r="K339">
            <v>0.99551999999999996</v>
          </cell>
          <cell r="L339">
            <v>29.28</v>
          </cell>
          <cell r="AJ339" t="str">
            <v>5UESXM5PB07W4DGCMV</v>
          </cell>
        </row>
        <row r="340">
          <cell r="K340">
            <v>0.49776000000000004</v>
          </cell>
          <cell r="L340">
            <v>14.639999999999999</v>
          </cell>
          <cell r="AJ340" t="str">
            <v>6D1HFTMSB07VFJT9NM</v>
          </cell>
        </row>
        <row r="341">
          <cell r="K341">
            <v>3.1361599999999998</v>
          </cell>
          <cell r="L341">
            <v>92.24</v>
          </cell>
          <cell r="AJ341" t="str">
            <v>6DPU2MKPB07W4DHS5B</v>
          </cell>
        </row>
        <row r="342">
          <cell r="K342">
            <v>1.4348000000000001</v>
          </cell>
          <cell r="L342">
            <v>42.2</v>
          </cell>
          <cell r="AJ342" t="str">
            <v>6VR89N1LB07W6GVS5C</v>
          </cell>
        </row>
        <row r="343">
          <cell r="K343">
            <v>3.62066</v>
          </cell>
          <cell r="L343">
            <v>106.49</v>
          </cell>
          <cell r="AJ343" t="str">
            <v>6L7XHCCZB07G6LWTG6</v>
          </cell>
        </row>
        <row r="344">
          <cell r="K344">
            <v>0.80715999999999999</v>
          </cell>
          <cell r="L344">
            <v>23.74</v>
          </cell>
          <cell r="AJ344" t="str">
            <v>5HGHPU5OB00Q6MR0UO</v>
          </cell>
        </row>
        <row r="345">
          <cell r="K345">
            <v>1.5776000000000001</v>
          </cell>
          <cell r="L345">
            <v>46.4</v>
          </cell>
          <cell r="AJ345" t="str">
            <v>6D1HFTMSB07W5JKHFR</v>
          </cell>
        </row>
        <row r="346">
          <cell r="K346">
            <v>1.3936599999999999</v>
          </cell>
          <cell r="L346">
            <v>40.99</v>
          </cell>
          <cell r="AJ346" t="str">
            <v>4FFLHW5MB079YGFNC7</v>
          </cell>
        </row>
        <row r="347">
          <cell r="K347" t="e">
            <v>#DIV/0!</v>
          </cell>
          <cell r="L347" t="e">
            <v>#DIV/0!</v>
          </cell>
          <cell r="AJ347" t="str">
            <v>6L7XHCCZB07G6LWTG6</v>
          </cell>
        </row>
        <row r="348">
          <cell r="K348">
            <v>1.5775999999999999</v>
          </cell>
          <cell r="L348">
            <v>46.4</v>
          </cell>
          <cell r="AJ348" t="str">
            <v>6D1HFTMSB07W5JKHFR</v>
          </cell>
        </row>
        <row r="349">
          <cell r="K349">
            <v>0.33829999999999999</v>
          </cell>
          <cell r="L349">
            <v>9.9499999999999993</v>
          </cell>
          <cell r="AJ349" t="str">
            <v>5DN5PI5YB003PO22H2</v>
          </cell>
        </row>
        <row r="350">
          <cell r="K350">
            <v>1.19442</v>
          </cell>
          <cell r="L350">
            <v>35.130000000000003</v>
          </cell>
          <cell r="AJ350" t="str">
            <v>5HGHPU5OB07W4DGLJX</v>
          </cell>
        </row>
        <row r="351">
          <cell r="K351" t="e">
            <v>#DIV/0!</v>
          </cell>
          <cell r="L351" t="e">
            <v>#DIV/0!</v>
          </cell>
          <cell r="AJ351" t="str">
            <v>5HGHPU5OB07W4DGLJX</v>
          </cell>
        </row>
        <row r="352">
          <cell r="K352">
            <v>2.6730800000000001</v>
          </cell>
          <cell r="L352">
            <v>78.62</v>
          </cell>
          <cell r="AJ352" t="str">
            <v>8IC45Q9KB01M3TTXMY</v>
          </cell>
        </row>
        <row r="353">
          <cell r="K353">
            <v>2.3140399999999999</v>
          </cell>
          <cell r="L353">
            <v>68.06</v>
          </cell>
          <cell r="AJ353" t="str">
            <v>11CZAECYB073399S1L</v>
          </cell>
        </row>
        <row r="354">
          <cell r="K354" t="e">
            <v>#DIV/0!</v>
          </cell>
          <cell r="L354" t="e">
            <v>#DIV/0!</v>
          </cell>
          <cell r="AJ354" t="str">
            <v>5HGHPU5OB07W4DGLJX</v>
          </cell>
        </row>
        <row r="355">
          <cell r="K355">
            <v>0.69020000000000004</v>
          </cell>
          <cell r="L355">
            <v>20.3</v>
          </cell>
          <cell r="AJ355" t="str">
            <v>57D297ZKB07W5JK4LF</v>
          </cell>
        </row>
        <row r="356">
          <cell r="K356">
            <v>2.1348600000000002</v>
          </cell>
          <cell r="L356">
            <v>62.79</v>
          </cell>
          <cell r="AJ356" t="str">
            <v>6ZGQP34KB07W5JJP7D</v>
          </cell>
        </row>
        <row r="357">
          <cell r="K357">
            <v>1.4348000000000001</v>
          </cell>
          <cell r="L357">
            <v>42.199999999999996</v>
          </cell>
          <cell r="AJ357" t="str">
            <v>2WFUPSOGB07W6GVS5C</v>
          </cell>
        </row>
        <row r="358">
          <cell r="K358">
            <v>1.4348000000000001</v>
          </cell>
          <cell r="L358">
            <v>42.199999999999996</v>
          </cell>
          <cell r="AJ358" t="str">
            <v>2WFUPSOGB07W6GVS5C</v>
          </cell>
        </row>
        <row r="359">
          <cell r="K359">
            <v>0.99551999999999996</v>
          </cell>
          <cell r="L359">
            <v>29.28</v>
          </cell>
          <cell r="AJ359" t="str">
            <v>135JM91XB00IRCDT7Y</v>
          </cell>
        </row>
        <row r="360">
          <cell r="K360">
            <v>0.33829999999999999</v>
          </cell>
          <cell r="L360">
            <v>9.9499999999999993</v>
          </cell>
          <cell r="AJ360" t="str">
            <v>2WFUPSOGB003V4A5VG</v>
          </cell>
        </row>
        <row r="361">
          <cell r="K361">
            <v>1.19442</v>
          </cell>
          <cell r="L361">
            <v>35.130000000000003</v>
          </cell>
          <cell r="AJ361" t="str">
            <v>6DPU2MKPB07W4DGLJX</v>
          </cell>
        </row>
        <row r="362">
          <cell r="K362">
            <v>3.1361599999999998</v>
          </cell>
          <cell r="L362">
            <v>92.24</v>
          </cell>
          <cell r="AJ362" t="str">
            <v>5HGHPU5OB07W4DHS5B</v>
          </cell>
        </row>
        <row r="363">
          <cell r="K363">
            <v>1.5775999999999999</v>
          </cell>
          <cell r="L363">
            <v>46.4</v>
          </cell>
          <cell r="AJ363" t="str">
            <v>5HGHPU5OB07W6JLFZ7</v>
          </cell>
        </row>
        <row r="364">
          <cell r="K364">
            <v>1.4348000000000001</v>
          </cell>
          <cell r="L364">
            <v>42.2</v>
          </cell>
          <cell r="AJ364" t="str">
            <v>7PFJO9VPB07W6GVS5C</v>
          </cell>
        </row>
        <row r="365">
          <cell r="K365">
            <v>1.19442</v>
          </cell>
          <cell r="L365">
            <v>35.130000000000003</v>
          </cell>
          <cell r="AJ365" t="str">
            <v>6D1HFTMSB07VCS18BK</v>
          </cell>
        </row>
        <row r="366">
          <cell r="K366">
            <v>0.49775999999999998</v>
          </cell>
          <cell r="L366">
            <v>14.64</v>
          </cell>
          <cell r="AJ366" t="str">
            <v>5IZH76JAB00ITLJB84</v>
          </cell>
        </row>
        <row r="367">
          <cell r="K367">
            <v>4.1082200000000002</v>
          </cell>
          <cell r="L367">
            <v>120.83</v>
          </cell>
          <cell r="AJ367" t="str">
            <v>6D1HFTMSB07W5JKB92</v>
          </cell>
        </row>
        <row r="368">
          <cell r="K368" t="e">
            <v>#DIV/0!</v>
          </cell>
          <cell r="L368" t="e">
            <v>#DIV/0!</v>
          </cell>
          <cell r="AJ368" t="str">
            <v>6NU6YJHWB00552K0GM</v>
          </cell>
        </row>
        <row r="369">
          <cell r="K369">
            <v>2.9865599999999999</v>
          </cell>
          <cell r="L369">
            <v>87.84</v>
          </cell>
          <cell r="AJ369" t="str">
            <v>317BCF6ZB06XH2VSXM</v>
          </cell>
        </row>
        <row r="370">
          <cell r="K370" t="e">
            <v>#DIV/0!</v>
          </cell>
          <cell r="L370" t="e">
            <v>#DIV/0!</v>
          </cell>
          <cell r="AJ370" t="str">
            <v>6NU6YJHWB00552K0GM</v>
          </cell>
        </row>
        <row r="371">
          <cell r="K371">
            <v>0.59704000000000002</v>
          </cell>
          <cell r="L371">
            <v>17.559999999999999</v>
          </cell>
          <cell r="AJ371" t="str">
            <v>5HGHPU5OB005O8D1J0</v>
          </cell>
        </row>
        <row r="372">
          <cell r="K372">
            <v>2.6730800000000001</v>
          </cell>
          <cell r="L372">
            <v>78.62</v>
          </cell>
          <cell r="AJ372" t="str">
            <v>11CZAECYB01MQ0N57Q</v>
          </cell>
        </row>
        <row r="373">
          <cell r="K373">
            <v>0.79627999999999999</v>
          </cell>
          <cell r="L373">
            <v>23.42</v>
          </cell>
          <cell r="AJ373" t="str">
            <v>2WFUPSOGB00BEFY1W8</v>
          </cell>
        </row>
        <row r="374">
          <cell r="K374">
            <v>0.69700000000000006</v>
          </cell>
          <cell r="L374">
            <v>20.5</v>
          </cell>
          <cell r="AJ374" t="str">
            <v>2WFUPSOGB01C47ZFLK</v>
          </cell>
        </row>
        <row r="375">
          <cell r="K375">
            <v>3.1361599999999998</v>
          </cell>
          <cell r="L375">
            <v>92.24</v>
          </cell>
          <cell r="AJ375" t="str">
            <v>2RY2IXIWB07W4DHNBF</v>
          </cell>
        </row>
        <row r="376">
          <cell r="K376">
            <v>0.99551999999999996</v>
          </cell>
          <cell r="L376">
            <v>29.28</v>
          </cell>
          <cell r="AJ376" t="str">
            <v>5HGHPU5OB013SL2050</v>
          </cell>
        </row>
        <row r="377">
          <cell r="K377">
            <v>3.1361599999999998</v>
          </cell>
          <cell r="L377">
            <v>92.24</v>
          </cell>
          <cell r="AJ377" t="str">
            <v>2RY2IXIWB07W4DHNBF</v>
          </cell>
        </row>
        <row r="378">
          <cell r="K378">
            <v>0.99551999999999996</v>
          </cell>
          <cell r="L378">
            <v>29.28</v>
          </cell>
          <cell r="AJ378" t="str">
            <v>5M9TC4YVB07W4DHT47</v>
          </cell>
        </row>
        <row r="379">
          <cell r="K379">
            <v>8.1691800000000008</v>
          </cell>
          <cell r="L379">
            <v>240.26999999999998</v>
          </cell>
          <cell r="AJ379" t="str">
            <v>1FY1FUTPB07W5JKB91</v>
          </cell>
        </row>
        <row r="380">
          <cell r="K380">
            <v>2.79854</v>
          </cell>
          <cell r="L380">
            <v>82.31</v>
          </cell>
          <cell r="AJ380" t="str">
            <v>5HGHPU5OB07W5JKFQF</v>
          </cell>
        </row>
        <row r="381">
          <cell r="K381">
            <v>3.92496</v>
          </cell>
          <cell r="L381">
            <v>115.44</v>
          </cell>
          <cell r="AJ381" t="str">
            <v>5IZH76JAB003UPJXIC</v>
          </cell>
        </row>
        <row r="382">
          <cell r="K382">
            <v>1.5776000000000001</v>
          </cell>
          <cell r="L382">
            <v>46.4</v>
          </cell>
          <cell r="AJ382" t="str">
            <v>6DPU2MKPB07W8P4PDD</v>
          </cell>
        </row>
        <row r="383">
          <cell r="K383">
            <v>4.46692</v>
          </cell>
          <cell r="L383">
            <v>131.38</v>
          </cell>
          <cell r="AJ383" t="str">
            <v>2WFUPSOGB07VTTBDSV</v>
          </cell>
        </row>
        <row r="384">
          <cell r="K384">
            <v>1.19442</v>
          </cell>
          <cell r="L384">
            <v>35.130000000000003</v>
          </cell>
          <cell r="AJ384" t="str">
            <v>6DPU2MKPB07VL9YHC9</v>
          </cell>
        </row>
        <row r="385">
          <cell r="K385">
            <v>2.2664399999999998</v>
          </cell>
          <cell r="L385">
            <v>66.66</v>
          </cell>
          <cell r="AJ385" t="str">
            <v>8IC45Q9KB071ZFMC9Q</v>
          </cell>
        </row>
        <row r="386">
          <cell r="K386">
            <v>7.15768</v>
          </cell>
          <cell r="L386">
            <v>210.52</v>
          </cell>
          <cell r="AJ386" t="str">
            <v>7PFJO9VPB00YUIM2J0</v>
          </cell>
        </row>
        <row r="387">
          <cell r="K387">
            <v>0.49775999999999998</v>
          </cell>
          <cell r="L387">
            <v>14.64</v>
          </cell>
          <cell r="AJ387" t="str">
            <v>6D1HFTMSB01K7GEFWK</v>
          </cell>
        </row>
        <row r="388">
          <cell r="K388">
            <v>3.57</v>
          </cell>
          <cell r="L388">
            <v>105</v>
          </cell>
          <cell r="AJ388" t="str">
            <v>3O2Z95HBB07VWFKTK7</v>
          </cell>
        </row>
        <row r="389">
          <cell r="K389">
            <v>2.6730800000000001</v>
          </cell>
          <cell r="L389">
            <v>78.62</v>
          </cell>
          <cell r="AJ389" t="str">
            <v>3AWPOPBJB01M3TTXMY</v>
          </cell>
        </row>
        <row r="390">
          <cell r="K390">
            <v>1.5776000000000001</v>
          </cell>
          <cell r="L390">
            <v>46.400000000000006</v>
          </cell>
          <cell r="AJ390" t="str">
            <v>84Q57SSPB07W4DGC27</v>
          </cell>
        </row>
        <row r="391">
          <cell r="K391">
            <v>8.1691800000000008</v>
          </cell>
          <cell r="L391">
            <v>240.27</v>
          </cell>
          <cell r="AJ391" t="str">
            <v>5T4PO9JGB07W5JKB91</v>
          </cell>
        </row>
        <row r="392">
          <cell r="K392">
            <v>0.27879999999999999</v>
          </cell>
          <cell r="L392">
            <v>8.1999999999999993</v>
          </cell>
          <cell r="AJ392" t="str">
            <v>3WIANGOBB004LAWLPW</v>
          </cell>
        </row>
        <row r="393">
          <cell r="K393">
            <v>0.29852000000000001</v>
          </cell>
          <cell r="L393">
            <v>8.7800000000000011</v>
          </cell>
          <cell r="AJ393" t="str">
            <v>6DPU2MKPB07GC4LRQW</v>
          </cell>
        </row>
        <row r="394">
          <cell r="K394">
            <v>4.1082200000000002</v>
          </cell>
          <cell r="L394">
            <v>120.83</v>
          </cell>
          <cell r="AJ394" t="str">
            <v>6DPU2MKPB07W7LQDX7</v>
          </cell>
        </row>
        <row r="395">
          <cell r="K395">
            <v>3.1361599999999998</v>
          </cell>
          <cell r="L395">
            <v>92.24</v>
          </cell>
          <cell r="AJ395" t="str">
            <v>3AWPOPBJB07W4DHNBF</v>
          </cell>
        </row>
        <row r="396">
          <cell r="K396">
            <v>1.4348000000000001</v>
          </cell>
          <cell r="L396">
            <v>42.2</v>
          </cell>
          <cell r="AJ396" t="str">
            <v>2WFUPSOGB01L6L45ES</v>
          </cell>
        </row>
        <row r="397">
          <cell r="K397">
            <v>3.94468</v>
          </cell>
          <cell r="L397">
            <v>116.02</v>
          </cell>
          <cell r="AJ397" t="str">
            <v>5UESXM5PB07W6HPP3R</v>
          </cell>
        </row>
        <row r="398">
          <cell r="K398">
            <v>0.69700000000000006</v>
          </cell>
          <cell r="L398">
            <v>20.5</v>
          </cell>
          <cell r="AJ398" t="str">
            <v>6ZGQP34KB01C47ZFLK</v>
          </cell>
        </row>
        <row r="399">
          <cell r="K399">
            <v>1.0761000000000001</v>
          </cell>
          <cell r="L399">
            <v>31.65</v>
          </cell>
          <cell r="AJ399" t="str">
            <v>3S7Y1OIVB00ZWOUH4S</v>
          </cell>
        </row>
        <row r="400">
          <cell r="K400">
            <v>1.81934</v>
          </cell>
          <cell r="L400">
            <v>53.51</v>
          </cell>
          <cell r="AJ400" t="str">
            <v>31I8VBIPB07RW77K54</v>
          </cell>
        </row>
        <row r="401">
          <cell r="K401">
            <v>1.0761000000000001</v>
          </cell>
          <cell r="L401">
            <v>31.65</v>
          </cell>
          <cell r="AJ401" t="str">
            <v>3S7Y1OIVB00ZWOUH4S</v>
          </cell>
        </row>
        <row r="402">
          <cell r="K402" t="e">
            <v>#DIV/0!</v>
          </cell>
          <cell r="L402" t="e">
            <v>#DIV/0!</v>
          </cell>
          <cell r="AJ402" t="str">
            <v>3S7Y1OIVB00ZWOUH4S</v>
          </cell>
        </row>
        <row r="403">
          <cell r="K403">
            <v>0.33829999999999999</v>
          </cell>
          <cell r="L403">
            <v>9.9499999999999993</v>
          </cell>
          <cell r="AJ403" t="str">
            <v>8FNVZZXMB003PAMIA2</v>
          </cell>
        </row>
        <row r="404">
          <cell r="K404">
            <v>0.39813999999999999</v>
          </cell>
          <cell r="L404">
            <v>11.71</v>
          </cell>
          <cell r="AJ404" t="str">
            <v>3S7Y1OIVB00544XKK4</v>
          </cell>
        </row>
        <row r="405">
          <cell r="K405">
            <v>0.33829999999999999</v>
          </cell>
          <cell r="L405">
            <v>9.9499999999999993</v>
          </cell>
          <cell r="AJ405" t="str">
            <v>6ZGQP34KB0056C7W1C</v>
          </cell>
        </row>
        <row r="406">
          <cell r="K406">
            <v>0.71740000000000004</v>
          </cell>
          <cell r="L406">
            <v>21.1</v>
          </cell>
          <cell r="AJ406" t="str">
            <v>3B2Q175VB07W5JKFQC</v>
          </cell>
        </row>
        <row r="407">
          <cell r="K407">
            <v>0.33829999999999999</v>
          </cell>
          <cell r="L407">
            <v>9.9499999999999993</v>
          </cell>
          <cell r="AJ407" t="str">
            <v>81V4YVNTB00552K0GM</v>
          </cell>
        </row>
        <row r="408">
          <cell r="K408">
            <v>0.29852000000000001</v>
          </cell>
          <cell r="L408">
            <v>8.7799999999999994</v>
          </cell>
          <cell r="AJ408" t="str">
            <v>5HGHPU5OB07W4DH9CW</v>
          </cell>
        </row>
        <row r="409">
          <cell r="K409">
            <v>0.27879999999999999</v>
          </cell>
          <cell r="L409">
            <v>8.1999999999999993</v>
          </cell>
          <cell r="AJ409" t="str">
            <v>5IZH76JAB00BT8QIJ4</v>
          </cell>
        </row>
        <row r="410">
          <cell r="K410">
            <v>0.39813999999999999</v>
          </cell>
          <cell r="L410">
            <v>11.71</v>
          </cell>
          <cell r="AJ410" t="str">
            <v>8IC45Q9KB00ZOZZM4U</v>
          </cell>
        </row>
        <row r="411">
          <cell r="K411">
            <v>5.0051399999999999</v>
          </cell>
          <cell r="L411">
            <v>147.20999999999998</v>
          </cell>
          <cell r="AJ411" t="str">
            <v>1S3VNUKAB07JGCM9QM</v>
          </cell>
        </row>
        <row r="412">
          <cell r="K412">
            <v>0.89590000000000003</v>
          </cell>
          <cell r="L412">
            <v>26.35</v>
          </cell>
          <cell r="AJ412" t="str">
            <v>84Q57SSPB07W5JHM12</v>
          </cell>
        </row>
        <row r="413">
          <cell r="K413">
            <v>0.59704000000000002</v>
          </cell>
          <cell r="L413">
            <v>17.559999999999999</v>
          </cell>
          <cell r="AJ413" t="str">
            <v>5UESXM5PB00IOIJQ46</v>
          </cell>
        </row>
        <row r="414">
          <cell r="K414">
            <v>1.972</v>
          </cell>
          <cell r="L414">
            <v>58</v>
          </cell>
          <cell r="AJ414" t="str">
            <v>3AWPOPBJB07MM4V7NR</v>
          </cell>
        </row>
        <row r="415">
          <cell r="K415">
            <v>0.69020000000000004</v>
          </cell>
          <cell r="L415">
            <v>20.299999999999997</v>
          </cell>
          <cell r="AJ415" t="str">
            <v>6ZGQP34KB07W5JK4LF</v>
          </cell>
        </row>
        <row r="416">
          <cell r="K416">
            <v>2.8522599999999998</v>
          </cell>
          <cell r="L416">
            <v>83.89</v>
          </cell>
          <cell r="AJ416" t="str">
            <v>3WIANGOBB01MCXJWD1</v>
          </cell>
        </row>
        <row r="417">
          <cell r="K417">
            <v>0.89590000000000003</v>
          </cell>
          <cell r="L417">
            <v>26.349999999999998</v>
          </cell>
          <cell r="AJ417" t="str">
            <v>3AWPOPBJB005BFCNYU</v>
          </cell>
        </row>
        <row r="418">
          <cell r="K418">
            <v>0.62763999999999998</v>
          </cell>
          <cell r="L418">
            <v>18.46</v>
          </cell>
          <cell r="AJ418" t="str">
            <v>3XMQQXHMB00CJ5FP04</v>
          </cell>
        </row>
        <row r="419">
          <cell r="K419" t="e">
            <v>#DIV/0!</v>
          </cell>
          <cell r="L419" t="e">
            <v>#DIV/0!</v>
          </cell>
          <cell r="AJ419" t="str">
            <v>3AWPOPBJB005BFCNYU</v>
          </cell>
        </row>
        <row r="420">
          <cell r="K420">
            <v>0.69699999999999995</v>
          </cell>
          <cell r="L420">
            <v>20.5</v>
          </cell>
          <cell r="AJ420" t="str">
            <v>5DN5PI5YB01C47ZFLK</v>
          </cell>
        </row>
        <row r="421">
          <cell r="K421">
            <v>2.8522599999999998</v>
          </cell>
          <cell r="L421">
            <v>83.89</v>
          </cell>
          <cell r="AJ421" t="str">
            <v>6DPU2MKPB07W7MKLNT</v>
          </cell>
        </row>
        <row r="422">
          <cell r="K422">
            <v>3.62066</v>
          </cell>
          <cell r="L422">
            <v>106.49</v>
          </cell>
          <cell r="AJ422" t="str">
            <v>54U7COBYB07G6MYMKD</v>
          </cell>
        </row>
        <row r="423">
          <cell r="K423">
            <v>2.5639399999999997</v>
          </cell>
          <cell r="L423">
            <v>75.41</v>
          </cell>
          <cell r="AJ423" t="str">
            <v>8IC45Q9KB07W6HDNNV</v>
          </cell>
        </row>
        <row r="424">
          <cell r="K424">
            <v>0.69699999999999995</v>
          </cell>
          <cell r="L424">
            <v>20.5</v>
          </cell>
          <cell r="AJ424" t="str">
            <v>4FFLHW5MB0078M385M</v>
          </cell>
        </row>
        <row r="425">
          <cell r="K425">
            <v>0.53788000000000002</v>
          </cell>
          <cell r="L425">
            <v>15.82</v>
          </cell>
          <cell r="AJ425" t="str">
            <v>5UESXM5PB01DIJIE1Q</v>
          </cell>
        </row>
        <row r="426">
          <cell r="K426">
            <v>0.29852000000000001</v>
          </cell>
          <cell r="L426">
            <v>8.7799999999999994</v>
          </cell>
          <cell r="AJ426" t="str">
            <v>5HGHPU5OB07W4DH9CW</v>
          </cell>
        </row>
        <row r="427">
          <cell r="K427">
            <v>0.59704000000000002</v>
          </cell>
          <cell r="L427">
            <v>17.559999999999999</v>
          </cell>
          <cell r="AJ427" t="str">
            <v>6DPU2MKPB06W547XN2</v>
          </cell>
        </row>
        <row r="428">
          <cell r="K428">
            <v>1.4348000000000001</v>
          </cell>
          <cell r="L428">
            <v>42.199999999999996</v>
          </cell>
          <cell r="AJ428" t="str">
            <v>6D1HFTMSB07W6JM35X</v>
          </cell>
        </row>
        <row r="429">
          <cell r="K429">
            <v>0.89658000000000004</v>
          </cell>
          <cell r="L429">
            <v>26.37</v>
          </cell>
          <cell r="AJ429" t="str">
            <v>8IC45Q9KB0766JZ8Q3</v>
          </cell>
        </row>
        <row r="430">
          <cell r="K430">
            <v>0.33829999999999999</v>
          </cell>
          <cell r="L430">
            <v>9.9499999999999993</v>
          </cell>
          <cell r="AJ430" t="str">
            <v>81V4YVNTB00544XFHC</v>
          </cell>
        </row>
        <row r="431">
          <cell r="K431">
            <v>2.6730800000000001</v>
          </cell>
          <cell r="L431">
            <v>78.62</v>
          </cell>
          <cell r="AJ431" t="str">
            <v>4FFLHW5MB074C9LZVX</v>
          </cell>
        </row>
        <row r="432">
          <cell r="K432">
            <v>0.49775999999999998</v>
          </cell>
          <cell r="L432">
            <v>14.64</v>
          </cell>
          <cell r="AJ432" t="str">
            <v>5IZH76JAB01I252A34</v>
          </cell>
        </row>
        <row r="433">
          <cell r="K433">
            <v>0.39813999999999999</v>
          </cell>
          <cell r="L433">
            <v>11.71</v>
          </cell>
          <cell r="AJ433" t="str">
            <v>6D1HFTMSB00745IE1Q</v>
          </cell>
        </row>
        <row r="434">
          <cell r="K434">
            <v>3.05728</v>
          </cell>
          <cell r="L434">
            <v>89.92</v>
          </cell>
          <cell r="AJ434" t="str">
            <v>3WIANGOBB078MLBGRM</v>
          </cell>
        </row>
        <row r="435">
          <cell r="K435" t="e">
            <v>#DIV/0!</v>
          </cell>
          <cell r="L435" t="e">
            <v>#DIV/0!</v>
          </cell>
          <cell r="AJ435" t="str">
            <v>2D9BINCTB01K7GEG9W</v>
          </cell>
        </row>
        <row r="436">
          <cell r="K436">
            <v>2.5884200000000002</v>
          </cell>
          <cell r="L436">
            <v>76.13</v>
          </cell>
          <cell r="AJ436" t="str">
            <v>7ZNGEPQAB0100055LI</v>
          </cell>
        </row>
        <row r="437">
          <cell r="K437">
            <v>0.33829999999999999</v>
          </cell>
          <cell r="L437">
            <v>9.9499999999999993</v>
          </cell>
          <cell r="AJ437" t="str">
            <v>6D1HFTMSB00552K0GM</v>
          </cell>
        </row>
        <row r="438">
          <cell r="K438">
            <v>0.33829999999999999</v>
          </cell>
          <cell r="L438">
            <v>9.9499999999999993</v>
          </cell>
          <cell r="AJ438" t="str">
            <v>6D1HFTMSB00552K0GM</v>
          </cell>
        </row>
        <row r="439">
          <cell r="K439" t="e">
            <v>#DIV/0!</v>
          </cell>
          <cell r="L439" t="e">
            <v>#DIV/0!</v>
          </cell>
          <cell r="AJ439" t="str">
            <v>5IZH76JAB01L6L45ES</v>
          </cell>
        </row>
        <row r="440">
          <cell r="K440">
            <v>0.49775999999999998</v>
          </cell>
          <cell r="L440">
            <v>14.64</v>
          </cell>
          <cell r="AJ440" t="str">
            <v>6DPU2MKPB004IO5BMQ</v>
          </cell>
        </row>
        <row r="441">
          <cell r="K441">
            <v>2.9576600000000002</v>
          </cell>
          <cell r="L441">
            <v>86.99</v>
          </cell>
          <cell r="AJ441" t="str">
            <v>6DPU2MKPB07W5JJP7R</v>
          </cell>
        </row>
        <row r="442">
          <cell r="K442">
            <v>0.99551999999999996</v>
          </cell>
          <cell r="L442">
            <v>29.28</v>
          </cell>
          <cell r="AJ442" t="str">
            <v>81V4YVNTB07W4DHT47</v>
          </cell>
        </row>
        <row r="443">
          <cell r="K443">
            <v>0.99551999999999996</v>
          </cell>
          <cell r="L443">
            <v>29.28</v>
          </cell>
          <cell r="AJ443" t="str">
            <v>317BCF6ZB00IRCDT7Y</v>
          </cell>
        </row>
        <row r="444">
          <cell r="K444">
            <v>4.8256199999999998</v>
          </cell>
          <cell r="L444">
            <v>141.93</v>
          </cell>
          <cell r="AJ444" t="str">
            <v>3S7Y1OIVB079Z3DSBK</v>
          </cell>
        </row>
        <row r="445">
          <cell r="K445">
            <v>1.4348000000000001</v>
          </cell>
          <cell r="L445">
            <v>42.199999999999996</v>
          </cell>
          <cell r="AJ445" t="str">
            <v>5IZH76JAB01L6L45ES</v>
          </cell>
        </row>
        <row r="446">
          <cell r="K446">
            <v>1.19442</v>
          </cell>
          <cell r="L446">
            <v>35.130000000000003</v>
          </cell>
          <cell r="AJ446" t="str">
            <v>6D1HFTMSB07VL9YHC9</v>
          </cell>
        </row>
        <row r="447">
          <cell r="K447">
            <v>0.99551999999999996</v>
          </cell>
          <cell r="L447">
            <v>29.28</v>
          </cell>
          <cell r="AJ447" t="str">
            <v>317BCF6ZB00IRCDT7Y</v>
          </cell>
        </row>
        <row r="448">
          <cell r="K448">
            <v>0.99551999999999996</v>
          </cell>
          <cell r="L448">
            <v>29.28</v>
          </cell>
          <cell r="AJ448" t="str">
            <v>317BCF6ZB00IRCDT7Y</v>
          </cell>
        </row>
        <row r="449">
          <cell r="K449">
            <v>1.5776000000000001</v>
          </cell>
          <cell r="L449">
            <v>46.4</v>
          </cell>
          <cell r="AJ449" t="str">
            <v>6D1HFTMSB07W8P4PDD</v>
          </cell>
        </row>
        <row r="450">
          <cell r="K450">
            <v>2.5639400000000001</v>
          </cell>
          <cell r="L450">
            <v>75.41</v>
          </cell>
          <cell r="AJ450" t="str">
            <v>4FFLHW5MB01MT5WMMG</v>
          </cell>
        </row>
        <row r="451">
          <cell r="K451">
            <v>0.80715999999999999</v>
          </cell>
          <cell r="L451">
            <v>23.740000000000002</v>
          </cell>
          <cell r="AJ451" t="str">
            <v>6D1HFTMSB00Q6MR0UO</v>
          </cell>
        </row>
        <row r="452">
          <cell r="K452">
            <v>0.71740000000000004</v>
          </cell>
          <cell r="L452">
            <v>21.1</v>
          </cell>
          <cell r="AJ452" t="str">
            <v>8IC45Q9KB01DIJICIQ</v>
          </cell>
        </row>
        <row r="453">
          <cell r="K453" t="e">
            <v>#DIV/0!</v>
          </cell>
          <cell r="L453" t="e">
            <v>#DIV/0!</v>
          </cell>
          <cell r="AJ453" t="str">
            <v>3S7Y1OIVB00ZWOUH4S</v>
          </cell>
        </row>
        <row r="454">
          <cell r="K454">
            <v>2.3667400000000001</v>
          </cell>
          <cell r="L454">
            <v>69.61</v>
          </cell>
          <cell r="AJ454" t="str">
            <v>1QCXHA1RB07FNHV4MW</v>
          </cell>
        </row>
        <row r="455">
          <cell r="K455">
            <v>0.99551999999999996</v>
          </cell>
          <cell r="L455">
            <v>29.28</v>
          </cell>
          <cell r="AJ455" t="str">
            <v>6D1HFTMSB013SL2050</v>
          </cell>
        </row>
        <row r="456">
          <cell r="K456">
            <v>0.49776000000000004</v>
          </cell>
          <cell r="L456">
            <v>14.639999999999999</v>
          </cell>
          <cell r="AJ456" t="str">
            <v>4FFLHW5MB077BT728N</v>
          </cell>
        </row>
        <row r="457">
          <cell r="K457">
            <v>1.972</v>
          </cell>
          <cell r="L457">
            <v>58</v>
          </cell>
          <cell r="AJ457" t="str">
            <v>5UESXM5PB07W7KV5KF</v>
          </cell>
        </row>
        <row r="458">
          <cell r="K458">
            <v>2.6730800000000001</v>
          </cell>
          <cell r="L458">
            <v>78.62</v>
          </cell>
          <cell r="AJ458" t="str">
            <v>1S3VNUKAB01MQ0N57Q</v>
          </cell>
        </row>
        <row r="459">
          <cell r="K459">
            <v>1.7938400000000001</v>
          </cell>
          <cell r="L459">
            <v>52.76</v>
          </cell>
          <cell r="AJ459" t="str">
            <v>5IZH76JAB06XQ3V8G7</v>
          </cell>
        </row>
        <row r="460">
          <cell r="K460">
            <v>2.3140399999999999</v>
          </cell>
          <cell r="L460">
            <v>68.06</v>
          </cell>
          <cell r="AJ460" t="str">
            <v>3O2Z95HBB073399S1L</v>
          </cell>
        </row>
        <row r="461">
          <cell r="K461">
            <v>2.3140399999999999</v>
          </cell>
          <cell r="L461">
            <v>68.06</v>
          </cell>
          <cell r="AJ461" t="str">
            <v>3O2Z95HBB073399S1L</v>
          </cell>
        </row>
        <row r="462">
          <cell r="K462">
            <v>1.4348000000000001</v>
          </cell>
          <cell r="L462">
            <v>42.2</v>
          </cell>
          <cell r="AJ462" t="str">
            <v>5UESXM5PB07L9FLRPD</v>
          </cell>
        </row>
        <row r="463">
          <cell r="K463">
            <v>2.6730800000000001</v>
          </cell>
          <cell r="L463">
            <v>78.62</v>
          </cell>
          <cell r="AJ463" t="str">
            <v>5HGHPU5OB07W7KT2B3</v>
          </cell>
        </row>
        <row r="464">
          <cell r="K464">
            <v>1.5775999999999999</v>
          </cell>
          <cell r="L464">
            <v>46.4</v>
          </cell>
          <cell r="AJ464" t="str">
            <v>6D1HFTMSB07W6JLFZ7</v>
          </cell>
        </row>
        <row r="465">
          <cell r="K465">
            <v>0.33829999999999999</v>
          </cell>
          <cell r="L465">
            <v>9.9499999999999993</v>
          </cell>
          <cell r="AJ465" t="str">
            <v>6DPU2MKPB00564NERG</v>
          </cell>
        </row>
        <row r="466">
          <cell r="K466">
            <v>1.4348000000000001</v>
          </cell>
          <cell r="L466">
            <v>42.2</v>
          </cell>
          <cell r="AJ466" t="str">
            <v>8IC45Q9KB07MTXLFXV</v>
          </cell>
        </row>
        <row r="467">
          <cell r="K467">
            <v>2.8522599999999998</v>
          </cell>
          <cell r="L467">
            <v>83.89</v>
          </cell>
          <cell r="AJ467" t="str">
            <v>68K72QXCB01MCXJWD1</v>
          </cell>
        </row>
        <row r="468">
          <cell r="K468">
            <v>0.99552000000000007</v>
          </cell>
          <cell r="L468">
            <v>29.28</v>
          </cell>
          <cell r="AJ468" t="str">
            <v>6D1HFTMSB00Y0G2L9I</v>
          </cell>
        </row>
        <row r="469">
          <cell r="K469">
            <v>0.62763999999999998</v>
          </cell>
          <cell r="L469">
            <v>18.46</v>
          </cell>
          <cell r="AJ469" t="str">
            <v>7TOH4SKIB00CJ5FP04</v>
          </cell>
        </row>
        <row r="470">
          <cell r="K470">
            <v>0.49775999999999998</v>
          </cell>
          <cell r="L470">
            <v>14.64</v>
          </cell>
          <cell r="AJ470" t="str">
            <v>2WFUPSOGB01I252A34</v>
          </cell>
        </row>
        <row r="471">
          <cell r="K471">
            <v>0.99551999999999996</v>
          </cell>
          <cell r="L471">
            <v>29.28</v>
          </cell>
          <cell r="AJ471" t="str">
            <v>6D1HFTMSB00IJYG4FY</v>
          </cell>
        </row>
        <row r="472">
          <cell r="K472">
            <v>0.33829999999999999</v>
          </cell>
          <cell r="L472">
            <v>9.9499999999999993</v>
          </cell>
          <cell r="AJ472" t="str">
            <v>5DN5PI5YB003PAMIA2</v>
          </cell>
        </row>
        <row r="473">
          <cell r="K473">
            <v>5.0051399999999999</v>
          </cell>
          <cell r="L473">
            <v>147.21</v>
          </cell>
          <cell r="AJ473" t="str">
            <v>11CZAECYB07JGCM9QM</v>
          </cell>
        </row>
        <row r="474">
          <cell r="K474">
            <v>0.99551999999999996</v>
          </cell>
          <cell r="L474">
            <v>29.28</v>
          </cell>
          <cell r="AJ474" t="str">
            <v>6DPU2MKPB07W4DGCMV</v>
          </cell>
        </row>
        <row r="475">
          <cell r="K475">
            <v>1.19442</v>
          </cell>
          <cell r="L475">
            <v>35.130000000000003</v>
          </cell>
          <cell r="AJ475" t="str">
            <v>6DPU2MKPB00JKDN6RW</v>
          </cell>
        </row>
        <row r="476">
          <cell r="K476">
            <v>1.25562</v>
          </cell>
          <cell r="L476">
            <v>36.93</v>
          </cell>
          <cell r="AJ476" t="str">
            <v>8IC45Q9KB07W6J6TG5</v>
          </cell>
        </row>
        <row r="477">
          <cell r="K477">
            <v>2.5639400000000001</v>
          </cell>
          <cell r="L477">
            <v>75.41</v>
          </cell>
          <cell r="AJ477" t="str">
            <v>5DN5PI5YB01MT5WMMG</v>
          </cell>
        </row>
        <row r="478">
          <cell r="K478">
            <v>1.3936599999999999</v>
          </cell>
          <cell r="L478">
            <v>40.99</v>
          </cell>
          <cell r="AJ478" t="str">
            <v>5IZH76JAB0797G6W5K</v>
          </cell>
        </row>
        <row r="479">
          <cell r="K479" t="e">
            <v>#DIV/0!</v>
          </cell>
          <cell r="L479" t="e">
            <v>#DIV/0!</v>
          </cell>
          <cell r="AJ479" t="str">
            <v>135JM91XB07W7KT2B3</v>
          </cell>
        </row>
        <row r="480">
          <cell r="K480">
            <v>2.5639400000000001</v>
          </cell>
          <cell r="L480">
            <v>75.41</v>
          </cell>
          <cell r="AJ480" t="str">
            <v>5DN5PI5YB01MT5WMMG</v>
          </cell>
        </row>
        <row r="481">
          <cell r="K481">
            <v>1.4572399999999999</v>
          </cell>
          <cell r="L481">
            <v>42.860000000000007</v>
          </cell>
          <cell r="AJ481" t="str">
            <v>6D1HFTMSB07H3HGVDW</v>
          </cell>
        </row>
        <row r="482">
          <cell r="K482">
            <v>7.1576800000000009</v>
          </cell>
          <cell r="L482">
            <v>210.51999999999998</v>
          </cell>
          <cell r="AJ482" t="str">
            <v>7PFJO9VPB011N78DMA</v>
          </cell>
        </row>
        <row r="483">
          <cell r="K483">
            <v>1.61432</v>
          </cell>
          <cell r="L483">
            <v>47.48</v>
          </cell>
          <cell r="AJ483" t="str">
            <v>3S7Y1OIVB07GS6ZB7T</v>
          </cell>
        </row>
        <row r="484">
          <cell r="K484">
            <v>0.69699999999999995</v>
          </cell>
          <cell r="L484">
            <v>20.5</v>
          </cell>
          <cell r="AJ484" t="str">
            <v>4FFLHW5MB009L1UV94</v>
          </cell>
        </row>
        <row r="485">
          <cell r="K485">
            <v>3.62066</v>
          </cell>
          <cell r="L485">
            <v>106.49</v>
          </cell>
          <cell r="AJ485" t="str">
            <v>6DPU2MKPB07G6DL332</v>
          </cell>
        </row>
        <row r="486">
          <cell r="K486">
            <v>1.61432</v>
          </cell>
          <cell r="L486">
            <v>47.48</v>
          </cell>
          <cell r="AJ486" t="str">
            <v>6DPU2MKPB07W5JK8TR</v>
          </cell>
        </row>
        <row r="487">
          <cell r="K487">
            <v>0.98599999999999999</v>
          </cell>
          <cell r="L487">
            <v>29</v>
          </cell>
          <cell r="AJ487" t="str">
            <v>6DPU2MKPB07W4DHQJ9</v>
          </cell>
        </row>
        <row r="488">
          <cell r="K488">
            <v>0.79627999999999999</v>
          </cell>
          <cell r="L488">
            <v>23.42</v>
          </cell>
          <cell r="AJ488" t="str">
            <v>81V4YVNTB07W6J829F</v>
          </cell>
        </row>
        <row r="489">
          <cell r="K489">
            <v>0.99551999999999996</v>
          </cell>
          <cell r="L489">
            <v>29.28</v>
          </cell>
          <cell r="AJ489" t="str">
            <v>8TBCZ9EDB00EUUX59O</v>
          </cell>
        </row>
        <row r="490">
          <cell r="K490">
            <v>0.89658000000000004</v>
          </cell>
          <cell r="L490">
            <v>26.37</v>
          </cell>
          <cell r="AJ490" t="str">
            <v>3AWPOPBJB0766JZ8Q3</v>
          </cell>
        </row>
        <row r="491">
          <cell r="K491">
            <v>2.1348600000000002</v>
          </cell>
          <cell r="L491">
            <v>62.79</v>
          </cell>
          <cell r="AJ491" t="str">
            <v>4FFLHW5MB07W5JJP7D</v>
          </cell>
        </row>
        <row r="492">
          <cell r="K492">
            <v>1.25562</v>
          </cell>
          <cell r="L492">
            <v>36.93</v>
          </cell>
          <cell r="AJ492" t="str">
            <v>3AWPOPBJB07W6J6TG5</v>
          </cell>
        </row>
        <row r="493">
          <cell r="K493">
            <v>2.5639400000000001</v>
          </cell>
          <cell r="L493">
            <v>75.41</v>
          </cell>
          <cell r="AJ493" t="str">
            <v>3AWPOPBJB07W6JG6Z7</v>
          </cell>
        </row>
        <row r="494">
          <cell r="K494" t="e">
            <v>#DIV/0!</v>
          </cell>
          <cell r="L494" t="e">
            <v>#DIV/0!</v>
          </cell>
          <cell r="AJ494" t="str">
            <v>3AWPOPBJB07W6J6TG5</v>
          </cell>
        </row>
        <row r="495">
          <cell r="K495">
            <v>2.5639400000000001</v>
          </cell>
          <cell r="L495">
            <v>75.41</v>
          </cell>
          <cell r="AJ495" t="str">
            <v>3AWPOPBJB07W6JG6Z7</v>
          </cell>
        </row>
        <row r="496">
          <cell r="K496">
            <v>2.6730800000000001</v>
          </cell>
          <cell r="L496">
            <v>78.62</v>
          </cell>
          <cell r="AJ496" t="str">
            <v>6D1HFTMSB07W4DH9CY</v>
          </cell>
        </row>
        <row r="497">
          <cell r="K497" t="e">
            <v>#DIV/0!</v>
          </cell>
          <cell r="L497" t="e">
            <v>#DIV/0!</v>
          </cell>
          <cell r="AJ497" t="str">
            <v>61WQ77QSB07GS6ZS8J</v>
          </cell>
        </row>
        <row r="498">
          <cell r="K498">
            <v>0.35870000000000002</v>
          </cell>
          <cell r="L498">
            <v>10.55</v>
          </cell>
          <cell r="AJ498" t="str">
            <v>41N1XRBDB01DIJIDKI</v>
          </cell>
        </row>
        <row r="499">
          <cell r="K499">
            <v>2.16954</v>
          </cell>
          <cell r="L499">
            <v>63.81</v>
          </cell>
          <cell r="AJ499" t="str">
            <v>6D1HFTMSB07W7KMK4Y</v>
          </cell>
        </row>
        <row r="500">
          <cell r="K500">
            <v>24.910779999999999</v>
          </cell>
          <cell r="L500">
            <v>732.67</v>
          </cell>
          <cell r="AJ500" t="str">
            <v>6ZGQP34KB071KBDVV5</v>
          </cell>
        </row>
        <row r="501">
          <cell r="K501">
            <v>0.59704000000000002</v>
          </cell>
          <cell r="L501">
            <v>17.559999999999999</v>
          </cell>
          <cell r="AJ501" t="str">
            <v>3QU2KQFPB06W547XN2</v>
          </cell>
        </row>
        <row r="502">
          <cell r="K502">
            <v>0.27879999999999999</v>
          </cell>
          <cell r="L502">
            <v>8.1999999999999993</v>
          </cell>
          <cell r="AJ502" t="str">
            <v>5IZH76JAB0056C69DO</v>
          </cell>
        </row>
        <row r="503">
          <cell r="K503">
            <v>0.49776000000000004</v>
          </cell>
          <cell r="L503">
            <v>14.639999999999999</v>
          </cell>
          <cell r="AJ503" t="str">
            <v>5IZH76JAB004CM47VU</v>
          </cell>
        </row>
        <row r="504">
          <cell r="K504">
            <v>0.49775999999999998</v>
          </cell>
          <cell r="L504">
            <v>14.64</v>
          </cell>
          <cell r="AJ504" t="str">
            <v>2WFUPSOGB007C0YQLA</v>
          </cell>
        </row>
        <row r="505">
          <cell r="K505">
            <v>2.1348600000000002</v>
          </cell>
          <cell r="L505">
            <v>62.79</v>
          </cell>
          <cell r="AJ505" t="str">
            <v>5EPWKXSHB07W5JJP7D</v>
          </cell>
        </row>
        <row r="506">
          <cell r="K506">
            <v>1.7938400000000001</v>
          </cell>
          <cell r="L506">
            <v>52.76</v>
          </cell>
          <cell r="AJ506" t="str">
            <v>5IZH76JAB06XPXRN4K</v>
          </cell>
        </row>
        <row r="507">
          <cell r="K507" t="e">
            <v>#DIV/0!</v>
          </cell>
          <cell r="L507" t="e">
            <v>#DIV/0!</v>
          </cell>
          <cell r="AJ507" t="str">
            <v>54U7COBYB07W6JKL78</v>
          </cell>
        </row>
        <row r="508">
          <cell r="K508">
            <v>2.5639400000000001</v>
          </cell>
          <cell r="L508">
            <v>75.41</v>
          </cell>
          <cell r="AJ508" t="str">
            <v>5IZH76JAB01MTG898O</v>
          </cell>
        </row>
        <row r="509">
          <cell r="K509">
            <v>0.33829999999999999</v>
          </cell>
          <cell r="L509">
            <v>9.9499999999999993</v>
          </cell>
          <cell r="AJ509" t="str">
            <v>5IZH76JAB003V4A5VG</v>
          </cell>
        </row>
        <row r="510">
          <cell r="K510">
            <v>1.19442</v>
          </cell>
          <cell r="L510">
            <v>35.130000000000003</v>
          </cell>
          <cell r="AJ510" t="str">
            <v>6DPU2MKPB003LNXT7Y</v>
          </cell>
        </row>
        <row r="511">
          <cell r="K511">
            <v>0.89590000000000003</v>
          </cell>
          <cell r="L511">
            <v>26.349999999999998</v>
          </cell>
          <cell r="AJ511" t="str">
            <v>8IC45Q9KB005BFCNYU</v>
          </cell>
        </row>
        <row r="512">
          <cell r="K512">
            <v>0.99551999999999996</v>
          </cell>
          <cell r="L512">
            <v>29.28</v>
          </cell>
          <cell r="AJ512" t="str">
            <v>5HGHPU5OB07W5JHF5D</v>
          </cell>
        </row>
        <row r="513">
          <cell r="K513">
            <v>4.1082200000000002</v>
          </cell>
          <cell r="L513">
            <v>120.83</v>
          </cell>
          <cell r="AJ513" t="str">
            <v>8CRK8PGRB07W5JKB8Z</v>
          </cell>
        </row>
        <row r="514">
          <cell r="K514">
            <v>0.27879999999999999</v>
          </cell>
          <cell r="L514">
            <v>8.1999999999999993</v>
          </cell>
          <cell r="AJ514" t="str">
            <v>2WFUPSOGB00BT8QIJ4</v>
          </cell>
        </row>
        <row r="515">
          <cell r="K515">
            <v>4.1082200000000002</v>
          </cell>
          <cell r="L515">
            <v>120.83</v>
          </cell>
          <cell r="AJ515" t="str">
            <v>8CRK8PGRB07W5JKB8Z</v>
          </cell>
        </row>
        <row r="516">
          <cell r="K516">
            <v>0.29852000000000001</v>
          </cell>
          <cell r="L516">
            <v>8.7800000000000011</v>
          </cell>
          <cell r="AJ516" t="str">
            <v>6D1HFTMSB07W4DH9CW</v>
          </cell>
        </row>
        <row r="517">
          <cell r="K517">
            <v>1.4348000000000001</v>
          </cell>
          <cell r="L517">
            <v>42.2</v>
          </cell>
          <cell r="AJ517" t="str">
            <v>5IZH76JAB07W6GVS5C</v>
          </cell>
        </row>
      </sheetData>
      <sheetData sheetId="6"/>
      <sheetData sheetId="7"/>
      <sheetData sheetId="8">
        <row r="1">
          <cell r="A1" t="str">
            <v>Concat</v>
          </cell>
          <cell r="B1" t="str">
            <v>Fiscal Period</v>
          </cell>
          <cell r="C1" t="str">
            <v>Operating Unit Name</v>
          </cell>
          <cell r="D1" t="str">
            <v>Customer Number</v>
          </cell>
          <cell r="E1" t="str">
            <v>Customer</v>
          </cell>
          <cell r="F1" t="str">
            <v>Purchase Order</v>
          </cell>
          <cell r="G1" t="str">
            <v>Customer Sku Number</v>
          </cell>
          <cell r="H1" t="str">
            <v>Item$SV$Logi System Items</v>
          </cell>
          <cell r="I1" t="str">
            <v>Batch Source</v>
          </cell>
          <cell r="J1" t="str">
            <v>Transaction Number</v>
          </cell>
          <cell r="K1" t="str">
            <v>Transaction Date</v>
          </cell>
          <cell r="L1" t="str">
            <v>Transaction Line Number</v>
          </cell>
          <cell r="M1" t="str">
            <v>Currency Code</v>
          </cell>
          <cell r="N1" t="str">
            <v>Transaction Line Amount</v>
          </cell>
          <cell r="O1" t="str">
            <v>Unit Selling Price</v>
          </cell>
          <cell r="P1" t="str">
            <v>Quantity Ordered</v>
          </cell>
          <cell r="Q1" t="str">
            <v>Quantity Invoiced</v>
          </cell>
          <cell r="R1" t="str">
            <v>Quantity Credited</v>
          </cell>
        </row>
        <row r="2">
          <cell r="A2" t="str">
            <v>11CZAECYB003V4A5UW</v>
          </cell>
          <cell r="B2" t="str">
            <v>Q1-23</v>
          </cell>
          <cell r="C2" t="str">
            <v>Europe Operations OU</v>
          </cell>
          <cell r="D2">
            <v>2674345</v>
          </cell>
          <cell r="E2" t="str">
            <v>Amazon EU SARL, succursale Italiana</v>
          </cell>
          <cell r="F2" t="str">
            <v>11CZAECY</v>
          </cell>
          <cell r="G2" t="str">
            <v>B003V4A5UW</v>
          </cell>
          <cell r="H2" t="str">
            <v>920-002539</v>
          </cell>
          <cell r="I2" t="str">
            <v>OE INVOICES</v>
          </cell>
          <cell r="J2">
            <v>44421973850</v>
          </cell>
          <cell r="K2">
            <v>44699</v>
          </cell>
          <cell r="L2">
            <v>1</v>
          </cell>
          <cell r="M2" t="str">
            <v>EUR</v>
          </cell>
          <cell r="N2">
            <v>146.4</v>
          </cell>
          <cell r="O2">
            <v>14.64</v>
          </cell>
          <cell r="P2">
            <v>10</v>
          </cell>
          <cell r="Q2">
            <v>10</v>
          </cell>
          <cell r="R2">
            <v>0</v>
          </cell>
        </row>
        <row r="3">
          <cell r="A3" t="str">
            <v>11CZAECYB004LAWLPW</v>
          </cell>
          <cell r="B3" t="str">
            <v>Q1-23</v>
          </cell>
          <cell r="C3" t="str">
            <v>Europe Operations OU</v>
          </cell>
          <cell r="D3">
            <v>2674345</v>
          </cell>
          <cell r="E3" t="str">
            <v>Amazon EU SARL, succursale Italiana</v>
          </cell>
          <cell r="F3" t="str">
            <v>11CZAECY</v>
          </cell>
          <cell r="G3" t="str">
            <v>B004LAWLPW</v>
          </cell>
          <cell r="H3" t="str">
            <v>920-002479</v>
          </cell>
          <cell r="I3" t="str">
            <v>OE INVOICES</v>
          </cell>
          <cell r="J3">
            <v>44421973850</v>
          </cell>
          <cell r="K3">
            <v>44699</v>
          </cell>
          <cell r="L3">
            <v>2</v>
          </cell>
          <cell r="M3" t="str">
            <v>EUR</v>
          </cell>
          <cell r="N3">
            <v>164</v>
          </cell>
          <cell r="O3">
            <v>8.1999999999999993</v>
          </cell>
          <cell r="P3">
            <v>20</v>
          </cell>
          <cell r="Q3">
            <v>20</v>
          </cell>
          <cell r="R3">
            <v>0</v>
          </cell>
        </row>
        <row r="4">
          <cell r="A4" t="str">
            <v>11CZAECYB01MCXJWD1</v>
          </cell>
          <cell r="B4" t="str">
            <v>Q1-23</v>
          </cell>
          <cell r="C4" t="str">
            <v>Europe Operations OU</v>
          </cell>
          <cell r="D4">
            <v>2674345</v>
          </cell>
          <cell r="E4" t="str">
            <v>Amazon EU SARL, succursale Italiana</v>
          </cell>
          <cell r="F4" t="str">
            <v>11CZAECY</v>
          </cell>
          <cell r="G4" t="str">
            <v>B01MCXJWD1</v>
          </cell>
          <cell r="H4" t="str">
            <v>945-000004</v>
          </cell>
          <cell r="I4" t="str">
            <v>OE INVOICES</v>
          </cell>
          <cell r="J4">
            <v>44421973850</v>
          </cell>
          <cell r="K4">
            <v>44699</v>
          </cell>
          <cell r="L4">
            <v>3</v>
          </cell>
          <cell r="M4" t="str">
            <v>EUR</v>
          </cell>
          <cell r="N4">
            <v>167.78</v>
          </cell>
          <cell r="O4">
            <v>83.89</v>
          </cell>
          <cell r="P4">
            <v>2</v>
          </cell>
          <cell r="Q4">
            <v>2</v>
          </cell>
          <cell r="R4">
            <v>0</v>
          </cell>
        </row>
        <row r="5">
          <cell r="A5" t="str">
            <v>11CZAECYB01MQ0N57Q</v>
          </cell>
          <cell r="B5" t="str">
            <v>Q1-23</v>
          </cell>
          <cell r="C5" t="str">
            <v>Europe Operations OU</v>
          </cell>
          <cell r="D5">
            <v>2674345</v>
          </cell>
          <cell r="E5" t="str">
            <v>Amazon EU SARL, succursale Italiana</v>
          </cell>
          <cell r="F5" t="str">
            <v>11CZAECY</v>
          </cell>
          <cell r="G5" t="str">
            <v>B01MQ0N57Q</v>
          </cell>
          <cell r="H5" t="str">
            <v>945-000005</v>
          </cell>
          <cell r="I5" t="str">
            <v>OE INVOICES</v>
          </cell>
          <cell r="J5">
            <v>44421973850</v>
          </cell>
          <cell r="K5">
            <v>44699</v>
          </cell>
          <cell r="L5">
            <v>4</v>
          </cell>
          <cell r="M5" t="str">
            <v>EUR</v>
          </cell>
          <cell r="N5">
            <v>471.72</v>
          </cell>
          <cell r="O5">
            <v>78.62</v>
          </cell>
          <cell r="P5">
            <v>6</v>
          </cell>
          <cell r="Q5">
            <v>6</v>
          </cell>
          <cell r="R5">
            <v>0</v>
          </cell>
        </row>
        <row r="6">
          <cell r="A6" t="str">
            <v>11CZAECYB073399S1L</v>
          </cell>
          <cell r="B6" t="str">
            <v>Q1-23</v>
          </cell>
          <cell r="C6" t="str">
            <v>Europe Operations OU</v>
          </cell>
          <cell r="D6">
            <v>2674345</v>
          </cell>
          <cell r="E6" t="str">
            <v>Amazon EU SARL, succursale Italiana</v>
          </cell>
          <cell r="F6" t="str">
            <v>11CZAECY</v>
          </cell>
          <cell r="G6" t="str">
            <v>B073399S1L</v>
          </cell>
          <cell r="H6" t="str">
            <v>943-000110</v>
          </cell>
          <cell r="I6" t="str">
            <v>OE INVOICES</v>
          </cell>
          <cell r="J6">
            <v>44421973850</v>
          </cell>
          <cell r="K6">
            <v>44699</v>
          </cell>
          <cell r="L6">
            <v>5</v>
          </cell>
          <cell r="M6" t="str">
            <v>EUR</v>
          </cell>
          <cell r="N6">
            <v>2722.4</v>
          </cell>
          <cell r="O6">
            <v>68.06</v>
          </cell>
          <cell r="P6">
            <v>40</v>
          </cell>
          <cell r="Q6">
            <v>40</v>
          </cell>
          <cell r="R6">
            <v>0</v>
          </cell>
        </row>
        <row r="7">
          <cell r="A7" t="str">
            <v>11CZAECYB076K126YZ</v>
          </cell>
          <cell r="B7" t="str">
            <v>Q1-23</v>
          </cell>
          <cell r="C7" t="str">
            <v>Europe Operations OU</v>
          </cell>
          <cell r="D7">
            <v>2674345</v>
          </cell>
          <cell r="E7" t="str">
            <v>Amazon EU SARL, succursale Italiana</v>
          </cell>
          <cell r="F7" t="str">
            <v>11CZAECY</v>
          </cell>
          <cell r="G7" t="str">
            <v>B076K126YZ</v>
          </cell>
          <cell r="H7" t="str">
            <v>955-000008</v>
          </cell>
          <cell r="I7" t="str">
            <v>OE INVOICES</v>
          </cell>
          <cell r="J7">
            <v>44421973850</v>
          </cell>
          <cell r="K7">
            <v>44699</v>
          </cell>
          <cell r="L7">
            <v>6</v>
          </cell>
          <cell r="M7" t="str">
            <v>EUR</v>
          </cell>
          <cell r="N7">
            <v>382.98</v>
          </cell>
          <cell r="O7">
            <v>63.83</v>
          </cell>
          <cell r="P7">
            <v>6</v>
          </cell>
          <cell r="Q7">
            <v>6</v>
          </cell>
          <cell r="R7">
            <v>0</v>
          </cell>
        </row>
        <row r="8">
          <cell r="A8" t="str">
            <v>11CZAECYB078MLBGRM</v>
          </cell>
          <cell r="B8" t="str">
            <v>Q1-23</v>
          </cell>
          <cell r="C8" t="str">
            <v>Europe Operations OU</v>
          </cell>
          <cell r="D8">
            <v>2674345</v>
          </cell>
          <cell r="E8" t="str">
            <v>Amazon EU SARL, succursale Italiana</v>
          </cell>
          <cell r="F8" t="str">
            <v>11CZAECY</v>
          </cell>
          <cell r="G8" t="str">
            <v>B078MLBGRM</v>
          </cell>
          <cell r="H8" t="str">
            <v>989-000899</v>
          </cell>
          <cell r="I8" t="str">
            <v>OE INVOICES</v>
          </cell>
          <cell r="J8">
            <v>44421973850</v>
          </cell>
          <cell r="K8">
            <v>44699</v>
          </cell>
          <cell r="L8">
            <v>7</v>
          </cell>
          <cell r="M8" t="str">
            <v>EUR</v>
          </cell>
          <cell r="N8">
            <v>719.36</v>
          </cell>
          <cell r="O8">
            <v>89.92</v>
          </cell>
          <cell r="P8">
            <v>8</v>
          </cell>
          <cell r="Q8">
            <v>8</v>
          </cell>
          <cell r="R8">
            <v>0</v>
          </cell>
        </row>
        <row r="9">
          <cell r="A9" t="str">
            <v>11CZAECYB07JGCM9QM</v>
          </cell>
          <cell r="B9" t="str">
            <v>Q1-23</v>
          </cell>
          <cell r="C9" t="str">
            <v>Europe Operations OU</v>
          </cell>
          <cell r="D9">
            <v>2674345</v>
          </cell>
          <cell r="E9" t="str">
            <v>Amazon EU SARL, succursale Italiana</v>
          </cell>
          <cell r="F9" t="str">
            <v>11CZAECY</v>
          </cell>
          <cell r="G9" t="str">
            <v>B07JGCM9QM</v>
          </cell>
          <cell r="H9" t="str">
            <v>945-000062</v>
          </cell>
          <cell r="I9" t="str">
            <v>OE INVOICES</v>
          </cell>
          <cell r="J9">
            <v>44421973850</v>
          </cell>
          <cell r="K9">
            <v>44699</v>
          </cell>
          <cell r="L9">
            <v>8</v>
          </cell>
          <cell r="M9" t="str">
            <v>EUR</v>
          </cell>
          <cell r="N9">
            <v>1324.89</v>
          </cell>
          <cell r="O9">
            <v>147.21</v>
          </cell>
          <cell r="P9">
            <v>9</v>
          </cell>
          <cell r="Q9">
            <v>9</v>
          </cell>
          <cell r="R9">
            <v>0</v>
          </cell>
        </row>
        <row r="10">
          <cell r="A10" t="str">
            <v>135JM91XB0056I3IDW</v>
          </cell>
          <cell r="B10" t="str">
            <v>Q1-23</v>
          </cell>
          <cell r="C10" t="str">
            <v>Europe Operations OU</v>
          </cell>
          <cell r="D10">
            <v>2674345</v>
          </cell>
          <cell r="E10" t="str">
            <v>Amazon EU SARL, succursale Italiana</v>
          </cell>
          <cell r="F10" t="str">
            <v>135JM91X</v>
          </cell>
          <cell r="G10" t="str">
            <v>B0056I3IDW</v>
          </cell>
          <cell r="H10" t="str">
            <v>910-002237</v>
          </cell>
          <cell r="I10" t="str">
            <v>OE INVOICES</v>
          </cell>
          <cell r="J10">
            <v>44421955098</v>
          </cell>
          <cell r="K10">
            <v>44677</v>
          </cell>
          <cell r="L10">
            <v>1</v>
          </cell>
          <cell r="M10" t="str">
            <v>EUR</v>
          </cell>
          <cell r="N10">
            <v>99.5</v>
          </cell>
          <cell r="O10">
            <v>9.9499999999999993</v>
          </cell>
          <cell r="P10">
            <v>10</v>
          </cell>
          <cell r="Q10">
            <v>10</v>
          </cell>
          <cell r="R10">
            <v>0</v>
          </cell>
        </row>
        <row r="11">
          <cell r="A11" t="str">
            <v>135JM91XB00745IE1Q</v>
          </cell>
          <cell r="B11" t="str">
            <v>Q1-23</v>
          </cell>
          <cell r="C11" t="str">
            <v>Europe Operations OU</v>
          </cell>
          <cell r="D11">
            <v>2674345</v>
          </cell>
          <cell r="E11" t="str">
            <v>Amazon EU SARL, succursale Italiana</v>
          </cell>
          <cell r="F11" t="str">
            <v>135JM91X</v>
          </cell>
          <cell r="G11" t="str">
            <v>B00745IE1Q</v>
          </cell>
          <cell r="H11" t="str">
            <v>910-002731</v>
          </cell>
          <cell r="I11" t="str">
            <v>OE INVOICES</v>
          </cell>
          <cell r="J11">
            <v>44421955098</v>
          </cell>
          <cell r="K11">
            <v>44677</v>
          </cell>
          <cell r="L11">
            <v>2</v>
          </cell>
          <cell r="M11" t="str">
            <v>EUR</v>
          </cell>
          <cell r="N11">
            <v>187.36</v>
          </cell>
          <cell r="O11">
            <v>11.71</v>
          </cell>
          <cell r="P11">
            <v>16</v>
          </cell>
          <cell r="Q11">
            <v>16</v>
          </cell>
          <cell r="R11">
            <v>0</v>
          </cell>
        </row>
        <row r="12">
          <cell r="A12" t="str">
            <v>135JM91XB00IRCDT7Y</v>
          </cell>
          <cell r="B12" t="str">
            <v>Q1-23</v>
          </cell>
          <cell r="C12" t="str">
            <v>Europe Operations OU</v>
          </cell>
          <cell r="D12">
            <v>2674345</v>
          </cell>
          <cell r="E12" t="str">
            <v>Amazon EU SARL, succursale Italiana</v>
          </cell>
          <cell r="F12" t="str">
            <v>135JM91X</v>
          </cell>
          <cell r="G12" t="str">
            <v>B00IRCDT7Y</v>
          </cell>
          <cell r="H12" t="str">
            <v>980-000912</v>
          </cell>
          <cell r="I12" t="str">
            <v>OE INVOICES</v>
          </cell>
          <cell r="J12">
            <v>44421958339</v>
          </cell>
          <cell r="K12">
            <v>44684</v>
          </cell>
          <cell r="L12">
            <v>1</v>
          </cell>
          <cell r="M12" t="str">
            <v>EUR</v>
          </cell>
          <cell r="N12">
            <v>468.48</v>
          </cell>
          <cell r="O12">
            <v>29.28</v>
          </cell>
          <cell r="P12">
            <v>16</v>
          </cell>
          <cell r="Q12">
            <v>16</v>
          </cell>
          <cell r="R12">
            <v>0</v>
          </cell>
        </row>
        <row r="13">
          <cell r="A13" t="str">
            <v>135JM91XB00U77CYLE</v>
          </cell>
          <cell r="B13" t="str">
            <v>Q1-23</v>
          </cell>
          <cell r="C13" t="str">
            <v>Europe Operations OU</v>
          </cell>
          <cell r="D13">
            <v>2674345</v>
          </cell>
          <cell r="E13" t="str">
            <v>Amazon EU SARL, succursale Italiana</v>
          </cell>
          <cell r="F13" t="str">
            <v>135JM91X</v>
          </cell>
          <cell r="G13" t="str">
            <v>B00U77CYLE</v>
          </cell>
          <cell r="H13" t="str">
            <v>960-001034</v>
          </cell>
          <cell r="I13" t="str">
            <v>OE INVOICES</v>
          </cell>
          <cell r="J13">
            <v>44421955098</v>
          </cell>
          <cell r="K13">
            <v>44677</v>
          </cell>
          <cell r="L13">
            <v>3</v>
          </cell>
          <cell r="M13" t="str">
            <v>EUR</v>
          </cell>
          <cell r="N13">
            <v>1330.68</v>
          </cell>
          <cell r="O13">
            <v>332.67</v>
          </cell>
          <cell r="P13">
            <v>4</v>
          </cell>
          <cell r="Q13">
            <v>4</v>
          </cell>
          <cell r="R13">
            <v>0</v>
          </cell>
        </row>
        <row r="14">
          <cell r="A14" t="str">
            <v>135JM91XB00VHHWNMI</v>
          </cell>
          <cell r="B14" t="str">
            <v>Q1-23</v>
          </cell>
          <cell r="C14" t="str">
            <v>Europe Operations OU</v>
          </cell>
          <cell r="D14">
            <v>2674345</v>
          </cell>
          <cell r="E14" t="str">
            <v>Amazon EU SARL, succursale Italiana</v>
          </cell>
          <cell r="F14" t="str">
            <v>135JM91X</v>
          </cell>
          <cell r="G14" t="str">
            <v>B00VHHWNMI</v>
          </cell>
          <cell r="H14" t="str">
            <v>920-007127</v>
          </cell>
          <cell r="I14" t="str">
            <v>OE INVOICES</v>
          </cell>
          <cell r="J14">
            <v>44421955098</v>
          </cell>
          <cell r="K14">
            <v>44677</v>
          </cell>
          <cell r="L14">
            <v>4</v>
          </cell>
          <cell r="M14" t="str">
            <v>EUR</v>
          </cell>
          <cell r="N14">
            <v>292.8</v>
          </cell>
          <cell r="O14">
            <v>29.28</v>
          </cell>
          <cell r="P14">
            <v>10</v>
          </cell>
          <cell r="Q14">
            <v>10</v>
          </cell>
          <cell r="R14">
            <v>0</v>
          </cell>
        </row>
        <row r="15">
          <cell r="A15" t="str">
            <v>135JM91XB00Y0G2L9I</v>
          </cell>
          <cell r="B15" t="str">
            <v>Q1-23</v>
          </cell>
          <cell r="C15" t="str">
            <v>Europe Operations OU</v>
          </cell>
          <cell r="D15">
            <v>2674345</v>
          </cell>
          <cell r="E15" t="str">
            <v>Amazon EU SARL, succursale Italiana</v>
          </cell>
          <cell r="F15" t="str">
            <v>135JM91X</v>
          </cell>
          <cell r="G15" t="str">
            <v>B00Y0G2L9I</v>
          </cell>
          <cell r="H15" t="str">
            <v>920-007135</v>
          </cell>
          <cell r="I15" t="str">
            <v>OE INVOICES</v>
          </cell>
          <cell r="J15">
            <v>44421955098</v>
          </cell>
          <cell r="K15">
            <v>44677</v>
          </cell>
          <cell r="L15">
            <v>5</v>
          </cell>
          <cell r="M15" t="str">
            <v>EUR</v>
          </cell>
          <cell r="N15">
            <v>878.4</v>
          </cell>
          <cell r="O15">
            <v>29.28</v>
          </cell>
          <cell r="P15">
            <v>30</v>
          </cell>
          <cell r="Q15">
            <v>30</v>
          </cell>
          <cell r="R15">
            <v>0</v>
          </cell>
        </row>
        <row r="16">
          <cell r="A16" t="str">
            <v>135JM91XB00Y0PP7B8</v>
          </cell>
          <cell r="B16" t="str">
            <v>Q1-23</v>
          </cell>
          <cell r="C16" t="str">
            <v>Europe Operations OU</v>
          </cell>
          <cell r="D16">
            <v>2674345</v>
          </cell>
          <cell r="E16" t="str">
            <v>Amazon EU SARL, succursale Italiana</v>
          </cell>
          <cell r="F16" t="str">
            <v>135JM91X</v>
          </cell>
          <cell r="G16" t="str">
            <v>B00Y0PP7B8</v>
          </cell>
          <cell r="H16" t="str">
            <v>920-007129</v>
          </cell>
          <cell r="I16" t="str">
            <v>OE INVOICES</v>
          </cell>
          <cell r="J16">
            <v>44421955098</v>
          </cell>
          <cell r="K16">
            <v>44677</v>
          </cell>
          <cell r="L16">
            <v>6</v>
          </cell>
          <cell r="M16" t="str">
            <v>EUR</v>
          </cell>
          <cell r="N16">
            <v>1464</v>
          </cell>
          <cell r="O16">
            <v>29.28</v>
          </cell>
          <cell r="P16">
            <v>50</v>
          </cell>
          <cell r="Q16">
            <v>50</v>
          </cell>
          <cell r="R16">
            <v>0</v>
          </cell>
        </row>
        <row r="17">
          <cell r="A17" t="str">
            <v>135JM91XB00YR92VMA</v>
          </cell>
          <cell r="B17" t="str">
            <v>Q1-23</v>
          </cell>
          <cell r="C17" t="str">
            <v>Europe Operations OU</v>
          </cell>
          <cell r="D17">
            <v>2674345</v>
          </cell>
          <cell r="E17" t="str">
            <v>Amazon EU SARL, succursale Italiana</v>
          </cell>
          <cell r="F17" t="str">
            <v>135JM91X</v>
          </cell>
          <cell r="G17" t="str">
            <v>B00YR92VMA</v>
          </cell>
          <cell r="H17" t="str">
            <v>980-001201</v>
          </cell>
          <cell r="I17" t="str">
            <v>OE INVOICES</v>
          </cell>
          <cell r="J17">
            <v>44421955098</v>
          </cell>
          <cell r="K17">
            <v>44677</v>
          </cell>
          <cell r="L17">
            <v>7</v>
          </cell>
          <cell r="M17" t="str">
            <v>EUR</v>
          </cell>
          <cell r="N17">
            <v>655.9</v>
          </cell>
          <cell r="O17">
            <v>46.85</v>
          </cell>
          <cell r="P17">
            <v>14</v>
          </cell>
          <cell r="Q17">
            <v>14</v>
          </cell>
          <cell r="R17">
            <v>0</v>
          </cell>
        </row>
        <row r="18">
          <cell r="A18" t="str">
            <v>135JM91XB0100055LI</v>
          </cell>
          <cell r="B18" t="str">
            <v>Q1-23</v>
          </cell>
          <cell r="C18" t="str">
            <v>Europe Operations OU</v>
          </cell>
          <cell r="D18">
            <v>2674345</v>
          </cell>
          <cell r="E18" t="str">
            <v>Amazon EU SARL, succursale Italiana</v>
          </cell>
          <cell r="F18" t="str">
            <v>135JM91X</v>
          </cell>
          <cell r="G18" t="str">
            <v>B0100055LI</v>
          </cell>
          <cell r="H18" t="str">
            <v>980-001054</v>
          </cell>
          <cell r="I18" t="str">
            <v>OE INVOICES</v>
          </cell>
          <cell r="J18">
            <v>44421958339</v>
          </cell>
          <cell r="K18">
            <v>44684</v>
          </cell>
          <cell r="L18">
            <v>2</v>
          </cell>
          <cell r="M18" t="str">
            <v>EUR</v>
          </cell>
          <cell r="N18">
            <v>1827.12</v>
          </cell>
          <cell r="O18">
            <v>76.13</v>
          </cell>
          <cell r="P18">
            <v>24</v>
          </cell>
          <cell r="Q18">
            <v>24</v>
          </cell>
          <cell r="R18">
            <v>0</v>
          </cell>
        </row>
        <row r="19">
          <cell r="A19" t="str">
            <v>135JM91XB013SL1YXO</v>
          </cell>
          <cell r="B19" t="str">
            <v>Q1-23</v>
          </cell>
          <cell r="C19" t="str">
            <v>Europe Operations OU</v>
          </cell>
          <cell r="D19">
            <v>2674345</v>
          </cell>
          <cell r="E19" t="str">
            <v>Amazon EU SARL, succursale Italiana</v>
          </cell>
          <cell r="F19" t="str">
            <v>135JM91X</v>
          </cell>
          <cell r="G19" t="str">
            <v>B013SL1YXO</v>
          </cell>
          <cell r="H19" t="str">
            <v>920-007580</v>
          </cell>
          <cell r="I19" t="str">
            <v>OE INVOICES</v>
          </cell>
          <cell r="J19">
            <v>44421954715</v>
          </cell>
          <cell r="K19">
            <v>44677</v>
          </cell>
          <cell r="L19">
            <v>1</v>
          </cell>
          <cell r="M19" t="str">
            <v>EUR</v>
          </cell>
          <cell r="N19">
            <v>468.48</v>
          </cell>
          <cell r="O19">
            <v>29.28</v>
          </cell>
          <cell r="P19">
            <v>16</v>
          </cell>
          <cell r="Q19">
            <v>16</v>
          </cell>
          <cell r="R19">
            <v>0</v>
          </cell>
        </row>
        <row r="20">
          <cell r="A20" t="str">
            <v>135JM91XB013SL2050</v>
          </cell>
          <cell r="B20" t="str">
            <v>Q1-23</v>
          </cell>
          <cell r="C20" t="str">
            <v>Europe Operations OU</v>
          </cell>
          <cell r="D20">
            <v>2674345</v>
          </cell>
          <cell r="E20" t="str">
            <v>Amazon EU SARL, succursale Italiana</v>
          </cell>
          <cell r="F20" t="str">
            <v>135JM91X</v>
          </cell>
          <cell r="G20" t="str">
            <v>B013SL2050</v>
          </cell>
          <cell r="H20" t="str">
            <v>920-007574</v>
          </cell>
          <cell r="I20" t="str">
            <v>OE INVOICES</v>
          </cell>
          <cell r="J20">
            <v>44421955098</v>
          </cell>
          <cell r="K20">
            <v>44677</v>
          </cell>
          <cell r="L20">
            <v>8</v>
          </cell>
          <cell r="M20" t="str">
            <v>EUR</v>
          </cell>
          <cell r="N20">
            <v>234.24</v>
          </cell>
          <cell r="O20">
            <v>29.28</v>
          </cell>
          <cell r="P20">
            <v>8</v>
          </cell>
          <cell r="Q20">
            <v>8</v>
          </cell>
          <cell r="R20">
            <v>0</v>
          </cell>
        </row>
        <row r="21">
          <cell r="A21" t="str">
            <v>135JM91XB013SL26LS</v>
          </cell>
          <cell r="B21" t="str">
            <v>Q1-23</v>
          </cell>
          <cell r="C21" t="str">
            <v>Europe Operations OU</v>
          </cell>
          <cell r="D21">
            <v>2674345</v>
          </cell>
          <cell r="E21" t="str">
            <v>Amazon EU SARL, succursale Italiana</v>
          </cell>
          <cell r="F21" t="str">
            <v>135JM91X</v>
          </cell>
          <cell r="G21" t="str">
            <v>B013SL26LS</v>
          </cell>
          <cell r="H21" t="str">
            <v>920-007575</v>
          </cell>
          <cell r="I21" t="str">
            <v>OE INVOICES</v>
          </cell>
          <cell r="J21">
            <v>44421955098</v>
          </cell>
          <cell r="K21">
            <v>44677</v>
          </cell>
          <cell r="L21">
            <v>9</v>
          </cell>
          <cell r="M21" t="str">
            <v>EUR</v>
          </cell>
          <cell r="N21">
            <v>234.24</v>
          </cell>
          <cell r="O21">
            <v>29.28</v>
          </cell>
          <cell r="P21">
            <v>8</v>
          </cell>
          <cell r="Q21">
            <v>8</v>
          </cell>
          <cell r="R21">
            <v>0</v>
          </cell>
        </row>
        <row r="22">
          <cell r="A22" t="str">
            <v>135JM91XB01A9GXEOI</v>
          </cell>
          <cell r="B22" t="str">
            <v>Q1-23</v>
          </cell>
          <cell r="C22" t="str">
            <v>Europe Operations OU</v>
          </cell>
          <cell r="D22">
            <v>2674345</v>
          </cell>
          <cell r="E22" t="str">
            <v>Amazon EU SARL, succursale Italiana</v>
          </cell>
          <cell r="F22" t="str">
            <v>135JM91X</v>
          </cell>
          <cell r="G22" t="str">
            <v>B01A9GXEOI</v>
          </cell>
          <cell r="H22" t="str">
            <v>910-004424</v>
          </cell>
          <cell r="I22" t="str">
            <v>OE INVOICES</v>
          </cell>
          <cell r="J22">
            <v>44421954715</v>
          </cell>
          <cell r="K22">
            <v>44677</v>
          </cell>
          <cell r="L22">
            <v>2</v>
          </cell>
          <cell r="M22" t="str">
            <v>EUR</v>
          </cell>
          <cell r="N22">
            <v>702.4</v>
          </cell>
          <cell r="O22">
            <v>8.7799999999999994</v>
          </cell>
          <cell r="P22">
            <v>80</v>
          </cell>
          <cell r="Q22">
            <v>80</v>
          </cell>
          <cell r="R22">
            <v>0</v>
          </cell>
        </row>
        <row r="23">
          <cell r="A23" t="str">
            <v>135JM91XB01K7GEFWK</v>
          </cell>
          <cell r="B23" t="str">
            <v>Q1-23</v>
          </cell>
          <cell r="C23" t="str">
            <v>Europe Operations OU</v>
          </cell>
          <cell r="D23">
            <v>2674345</v>
          </cell>
          <cell r="E23" t="str">
            <v>Amazon EU SARL, succursale Italiana</v>
          </cell>
          <cell r="F23" t="str">
            <v>135JM91X</v>
          </cell>
          <cell r="G23" t="str">
            <v>B01K7GEFWK</v>
          </cell>
          <cell r="H23" t="str">
            <v>910-004880</v>
          </cell>
          <cell r="I23" t="str">
            <v>OE INVOICES</v>
          </cell>
          <cell r="J23">
            <v>44421955098</v>
          </cell>
          <cell r="K23">
            <v>44677</v>
          </cell>
          <cell r="L23">
            <v>10</v>
          </cell>
          <cell r="M23" t="str">
            <v>EUR</v>
          </cell>
          <cell r="N23">
            <v>292.8</v>
          </cell>
          <cell r="O23">
            <v>14.64</v>
          </cell>
          <cell r="P23">
            <v>20</v>
          </cell>
          <cell r="Q23">
            <v>20</v>
          </cell>
          <cell r="R23">
            <v>0</v>
          </cell>
        </row>
        <row r="24">
          <cell r="A24" t="str">
            <v>135JM91XB01K7GEG9W</v>
          </cell>
          <cell r="B24" t="str">
            <v>Q1-23</v>
          </cell>
          <cell r="C24" t="str">
            <v>Europe Operations OU</v>
          </cell>
          <cell r="D24">
            <v>2674345</v>
          </cell>
          <cell r="E24" t="str">
            <v>Amazon EU SARL, succursale Italiana</v>
          </cell>
          <cell r="F24" t="str">
            <v>135JM91X</v>
          </cell>
          <cell r="G24" t="str">
            <v>B01K7GEG9W</v>
          </cell>
          <cell r="H24" t="str">
            <v>910-004878</v>
          </cell>
          <cell r="I24" t="str">
            <v>OE INVOICES</v>
          </cell>
          <cell r="J24">
            <v>44421955098</v>
          </cell>
          <cell r="K24">
            <v>44677</v>
          </cell>
          <cell r="L24">
            <v>11</v>
          </cell>
          <cell r="M24" t="str">
            <v>EUR</v>
          </cell>
          <cell r="N24">
            <v>8930.4</v>
          </cell>
          <cell r="O24">
            <v>14.64</v>
          </cell>
          <cell r="P24">
            <v>610</v>
          </cell>
          <cell r="Q24">
            <v>610</v>
          </cell>
          <cell r="R24">
            <v>0</v>
          </cell>
        </row>
        <row r="25">
          <cell r="A25" t="str">
            <v>135JM91XB01N5NYRES</v>
          </cell>
          <cell r="B25" t="str">
            <v>Q1-23</v>
          </cell>
          <cell r="C25" t="str">
            <v>Europe Operations OU</v>
          </cell>
          <cell r="D25">
            <v>2674345</v>
          </cell>
          <cell r="E25" t="str">
            <v>Amazon EU SARL, succursale Italiana</v>
          </cell>
          <cell r="F25" t="str">
            <v>135JM91X</v>
          </cell>
          <cell r="G25" t="str">
            <v>B01N5NYRES</v>
          </cell>
          <cell r="H25" t="str">
            <v>960-001106</v>
          </cell>
          <cell r="I25" t="str">
            <v>OE INVOICES</v>
          </cell>
          <cell r="J25">
            <v>44421955098</v>
          </cell>
          <cell r="K25">
            <v>44677</v>
          </cell>
          <cell r="L25">
            <v>12</v>
          </cell>
          <cell r="M25" t="str">
            <v>EUR</v>
          </cell>
          <cell r="N25">
            <v>637.32000000000005</v>
          </cell>
          <cell r="O25">
            <v>159.33000000000001</v>
          </cell>
          <cell r="P25">
            <v>4</v>
          </cell>
          <cell r="Q25">
            <v>4</v>
          </cell>
          <cell r="R25">
            <v>0</v>
          </cell>
        </row>
        <row r="26">
          <cell r="A26" t="str">
            <v>135JM91XB0748NCPN5</v>
          </cell>
          <cell r="B26" t="str">
            <v>Q1-23</v>
          </cell>
          <cell r="C26" t="str">
            <v>Europe Operations OU</v>
          </cell>
          <cell r="D26">
            <v>2674345</v>
          </cell>
          <cell r="E26" t="str">
            <v>Amazon EU SARL, succursale Italiana</v>
          </cell>
          <cell r="F26" t="str">
            <v>135JM91X</v>
          </cell>
          <cell r="G26" t="str">
            <v>B0748NCPN5</v>
          </cell>
          <cell r="H26" t="str">
            <v>960-001194</v>
          </cell>
          <cell r="I26" t="str">
            <v>OE INVOICES</v>
          </cell>
          <cell r="J26">
            <v>44421955098</v>
          </cell>
          <cell r="K26">
            <v>44677</v>
          </cell>
          <cell r="L26">
            <v>13</v>
          </cell>
          <cell r="M26" t="str">
            <v>EUR</v>
          </cell>
          <cell r="N26">
            <v>12711.6</v>
          </cell>
          <cell r="O26">
            <v>144.44999999999999</v>
          </cell>
          <cell r="P26">
            <v>88</v>
          </cell>
          <cell r="Q26">
            <v>88</v>
          </cell>
          <cell r="R26">
            <v>0</v>
          </cell>
        </row>
        <row r="27">
          <cell r="A27" t="str">
            <v>135JM91XB07GC4LRQW</v>
          </cell>
          <cell r="B27" t="str">
            <v>Q1-23</v>
          </cell>
          <cell r="C27" t="str">
            <v>Europe Operations OU</v>
          </cell>
          <cell r="D27">
            <v>2674345</v>
          </cell>
          <cell r="E27" t="str">
            <v>Amazon EU SARL, succursale Italiana</v>
          </cell>
          <cell r="F27" t="str">
            <v>135JM91X</v>
          </cell>
          <cell r="G27" t="str">
            <v>B07GC4LRQW</v>
          </cell>
          <cell r="H27" t="str">
            <v>910-005490</v>
          </cell>
          <cell r="I27" t="str">
            <v>OE INVOICES</v>
          </cell>
          <cell r="J27">
            <v>44421954715</v>
          </cell>
          <cell r="K27">
            <v>44677</v>
          </cell>
          <cell r="L27">
            <v>3</v>
          </cell>
          <cell r="M27" t="str">
            <v>EUR</v>
          </cell>
          <cell r="N27">
            <v>87.8</v>
          </cell>
          <cell r="O27">
            <v>8.7799999999999994</v>
          </cell>
          <cell r="P27">
            <v>10</v>
          </cell>
          <cell r="Q27">
            <v>10</v>
          </cell>
          <cell r="R27">
            <v>0</v>
          </cell>
        </row>
        <row r="28">
          <cell r="A28" t="str">
            <v>135JM91XB07GDYYN38</v>
          </cell>
          <cell r="B28" t="str">
            <v>Q1-23</v>
          </cell>
          <cell r="C28" t="str">
            <v>Europe Operations OU</v>
          </cell>
          <cell r="D28">
            <v>2674345</v>
          </cell>
          <cell r="E28" t="str">
            <v>Amazon EU SARL, succursale Italiana</v>
          </cell>
          <cell r="F28" t="str">
            <v>135JM91X</v>
          </cell>
          <cell r="G28" t="str">
            <v>B07GDYYN38</v>
          </cell>
          <cell r="H28" t="str">
            <v>910-005489</v>
          </cell>
          <cell r="I28" t="str">
            <v>OE INVOICES</v>
          </cell>
          <cell r="J28">
            <v>44421955098</v>
          </cell>
          <cell r="K28">
            <v>44677</v>
          </cell>
          <cell r="L28">
            <v>14</v>
          </cell>
          <cell r="M28" t="str">
            <v>EUR</v>
          </cell>
          <cell r="N28">
            <v>87.8</v>
          </cell>
          <cell r="O28">
            <v>8.7799999999999994</v>
          </cell>
          <cell r="P28">
            <v>10</v>
          </cell>
          <cell r="Q28">
            <v>10</v>
          </cell>
          <cell r="R28">
            <v>0</v>
          </cell>
        </row>
        <row r="29">
          <cell r="A29" t="str">
            <v>135JM91XB07L9FLRPD</v>
          </cell>
          <cell r="B29" t="str">
            <v>Q1-23</v>
          </cell>
          <cell r="C29" t="str">
            <v>Europe Operations OU</v>
          </cell>
          <cell r="D29">
            <v>2674345</v>
          </cell>
          <cell r="E29" t="str">
            <v>Amazon EU SARL, succursale Italiana</v>
          </cell>
          <cell r="F29" t="str">
            <v>135JM91X</v>
          </cell>
          <cell r="G29" t="str">
            <v>B07L9FLRPD</v>
          </cell>
          <cell r="H29" t="str">
            <v>910-005440</v>
          </cell>
          <cell r="I29" t="str">
            <v>OE INVOICES</v>
          </cell>
          <cell r="J29">
            <v>44421955098</v>
          </cell>
          <cell r="K29">
            <v>44677</v>
          </cell>
          <cell r="L29">
            <v>15</v>
          </cell>
          <cell r="M29" t="str">
            <v>EUR</v>
          </cell>
          <cell r="N29">
            <v>168.8</v>
          </cell>
          <cell r="O29">
            <v>42.2</v>
          </cell>
          <cell r="P29">
            <v>4</v>
          </cell>
          <cell r="Q29">
            <v>4</v>
          </cell>
          <cell r="R29">
            <v>0</v>
          </cell>
        </row>
        <row r="30">
          <cell r="A30" t="str">
            <v>135JM91XB07MTY7N22</v>
          </cell>
          <cell r="B30" t="str">
            <v>Q1-23</v>
          </cell>
          <cell r="C30" t="str">
            <v>Europe Operations OU</v>
          </cell>
          <cell r="D30">
            <v>2674345</v>
          </cell>
          <cell r="E30" t="str">
            <v>Amazon EU SARL, succursale Italiana</v>
          </cell>
          <cell r="F30" t="str">
            <v>135JM91X</v>
          </cell>
          <cell r="G30" t="str">
            <v>B07MTY7N22</v>
          </cell>
          <cell r="H30" t="str">
            <v>981-000744</v>
          </cell>
          <cell r="I30" t="str">
            <v>OE INVOICES</v>
          </cell>
          <cell r="J30">
            <v>44421955098</v>
          </cell>
          <cell r="K30">
            <v>44677</v>
          </cell>
          <cell r="L30">
            <v>16</v>
          </cell>
          <cell r="M30" t="str">
            <v>EUR</v>
          </cell>
          <cell r="N30">
            <v>7179.84</v>
          </cell>
          <cell r="O30">
            <v>99.72</v>
          </cell>
          <cell r="P30">
            <v>72</v>
          </cell>
          <cell r="Q30">
            <v>72</v>
          </cell>
          <cell r="R30">
            <v>0</v>
          </cell>
        </row>
        <row r="31">
          <cell r="A31" t="str">
            <v>135JM91XB07S9DR8QG</v>
          </cell>
          <cell r="B31" t="str">
            <v>Q1-23</v>
          </cell>
          <cell r="C31" t="str">
            <v>Europe Operations OU</v>
          </cell>
          <cell r="D31">
            <v>2674345</v>
          </cell>
          <cell r="E31" t="str">
            <v>Amazon EU SARL, succursale Italiana</v>
          </cell>
          <cell r="F31" t="str">
            <v>135JM91X</v>
          </cell>
          <cell r="G31" t="str">
            <v>B07S9DR8QG</v>
          </cell>
          <cell r="H31" t="str">
            <v>910-005641</v>
          </cell>
          <cell r="I31" t="str">
            <v>OE INVOICES</v>
          </cell>
          <cell r="J31">
            <v>44421955098</v>
          </cell>
          <cell r="K31">
            <v>44677</v>
          </cell>
          <cell r="L31">
            <v>17</v>
          </cell>
          <cell r="M31" t="str">
            <v>EUR</v>
          </cell>
          <cell r="N31">
            <v>1055.2</v>
          </cell>
          <cell r="O31">
            <v>52.76</v>
          </cell>
          <cell r="P31">
            <v>20</v>
          </cell>
          <cell r="Q31">
            <v>20</v>
          </cell>
          <cell r="R31">
            <v>0</v>
          </cell>
        </row>
        <row r="32">
          <cell r="A32" t="str">
            <v>135JM91XB07W4DGLJX</v>
          </cell>
          <cell r="B32" t="str">
            <v>Q1-23</v>
          </cell>
          <cell r="C32" t="str">
            <v>Europe Operations OU</v>
          </cell>
          <cell r="D32">
            <v>2674345</v>
          </cell>
          <cell r="E32" t="str">
            <v>Amazon EU SARL, succursale Italiana</v>
          </cell>
          <cell r="F32" t="str">
            <v>135JM91X</v>
          </cell>
          <cell r="G32" t="str">
            <v>B07W4DGLJX</v>
          </cell>
          <cell r="H32" t="str">
            <v>920-009197</v>
          </cell>
          <cell r="I32" t="str">
            <v>OE INVOICES</v>
          </cell>
          <cell r="J32">
            <v>44421955098</v>
          </cell>
          <cell r="K32">
            <v>44677</v>
          </cell>
          <cell r="L32">
            <v>18</v>
          </cell>
          <cell r="M32" t="str">
            <v>EUR</v>
          </cell>
          <cell r="N32">
            <v>6182.88</v>
          </cell>
          <cell r="O32">
            <v>35.130000000000003</v>
          </cell>
          <cell r="P32">
            <v>176</v>
          </cell>
          <cell r="Q32">
            <v>176</v>
          </cell>
          <cell r="R32">
            <v>0</v>
          </cell>
        </row>
        <row r="33">
          <cell r="A33" t="str">
            <v>135JM91XB07W4DHMXL</v>
          </cell>
          <cell r="B33" t="str">
            <v>Q1-23</v>
          </cell>
          <cell r="C33" t="str">
            <v>Europe Operations OU</v>
          </cell>
          <cell r="D33">
            <v>2674345</v>
          </cell>
          <cell r="E33" t="str">
            <v>Amazon EU SARL, succursale Italiana</v>
          </cell>
          <cell r="F33" t="str">
            <v>135JM91X</v>
          </cell>
          <cell r="G33" t="str">
            <v>B07W4DHMXL</v>
          </cell>
          <cell r="H33" t="str">
            <v>910-006053</v>
          </cell>
          <cell r="I33" t="str">
            <v>OE INVOICES</v>
          </cell>
          <cell r="J33">
            <v>44421955098</v>
          </cell>
          <cell r="K33">
            <v>44677</v>
          </cell>
          <cell r="L33">
            <v>19</v>
          </cell>
          <cell r="M33" t="str">
            <v>EUR</v>
          </cell>
          <cell r="N33">
            <v>126.6</v>
          </cell>
          <cell r="O33">
            <v>31.65</v>
          </cell>
          <cell r="P33">
            <v>4</v>
          </cell>
          <cell r="Q33">
            <v>4</v>
          </cell>
          <cell r="R33">
            <v>0</v>
          </cell>
        </row>
        <row r="34">
          <cell r="A34" t="str">
            <v>135JM91XB07W4DHQJ9</v>
          </cell>
          <cell r="B34" t="str">
            <v>Q1-23</v>
          </cell>
          <cell r="C34" t="str">
            <v>Europe Operations OU</v>
          </cell>
          <cell r="D34">
            <v>2674345</v>
          </cell>
          <cell r="E34" t="str">
            <v>Amazon EU SARL, succursale Italiana</v>
          </cell>
          <cell r="F34" t="str">
            <v>135JM91X</v>
          </cell>
          <cell r="G34" t="str">
            <v>B07W4DHQJ9</v>
          </cell>
          <cell r="H34" t="str">
            <v>910-005872</v>
          </cell>
          <cell r="I34" t="str">
            <v>OE INVOICES</v>
          </cell>
          <cell r="J34">
            <v>44421954715</v>
          </cell>
          <cell r="K34">
            <v>44677</v>
          </cell>
          <cell r="L34">
            <v>4</v>
          </cell>
          <cell r="M34" t="str">
            <v>EUR</v>
          </cell>
          <cell r="N34">
            <v>580</v>
          </cell>
          <cell r="O34">
            <v>29</v>
          </cell>
          <cell r="P34">
            <v>20</v>
          </cell>
          <cell r="Q34">
            <v>20</v>
          </cell>
          <cell r="R34">
            <v>0</v>
          </cell>
        </row>
        <row r="35">
          <cell r="A35" t="str">
            <v>135JM91XB07W5JHF5D</v>
          </cell>
          <cell r="B35" t="str">
            <v>Q1-23</v>
          </cell>
          <cell r="C35" t="str">
            <v>Europe Operations OU</v>
          </cell>
          <cell r="D35">
            <v>2674345</v>
          </cell>
          <cell r="E35" t="str">
            <v>Amazon EU SARL, succursale Italiana</v>
          </cell>
          <cell r="F35" t="str">
            <v>135JM91X</v>
          </cell>
          <cell r="G35" t="str">
            <v>B07W5JHF5D</v>
          </cell>
          <cell r="H35" t="str">
            <v>920-009866</v>
          </cell>
          <cell r="I35" t="str">
            <v>OE INVOICES</v>
          </cell>
          <cell r="J35">
            <v>44421955098</v>
          </cell>
          <cell r="K35">
            <v>44677</v>
          </cell>
          <cell r="L35">
            <v>20</v>
          </cell>
          <cell r="M35" t="str">
            <v>EUR</v>
          </cell>
          <cell r="N35">
            <v>468.48</v>
          </cell>
          <cell r="O35">
            <v>29.28</v>
          </cell>
          <cell r="P35">
            <v>16</v>
          </cell>
          <cell r="Q35">
            <v>16</v>
          </cell>
          <cell r="R35">
            <v>0</v>
          </cell>
        </row>
        <row r="36">
          <cell r="A36" t="str">
            <v>135JM91XB07W5JJR4H</v>
          </cell>
          <cell r="B36" t="str">
            <v>Q1-23</v>
          </cell>
          <cell r="C36" t="str">
            <v>Europe Operations OU</v>
          </cell>
          <cell r="D36">
            <v>2674345</v>
          </cell>
          <cell r="E36" t="str">
            <v>Amazon EU SARL, succursale Italiana</v>
          </cell>
          <cell r="F36" t="str">
            <v>135JM91X</v>
          </cell>
          <cell r="G36" t="str">
            <v>B07W5JJR4H</v>
          </cell>
          <cell r="H36" t="str">
            <v>910-006211</v>
          </cell>
          <cell r="I36" t="str">
            <v>OE INVOICES</v>
          </cell>
          <cell r="J36">
            <v>44421955098</v>
          </cell>
          <cell r="K36">
            <v>44677</v>
          </cell>
          <cell r="L36">
            <v>21</v>
          </cell>
          <cell r="M36" t="str">
            <v>EUR</v>
          </cell>
          <cell r="N36">
            <v>522</v>
          </cell>
          <cell r="O36">
            <v>52.2</v>
          </cell>
          <cell r="P36">
            <v>10</v>
          </cell>
          <cell r="Q36">
            <v>10</v>
          </cell>
          <cell r="R36">
            <v>0</v>
          </cell>
        </row>
        <row r="37">
          <cell r="A37" t="str">
            <v>135JM91XB07W5JK2S4</v>
          </cell>
          <cell r="B37" t="str">
            <v>Q1-23</v>
          </cell>
          <cell r="C37" t="str">
            <v>Europe Operations OU</v>
          </cell>
          <cell r="D37">
            <v>2674345</v>
          </cell>
          <cell r="E37" t="str">
            <v>Amazon EU SARL, succursale Italiana</v>
          </cell>
          <cell r="F37" t="str">
            <v>135JM91X</v>
          </cell>
          <cell r="G37" t="str">
            <v>B07W5JK2S4</v>
          </cell>
          <cell r="H37" t="str">
            <v>920-010812</v>
          </cell>
          <cell r="I37" t="str">
            <v>OE INVOICES</v>
          </cell>
          <cell r="J37">
            <v>44421955098</v>
          </cell>
          <cell r="K37">
            <v>44677</v>
          </cell>
          <cell r="L37">
            <v>22</v>
          </cell>
          <cell r="M37" t="str">
            <v>EUR</v>
          </cell>
          <cell r="N37">
            <v>255.24</v>
          </cell>
          <cell r="O37">
            <v>63.81</v>
          </cell>
          <cell r="P37">
            <v>4</v>
          </cell>
          <cell r="Q37">
            <v>4</v>
          </cell>
          <cell r="R37">
            <v>0</v>
          </cell>
        </row>
        <row r="38">
          <cell r="A38" t="str">
            <v>135JM91XB07W5JKB8Z</v>
          </cell>
          <cell r="B38" t="str">
            <v>Q1-23</v>
          </cell>
          <cell r="C38" t="str">
            <v>Europe Operations OU</v>
          </cell>
          <cell r="D38">
            <v>2674345</v>
          </cell>
          <cell r="E38" t="str">
            <v>Amazon EU SARL, succursale Italiana</v>
          </cell>
          <cell r="F38" t="str">
            <v>135JM91X</v>
          </cell>
          <cell r="G38" t="str">
            <v>B07W5JKB8Z</v>
          </cell>
          <cell r="H38" t="str">
            <v>981-000907</v>
          </cell>
          <cell r="I38" t="str">
            <v>OE INVOICES</v>
          </cell>
          <cell r="J38">
            <v>44421955098</v>
          </cell>
          <cell r="K38">
            <v>44677</v>
          </cell>
          <cell r="L38">
            <v>23</v>
          </cell>
          <cell r="M38" t="str">
            <v>EUR</v>
          </cell>
          <cell r="N38">
            <v>5799.84</v>
          </cell>
          <cell r="O38">
            <v>120.83</v>
          </cell>
          <cell r="P38">
            <v>48</v>
          </cell>
          <cell r="Q38">
            <v>48</v>
          </cell>
          <cell r="R38">
            <v>0</v>
          </cell>
        </row>
        <row r="39">
          <cell r="A39" t="str">
            <v>135JM91XB07W6FQ658</v>
          </cell>
          <cell r="B39" t="str">
            <v>Q1-23</v>
          </cell>
          <cell r="C39" t="str">
            <v>Europe Operations OU</v>
          </cell>
          <cell r="D39">
            <v>2674345</v>
          </cell>
          <cell r="E39" t="str">
            <v>Amazon EU SARL, succursale Italiana</v>
          </cell>
          <cell r="F39" t="str">
            <v>135JM91X</v>
          </cell>
          <cell r="G39" t="str">
            <v>B07W6FQ658</v>
          </cell>
          <cell r="H39" t="str">
            <v>981-000883</v>
          </cell>
          <cell r="I39" t="str">
            <v>OE INVOICES</v>
          </cell>
          <cell r="J39">
            <v>44421955098</v>
          </cell>
          <cell r="K39">
            <v>44677</v>
          </cell>
          <cell r="L39">
            <v>24</v>
          </cell>
          <cell r="M39" t="str">
            <v>EUR</v>
          </cell>
          <cell r="N39">
            <v>943.44</v>
          </cell>
          <cell r="O39">
            <v>78.62</v>
          </cell>
          <cell r="P39">
            <v>12</v>
          </cell>
          <cell r="Q39">
            <v>12</v>
          </cell>
          <cell r="R39">
            <v>0</v>
          </cell>
        </row>
        <row r="40">
          <cell r="A40" t="str">
            <v>135JM91XB07W6G822Y</v>
          </cell>
          <cell r="B40" t="str">
            <v>Q1-23</v>
          </cell>
          <cell r="C40" t="str">
            <v>Europe Operations OU</v>
          </cell>
          <cell r="D40">
            <v>2674345</v>
          </cell>
          <cell r="E40" t="str">
            <v>Amazon EU SARL, succursale Italiana</v>
          </cell>
          <cell r="F40" t="str">
            <v>135JM91X</v>
          </cell>
          <cell r="G40" t="str">
            <v>B07W6G822Y</v>
          </cell>
          <cell r="H40" t="str">
            <v>981-000984</v>
          </cell>
          <cell r="I40" t="str">
            <v>OE INVOICES</v>
          </cell>
          <cell r="J40">
            <v>44421955098</v>
          </cell>
          <cell r="K40">
            <v>44677</v>
          </cell>
          <cell r="L40">
            <v>25</v>
          </cell>
          <cell r="M40" t="str">
            <v>EUR</v>
          </cell>
          <cell r="N40">
            <v>791.1</v>
          </cell>
          <cell r="O40">
            <v>26.37</v>
          </cell>
          <cell r="P40">
            <v>30</v>
          </cell>
          <cell r="Q40">
            <v>30</v>
          </cell>
          <cell r="R40">
            <v>0</v>
          </cell>
        </row>
        <row r="41">
          <cell r="A41" t="str">
            <v>135JM91XB07W6GFN9S</v>
          </cell>
          <cell r="B41" t="str">
            <v>Q1-23</v>
          </cell>
          <cell r="C41" t="str">
            <v>Europe Operations OU</v>
          </cell>
          <cell r="D41">
            <v>2674345</v>
          </cell>
          <cell r="E41" t="str">
            <v>Amazon EU SARL, succursale Italiana</v>
          </cell>
          <cell r="F41" t="str">
            <v>135JM91X</v>
          </cell>
          <cell r="G41" t="str">
            <v>B07W6GFN9S</v>
          </cell>
          <cell r="H41" t="str">
            <v>910-006221</v>
          </cell>
          <cell r="I41" t="str">
            <v>OE INVOICES</v>
          </cell>
          <cell r="J41">
            <v>44421955098</v>
          </cell>
          <cell r="K41">
            <v>44677</v>
          </cell>
          <cell r="L41">
            <v>26</v>
          </cell>
          <cell r="M41" t="str">
            <v>EUR</v>
          </cell>
          <cell r="N41">
            <v>339</v>
          </cell>
          <cell r="O41">
            <v>33.9</v>
          </cell>
          <cell r="P41">
            <v>10</v>
          </cell>
          <cell r="Q41">
            <v>10</v>
          </cell>
          <cell r="R41">
            <v>0</v>
          </cell>
        </row>
        <row r="42">
          <cell r="A42" t="str">
            <v>135JM91XB07W6GW9BJ</v>
          </cell>
          <cell r="B42" t="str">
            <v>Q1-23</v>
          </cell>
          <cell r="C42" t="str">
            <v>Europe Operations OU</v>
          </cell>
          <cell r="D42">
            <v>2674345</v>
          </cell>
          <cell r="E42" t="str">
            <v>Amazon EU SARL, succursale Italiana</v>
          </cell>
          <cell r="F42" t="str">
            <v>135JM91X</v>
          </cell>
          <cell r="G42" t="str">
            <v>B07W6GW9BJ</v>
          </cell>
          <cell r="H42" t="str">
            <v>910-006022</v>
          </cell>
          <cell r="I42" t="str">
            <v>OE INVOICES</v>
          </cell>
          <cell r="J42">
            <v>44421955098</v>
          </cell>
          <cell r="K42">
            <v>44677</v>
          </cell>
          <cell r="L42">
            <v>27</v>
          </cell>
          <cell r="M42" t="str">
            <v>EUR</v>
          </cell>
          <cell r="N42">
            <v>126.6</v>
          </cell>
          <cell r="O42">
            <v>31.65</v>
          </cell>
          <cell r="P42">
            <v>4</v>
          </cell>
          <cell r="Q42">
            <v>4</v>
          </cell>
          <cell r="R42">
            <v>0</v>
          </cell>
        </row>
        <row r="43">
          <cell r="A43" t="str">
            <v>135JM91XB07W6HPP3R</v>
          </cell>
          <cell r="B43" t="str">
            <v>Q1-23</v>
          </cell>
          <cell r="C43" t="str">
            <v>Europe Operations OU</v>
          </cell>
          <cell r="D43">
            <v>2674345</v>
          </cell>
          <cell r="E43" t="str">
            <v>Amazon EU SARL, succursale Italiana</v>
          </cell>
          <cell r="F43" t="str">
            <v>135JM91X</v>
          </cell>
          <cell r="G43" t="str">
            <v>B07W6HPP3R</v>
          </cell>
          <cell r="H43" t="str">
            <v>920-010303</v>
          </cell>
          <cell r="I43" t="str">
            <v>OE INVOICES</v>
          </cell>
          <cell r="J43">
            <v>44421955098</v>
          </cell>
          <cell r="K43">
            <v>44677</v>
          </cell>
          <cell r="L43">
            <v>28</v>
          </cell>
          <cell r="M43" t="str">
            <v>EUR</v>
          </cell>
          <cell r="N43">
            <v>1856.32</v>
          </cell>
          <cell r="O43">
            <v>116.02</v>
          </cell>
          <cell r="P43">
            <v>16</v>
          </cell>
          <cell r="Q43">
            <v>16</v>
          </cell>
          <cell r="R43">
            <v>0</v>
          </cell>
        </row>
        <row r="44">
          <cell r="A44" t="str">
            <v>135JM91XB07W6J52LN</v>
          </cell>
          <cell r="B44" t="str">
            <v>Q1-23</v>
          </cell>
          <cell r="C44" t="str">
            <v>Europe Operations OU</v>
          </cell>
          <cell r="D44">
            <v>2674345</v>
          </cell>
          <cell r="E44" t="str">
            <v>Amazon EU SARL, succursale Italiana</v>
          </cell>
          <cell r="F44" t="str">
            <v>135JM91X</v>
          </cell>
          <cell r="G44" t="str">
            <v>B07W6J52LN</v>
          </cell>
          <cell r="H44" t="str">
            <v>910-006054</v>
          </cell>
          <cell r="I44" t="str">
            <v>OE INVOICES</v>
          </cell>
          <cell r="J44">
            <v>44421955098</v>
          </cell>
          <cell r="K44">
            <v>44677</v>
          </cell>
          <cell r="L44">
            <v>29</v>
          </cell>
          <cell r="M44" t="str">
            <v>EUR</v>
          </cell>
          <cell r="N44">
            <v>126.6</v>
          </cell>
          <cell r="O44">
            <v>31.65</v>
          </cell>
          <cell r="P44">
            <v>4</v>
          </cell>
          <cell r="Q44">
            <v>4</v>
          </cell>
          <cell r="R44">
            <v>0</v>
          </cell>
        </row>
        <row r="45">
          <cell r="A45" t="str">
            <v>135JM91XB07W6JDL3Z</v>
          </cell>
          <cell r="B45" t="str">
            <v>Q1-23</v>
          </cell>
          <cell r="C45" t="str">
            <v>Europe Operations OU</v>
          </cell>
          <cell r="D45">
            <v>2674345</v>
          </cell>
          <cell r="E45" t="str">
            <v>Amazon EU SARL, succursale Italiana</v>
          </cell>
          <cell r="F45" t="str">
            <v>135JM91X</v>
          </cell>
          <cell r="G45" t="str">
            <v>B07W6JDL3Z</v>
          </cell>
          <cell r="H45" t="str">
            <v>980-001348</v>
          </cell>
          <cell r="I45" t="str">
            <v>OE INVOICES</v>
          </cell>
          <cell r="J45">
            <v>44421955098</v>
          </cell>
          <cell r="K45">
            <v>44677</v>
          </cell>
          <cell r="L45">
            <v>30</v>
          </cell>
          <cell r="M45" t="str">
            <v>EUR</v>
          </cell>
          <cell r="N45">
            <v>974.54</v>
          </cell>
          <cell r="O45">
            <v>69.61</v>
          </cell>
          <cell r="P45">
            <v>14</v>
          </cell>
          <cell r="Q45">
            <v>14</v>
          </cell>
          <cell r="R45">
            <v>0</v>
          </cell>
        </row>
        <row r="46">
          <cell r="A46" t="str">
            <v>135JM91XB07W6JFPT1</v>
          </cell>
          <cell r="B46" t="str">
            <v>Q1-23</v>
          </cell>
          <cell r="C46" t="str">
            <v>Europe Operations OU</v>
          </cell>
          <cell r="D46">
            <v>2674345</v>
          </cell>
          <cell r="E46" t="str">
            <v>Amazon EU SARL, succursale Italiana</v>
          </cell>
          <cell r="F46" t="str">
            <v>135JM91X</v>
          </cell>
          <cell r="G46" t="str">
            <v>B07W6JFPT1</v>
          </cell>
          <cell r="H46" t="str">
            <v>920-009405</v>
          </cell>
          <cell r="I46" t="str">
            <v>OE INVOICES</v>
          </cell>
          <cell r="J46">
            <v>44421955098</v>
          </cell>
          <cell r="K46">
            <v>44677</v>
          </cell>
          <cell r="L46">
            <v>31</v>
          </cell>
          <cell r="M46" t="str">
            <v>EUR</v>
          </cell>
          <cell r="N46">
            <v>603.28</v>
          </cell>
          <cell r="O46">
            <v>75.41</v>
          </cell>
          <cell r="P46">
            <v>8</v>
          </cell>
          <cell r="Q46">
            <v>8</v>
          </cell>
          <cell r="R46">
            <v>0</v>
          </cell>
        </row>
        <row r="47">
          <cell r="A47" t="str">
            <v>135JM91XB07W6JG6Z7</v>
          </cell>
          <cell r="B47" t="str">
            <v>Q1-23</v>
          </cell>
          <cell r="C47" t="str">
            <v>Europe Operations OU</v>
          </cell>
          <cell r="D47">
            <v>2674345</v>
          </cell>
          <cell r="E47" t="str">
            <v>Amazon EU SARL, succursale Italiana</v>
          </cell>
          <cell r="F47" t="str">
            <v>135JM91X</v>
          </cell>
          <cell r="G47" t="str">
            <v>B07W6JG6Z7</v>
          </cell>
          <cell r="H47" t="str">
            <v>910-005694</v>
          </cell>
          <cell r="I47" t="str">
            <v>OE INVOICES</v>
          </cell>
          <cell r="J47">
            <v>44421955098</v>
          </cell>
          <cell r="K47">
            <v>44677</v>
          </cell>
          <cell r="L47">
            <v>32</v>
          </cell>
          <cell r="M47" t="str">
            <v>EUR</v>
          </cell>
          <cell r="N47">
            <v>603.28</v>
          </cell>
          <cell r="O47">
            <v>75.41</v>
          </cell>
          <cell r="P47">
            <v>8</v>
          </cell>
          <cell r="Q47">
            <v>8</v>
          </cell>
          <cell r="R47">
            <v>0</v>
          </cell>
        </row>
        <row r="48">
          <cell r="A48" t="str">
            <v>135JM91XB07W6JKKBV</v>
          </cell>
          <cell r="B48" t="str">
            <v>Q1-23</v>
          </cell>
          <cell r="C48" t="str">
            <v>Europe Operations OU</v>
          </cell>
          <cell r="D48">
            <v>2674345</v>
          </cell>
          <cell r="E48" t="str">
            <v>Amazon EU SARL, succursale Italiana</v>
          </cell>
          <cell r="F48" t="str">
            <v>135JM91X</v>
          </cell>
          <cell r="G48" t="str">
            <v>B07W6JKKBV</v>
          </cell>
          <cell r="H48" t="str">
            <v>920-010146</v>
          </cell>
          <cell r="I48" t="str">
            <v>OE INVOICES</v>
          </cell>
          <cell r="J48">
            <v>44421954715</v>
          </cell>
          <cell r="K48">
            <v>44677</v>
          </cell>
          <cell r="L48">
            <v>5</v>
          </cell>
          <cell r="M48" t="str">
            <v>EUR</v>
          </cell>
          <cell r="N48">
            <v>928.16</v>
          </cell>
          <cell r="O48">
            <v>116.02</v>
          </cell>
          <cell r="P48">
            <v>8</v>
          </cell>
          <cell r="Q48">
            <v>8</v>
          </cell>
          <cell r="R48">
            <v>0</v>
          </cell>
        </row>
        <row r="49">
          <cell r="A49" t="str">
            <v>135JM91XB07W7KMK4Y</v>
          </cell>
          <cell r="B49" t="str">
            <v>Q1-23</v>
          </cell>
          <cell r="C49" t="str">
            <v>Europe Operations OU</v>
          </cell>
          <cell r="D49">
            <v>2674345</v>
          </cell>
          <cell r="E49" t="str">
            <v>Amazon EU SARL, succursale Italiana</v>
          </cell>
          <cell r="F49" t="str">
            <v>135JM91X</v>
          </cell>
          <cell r="G49" t="str">
            <v>B07W7KMK4Y</v>
          </cell>
          <cell r="H49" t="str">
            <v>920-010488</v>
          </cell>
          <cell r="I49" t="str">
            <v>OE INVOICES</v>
          </cell>
          <cell r="J49">
            <v>44421955098</v>
          </cell>
          <cell r="K49">
            <v>44677</v>
          </cell>
          <cell r="L49">
            <v>33</v>
          </cell>
          <cell r="M49" t="str">
            <v>EUR</v>
          </cell>
          <cell r="N49">
            <v>1276.2</v>
          </cell>
          <cell r="O49">
            <v>63.81</v>
          </cell>
          <cell r="P49">
            <v>20</v>
          </cell>
          <cell r="Q49">
            <v>20</v>
          </cell>
          <cell r="R49">
            <v>0</v>
          </cell>
        </row>
        <row r="50">
          <cell r="A50" t="str">
            <v>135JM91XB07W7KT2B3</v>
          </cell>
          <cell r="B50" t="str">
            <v>Q1-23</v>
          </cell>
          <cell r="C50" t="str">
            <v>Europe Operations OU</v>
          </cell>
          <cell r="D50">
            <v>2674345</v>
          </cell>
          <cell r="E50" t="str">
            <v>Amazon EU SARL, succursale Italiana</v>
          </cell>
          <cell r="F50" t="str">
            <v>135JM91X</v>
          </cell>
          <cell r="G50" t="str">
            <v>B07W7KT2B3</v>
          </cell>
          <cell r="H50" t="str">
            <v>981-000864</v>
          </cell>
          <cell r="I50" t="str">
            <v>OE INVOICES</v>
          </cell>
          <cell r="J50">
            <v>44421954715</v>
          </cell>
          <cell r="K50">
            <v>44677</v>
          </cell>
          <cell r="L50">
            <v>6</v>
          </cell>
          <cell r="M50" t="str">
            <v>EUR</v>
          </cell>
          <cell r="N50">
            <v>36165.199999999997</v>
          </cell>
          <cell r="O50">
            <v>78.62</v>
          </cell>
          <cell r="P50">
            <v>460</v>
          </cell>
          <cell r="Q50">
            <v>460</v>
          </cell>
          <cell r="R50">
            <v>0</v>
          </cell>
        </row>
        <row r="51">
          <cell r="A51" t="str">
            <v>135JM91XB07W7KTTMZ</v>
          </cell>
          <cell r="B51" t="str">
            <v>Q1-23</v>
          </cell>
          <cell r="C51" t="str">
            <v>Europe Operations OU</v>
          </cell>
          <cell r="D51">
            <v>2674345</v>
          </cell>
          <cell r="E51" t="str">
            <v>Amazon EU SARL, succursale Italiana</v>
          </cell>
          <cell r="F51" t="str">
            <v>135JM91X</v>
          </cell>
          <cell r="G51" t="str">
            <v>B07W7KTTMZ</v>
          </cell>
          <cell r="H51" t="str">
            <v>920-010489</v>
          </cell>
          <cell r="I51" t="str">
            <v>OE INVOICES</v>
          </cell>
          <cell r="J51">
            <v>44421954715</v>
          </cell>
          <cell r="K51">
            <v>44677</v>
          </cell>
          <cell r="L51">
            <v>7</v>
          </cell>
          <cell r="M51" t="str">
            <v>EUR</v>
          </cell>
          <cell r="N51">
            <v>255.24</v>
          </cell>
          <cell r="O51">
            <v>63.81</v>
          </cell>
          <cell r="P51">
            <v>4</v>
          </cell>
          <cell r="Q51">
            <v>4</v>
          </cell>
          <cell r="R51">
            <v>0</v>
          </cell>
        </row>
        <row r="52">
          <cell r="A52" t="str">
            <v>135JM91XB07W7L3DSX</v>
          </cell>
          <cell r="B52" t="str">
            <v>Q1-23</v>
          </cell>
          <cell r="C52" t="str">
            <v>Europe Operations OU</v>
          </cell>
          <cell r="D52">
            <v>2674345</v>
          </cell>
          <cell r="E52" t="str">
            <v>Amazon EU SARL, succursale Italiana</v>
          </cell>
          <cell r="F52" t="str">
            <v>135JM91X</v>
          </cell>
          <cell r="G52" t="str">
            <v>B07W7L3DSX</v>
          </cell>
          <cell r="H52" t="str">
            <v>920-010399</v>
          </cell>
          <cell r="I52" t="str">
            <v>OE INVOICES</v>
          </cell>
          <cell r="J52">
            <v>44421955098</v>
          </cell>
          <cell r="K52">
            <v>44677</v>
          </cell>
          <cell r="L52">
            <v>34</v>
          </cell>
          <cell r="M52" t="str">
            <v>EUR</v>
          </cell>
          <cell r="N52">
            <v>702.72</v>
          </cell>
          <cell r="O52">
            <v>29.28</v>
          </cell>
          <cell r="P52">
            <v>24</v>
          </cell>
          <cell r="Q52">
            <v>24</v>
          </cell>
          <cell r="R52">
            <v>0</v>
          </cell>
        </row>
        <row r="53">
          <cell r="A53" t="str">
            <v>18TAMU9GB003AUZKYI</v>
          </cell>
          <cell r="B53" t="str">
            <v>Q4-22</v>
          </cell>
          <cell r="C53" t="str">
            <v>Europe Operations OU</v>
          </cell>
          <cell r="D53">
            <v>2674345</v>
          </cell>
          <cell r="E53" t="str">
            <v>Amazon EU SARL, succursale Italiana</v>
          </cell>
          <cell r="F53" t="str">
            <v>18TAMU9G</v>
          </cell>
          <cell r="G53" t="str">
            <v>B003AUZKYI</v>
          </cell>
          <cell r="H53" t="str">
            <v>910-001794</v>
          </cell>
          <cell r="I53" t="str">
            <v>OE INVOICES</v>
          </cell>
          <cell r="J53">
            <v>44421927919</v>
          </cell>
          <cell r="K53">
            <v>44637</v>
          </cell>
          <cell r="L53">
            <v>1</v>
          </cell>
          <cell r="M53" t="str">
            <v>EUR</v>
          </cell>
          <cell r="N53">
            <v>117</v>
          </cell>
          <cell r="O53">
            <v>5.85</v>
          </cell>
          <cell r="P53">
            <v>20</v>
          </cell>
          <cell r="Q53">
            <v>20</v>
          </cell>
          <cell r="R53">
            <v>0</v>
          </cell>
        </row>
        <row r="54">
          <cell r="A54" t="str">
            <v>18TAMU9GB003LNXT7Y</v>
          </cell>
          <cell r="B54" t="str">
            <v>Q4-22</v>
          </cell>
          <cell r="C54" t="str">
            <v>Europe Operations OU</v>
          </cell>
          <cell r="D54">
            <v>2674345</v>
          </cell>
          <cell r="E54" t="str">
            <v>Amazon EU SARL, succursale Italiana</v>
          </cell>
          <cell r="F54" t="str">
            <v>18TAMU9G</v>
          </cell>
          <cell r="G54" t="str">
            <v>B003LNXT7Y</v>
          </cell>
          <cell r="H54" t="str">
            <v>980-000413</v>
          </cell>
          <cell r="I54" t="str">
            <v>OE INVOICES</v>
          </cell>
          <cell r="J54">
            <v>44421927919</v>
          </cell>
          <cell r="K54">
            <v>44637</v>
          </cell>
          <cell r="L54">
            <v>2</v>
          </cell>
          <cell r="M54" t="str">
            <v>EUR</v>
          </cell>
          <cell r="N54">
            <v>281.04000000000002</v>
          </cell>
          <cell r="O54">
            <v>35.130000000000003</v>
          </cell>
          <cell r="P54">
            <v>8</v>
          </cell>
          <cell r="Q54">
            <v>8</v>
          </cell>
          <cell r="R54">
            <v>0</v>
          </cell>
        </row>
        <row r="55">
          <cell r="A55" t="str">
            <v>18TAMU9GB004VPLVI0</v>
          </cell>
          <cell r="B55" t="str">
            <v>Q4-22</v>
          </cell>
          <cell r="C55" t="str">
            <v>Europe Operations OU</v>
          </cell>
          <cell r="D55">
            <v>2674345</v>
          </cell>
          <cell r="E55" t="str">
            <v>Amazon EU SARL, succursale Italiana</v>
          </cell>
          <cell r="F55" t="str">
            <v>18TAMU9G</v>
          </cell>
          <cell r="G55" t="str">
            <v>B004VPLVI0</v>
          </cell>
          <cell r="H55" t="str">
            <v>910-002142</v>
          </cell>
          <cell r="I55" t="str">
            <v>OE INVOICES</v>
          </cell>
          <cell r="J55">
            <v>44421932006</v>
          </cell>
          <cell r="K55">
            <v>44642</v>
          </cell>
          <cell r="L55">
            <v>1</v>
          </cell>
          <cell r="M55" t="str">
            <v>EUR</v>
          </cell>
          <cell r="N55">
            <v>234.2</v>
          </cell>
          <cell r="O55">
            <v>23.42</v>
          </cell>
          <cell r="P55">
            <v>10</v>
          </cell>
          <cell r="Q55">
            <v>10</v>
          </cell>
          <cell r="R55">
            <v>0</v>
          </cell>
        </row>
        <row r="56">
          <cell r="A56" t="str">
            <v>18TAMU9GB008S1IOCY</v>
          </cell>
          <cell r="B56" t="str">
            <v>Q4-22</v>
          </cell>
          <cell r="C56" t="str">
            <v>Europe Operations OU</v>
          </cell>
          <cell r="D56">
            <v>2674345</v>
          </cell>
          <cell r="E56" t="str">
            <v>Amazon EU SARL, succursale Italiana</v>
          </cell>
          <cell r="F56" t="str">
            <v>18TAMU9G</v>
          </cell>
          <cell r="G56" t="str">
            <v>B008S1IOCY</v>
          </cell>
          <cell r="H56" t="str">
            <v>981-000475</v>
          </cell>
          <cell r="I56" t="str">
            <v>OE INVOICES</v>
          </cell>
          <cell r="J56">
            <v>44421927919</v>
          </cell>
          <cell r="K56">
            <v>44637</v>
          </cell>
          <cell r="L56">
            <v>3</v>
          </cell>
          <cell r="M56" t="str">
            <v>EUR</v>
          </cell>
          <cell r="N56">
            <v>8282</v>
          </cell>
          <cell r="O56">
            <v>20.5</v>
          </cell>
          <cell r="P56">
            <v>404</v>
          </cell>
          <cell r="Q56">
            <v>404</v>
          </cell>
          <cell r="R56">
            <v>0</v>
          </cell>
        </row>
        <row r="57">
          <cell r="A57" t="str">
            <v>18TAMU9GB00EUUXBDE</v>
          </cell>
          <cell r="B57" t="str">
            <v>Q4-22</v>
          </cell>
          <cell r="C57" t="str">
            <v>Europe Operations OU</v>
          </cell>
          <cell r="D57">
            <v>2674345</v>
          </cell>
          <cell r="E57" t="str">
            <v>Amazon EU SARL, succursale Italiana</v>
          </cell>
          <cell r="F57" t="str">
            <v>18TAMU9G</v>
          </cell>
          <cell r="G57" t="str">
            <v>B00EUUXBDE</v>
          </cell>
          <cell r="H57" t="str">
            <v>980-000810</v>
          </cell>
          <cell r="I57" t="str">
            <v>OE INVOICES</v>
          </cell>
          <cell r="J57">
            <v>44421927919</v>
          </cell>
          <cell r="K57">
            <v>44637</v>
          </cell>
          <cell r="L57">
            <v>4</v>
          </cell>
          <cell r="M57" t="str">
            <v>EUR</v>
          </cell>
          <cell r="N57">
            <v>585.6</v>
          </cell>
          <cell r="O57">
            <v>29.28</v>
          </cell>
          <cell r="P57">
            <v>20</v>
          </cell>
          <cell r="Q57">
            <v>20</v>
          </cell>
          <cell r="R57">
            <v>0</v>
          </cell>
        </row>
        <row r="58">
          <cell r="A58" t="str">
            <v>18TAMU9GB00MWR5IVA</v>
          </cell>
          <cell r="B58" t="str">
            <v>Q4-22</v>
          </cell>
          <cell r="C58" t="str">
            <v>Europe Operations OU</v>
          </cell>
          <cell r="D58">
            <v>2674345</v>
          </cell>
          <cell r="E58" t="str">
            <v>Amazon EU SARL, succursale Italiana</v>
          </cell>
          <cell r="F58" t="str">
            <v>18TAMU9G</v>
          </cell>
          <cell r="G58" t="str">
            <v>B00MWR5IVA</v>
          </cell>
          <cell r="H58" t="str">
            <v>910-004287</v>
          </cell>
          <cell r="I58" t="str">
            <v>OE INVOICES</v>
          </cell>
          <cell r="J58">
            <v>44421927919</v>
          </cell>
          <cell r="K58">
            <v>44637</v>
          </cell>
          <cell r="L58">
            <v>5</v>
          </cell>
          <cell r="M58" t="str">
            <v>EUR</v>
          </cell>
          <cell r="N58">
            <v>205</v>
          </cell>
          <cell r="O58">
            <v>20.5</v>
          </cell>
          <cell r="P58">
            <v>10</v>
          </cell>
          <cell r="Q58">
            <v>10</v>
          </cell>
          <cell r="R58">
            <v>0</v>
          </cell>
        </row>
        <row r="59">
          <cell r="A59" t="str">
            <v>18TAMU9GB00NGKYKPW</v>
          </cell>
          <cell r="B59" t="str">
            <v>Q4-22</v>
          </cell>
          <cell r="C59" t="str">
            <v>Europe Operations OU</v>
          </cell>
          <cell r="D59">
            <v>2674345</v>
          </cell>
          <cell r="E59" t="str">
            <v>Amazon EU SARL, succursale Italiana</v>
          </cell>
          <cell r="F59" t="str">
            <v>18TAMU9G</v>
          </cell>
          <cell r="G59" t="str">
            <v>B00NGKYKPW</v>
          </cell>
          <cell r="H59" t="str">
            <v>920-006358</v>
          </cell>
          <cell r="I59" t="str">
            <v>OE INVOICES</v>
          </cell>
          <cell r="J59">
            <v>44421927919</v>
          </cell>
          <cell r="K59">
            <v>44637</v>
          </cell>
          <cell r="L59">
            <v>6</v>
          </cell>
          <cell r="M59" t="str">
            <v>EUR</v>
          </cell>
          <cell r="N59">
            <v>1288.4000000000001</v>
          </cell>
          <cell r="O59">
            <v>32.21</v>
          </cell>
          <cell r="P59">
            <v>40</v>
          </cell>
          <cell r="Q59">
            <v>40</v>
          </cell>
          <cell r="R59">
            <v>0</v>
          </cell>
        </row>
        <row r="60">
          <cell r="A60" t="str">
            <v>18TAMU9GB00O8K42LQ</v>
          </cell>
          <cell r="B60" t="str">
            <v>Q4-22</v>
          </cell>
          <cell r="C60" t="str">
            <v>Europe Operations OU</v>
          </cell>
          <cell r="D60">
            <v>2674345</v>
          </cell>
          <cell r="E60" t="str">
            <v>Amazon EU SARL, succursale Italiana</v>
          </cell>
          <cell r="F60" t="str">
            <v>18TAMU9G</v>
          </cell>
          <cell r="G60" t="str">
            <v>B00O8K42LQ</v>
          </cell>
          <cell r="H60" t="str">
            <v>920-006707</v>
          </cell>
          <cell r="I60" t="str">
            <v>OE INVOICES</v>
          </cell>
          <cell r="J60">
            <v>44421927919</v>
          </cell>
          <cell r="K60">
            <v>44637</v>
          </cell>
          <cell r="L60">
            <v>7</v>
          </cell>
          <cell r="M60" t="str">
            <v>EUR</v>
          </cell>
          <cell r="N60">
            <v>10068.799999999999</v>
          </cell>
          <cell r="O60">
            <v>40.6</v>
          </cell>
          <cell r="P60">
            <v>248</v>
          </cell>
          <cell r="Q60">
            <v>248</v>
          </cell>
          <cell r="R60">
            <v>0</v>
          </cell>
        </row>
        <row r="61">
          <cell r="A61" t="str">
            <v>18TAMU9GB00O8K42SE</v>
          </cell>
          <cell r="B61" t="str">
            <v>Q4-22</v>
          </cell>
          <cell r="C61" t="str">
            <v>Europe Operations OU</v>
          </cell>
          <cell r="D61">
            <v>2674345</v>
          </cell>
          <cell r="E61" t="str">
            <v>Amazon EU SARL, succursale Italiana</v>
          </cell>
          <cell r="F61" t="str">
            <v>18TAMU9G</v>
          </cell>
          <cell r="G61" t="str">
            <v>B00O8K42SE</v>
          </cell>
          <cell r="H61" t="str">
            <v>920-006704</v>
          </cell>
          <cell r="I61" t="str">
            <v>OE INVOICES</v>
          </cell>
          <cell r="J61">
            <v>44421927919</v>
          </cell>
          <cell r="K61">
            <v>44637</v>
          </cell>
          <cell r="L61">
            <v>8</v>
          </cell>
          <cell r="M61" t="str">
            <v>EUR</v>
          </cell>
          <cell r="N61">
            <v>4547.2</v>
          </cell>
          <cell r="O61">
            <v>40.6</v>
          </cell>
          <cell r="P61">
            <v>112</v>
          </cell>
          <cell r="Q61">
            <v>112</v>
          </cell>
          <cell r="R61">
            <v>0</v>
          </cell>
        </row>
        <row r="62">
          <cell r="A62" t="str">
            <v>18TAMU9GB00VHHWNMI</v>
          </cell>
          <cell r="B62" t="str">
            <v>Q4-22</v>
          </cell>
          <cell r="C62" t="str">
            <v>Europe Operations OU</v>
          </cell>
          <cell r="D62">
            <v>2674345</v>
          </cell>
          <cell r="E62" t="str">
            <v>Amazon EU SARL, succursale Italiana</v>
          </cell>
          <cell r="F62" t="str">
            <v>18TAMU9G</v>
          </cell>
          <cell r="G62" t="str">
            <v>B00VHHWNMI</v>
          </cell>
          <cell r="H62" t="str">
            <v>920-007127</v>
          </cell>
          <cell r="I62" t="str">
            <v>OE INVOICES</v>
          </cell>
          <cell r="J62">
            <v>44421927919</v>
          </cell>
          <cell r="K62">
            <v>44637</v>
          </cell>
          <cell r="L62">
            <v>9</v>
          </cell>
          <cell r="M62" t="str">
            <v>EUR</v>
          </cell>
          <cell r="N62">
            <v>10248</v>
          </cell>
          <cell r="O62">
            <v>29.28</v>
          </cell>
          <cell r="P62">
            <v>350</v>
          </cell>
          <cell r="Q62">
            <v>350</v>
          </cell>
          <cell r="R62">
            <v>0</v>
          </cell>
        </row>
        <row r="63">
          <cell r="A63" t="str">
            <v>18TAMU9GB00Y0PP7B8</v>
          </cell>
          <cell r="B63" t="str">
            <v>Q4-22</v>
          </cell>
          <cell r="C63" t="str">
            <v>Europe Operations OU</v>
          </cell>
          <cell r="D63">
            <v>2674345</v>
          </cell>
          <cell r="E63" t="str">
            <v>Amazon EU SARL, succursale Italiana</v>
          </cell>
          <cell r="F63" t="str">
            <v>18TAMU9G</v>
          </cell>
          <cell r="G63" t="str">
            <v>B00Y0PP7B8</v>
          </cell>
          <cell r="H63" t="str">
            <v>920-007129</v>
          </cell>
          <cell r="I63" t="str">
            <v>OE INVOICES</v>
          </cell>
          <cell r="J63">
            <v>44421927919</v>
          </cell>
          <cell r="K63">
            <v>44637</v>
          </cell>
          <cell r="L63">
            <v>10</v>
          </cell>
          <cell r="M63" t="str">
            <v>EUR</v>
          </cell>
          <cell r="N63">
            <v>292.8</v>
          </cell>
          <cell r="O63">
            <v>29.28</v>
          </cell>
          <cell r="P63">
            <v>10</v>
          </cell>
          <cell r="Q63">
            <v>10</v>
          </cell>
          <cell r="R63">
            <v>0</v>
          </cell>
        </row>
        <row r="64">
          <cell r="A64" t="str">
            <v>18TAMU9GB0100055LI</v>
          </cell>
          <cell r="B64" t="str">
            <v>Q4-22</v>
          </cell>
          <cell r="C64" t="str">
            <v>Europe Operations OU</v>
          </cell>
          <cell r="D64">
            <v>2674345</v>
          </cell>
          <cell r="E64" t="str">
            <v>Amazon EU SARL, succursale Italiana</v>
          </cell>
          <cell r="F64" t="str">
            <v>18TAMU9G</v>
          </cell>
          <cell r="G64" t="str">
            <v>B0100055LI</v>
          </cell>
          <cell r="H64" t="str">
            <v>980-001054</v>
          </cell>
          <cell r="I64" t="str">
            <v>OE INVOICES</v>
          </cell>
          <cell r="J64">
            <v>44421932006</v>
          </cell>
          <cell r="K64">
            <v>44642</v>
          </cell>
          <cell r="L64">
            <v>2</v>
          </cell>
          <cell r="M64" t="str">
            <v>EUR</v>
          </cell>
          <cell r="N64">
            <v>1218.08</v>
          </cell>
          <cell r="O64">
            <v>76.13</v>
          </cell>
          <cell r="P64">
            <v>16</v>
          </cell>
          <cell r="Q64">
            <v>16</v>
          </cell>
          <cell r="R64">
            <v>0</v>
          </cell>
        </row>
        <row r="65">
          <cell r="A65" t="str">
            <v>18TAMU9GB014KH8BRW</v>
          </cell>
          <cell r="B65" t="str">
            <v>Q4-22</v>
          </cell>
          <cell r="C65" t="str">
            <v>Europe Operations OU</v>
          </cell>
          <cell r="D65">
            <v>2674345</v>
          </cell>
          <cell r="E65" t="str">
            <v>Amazon EU SARL, succursale Italiana</v>
          </cell>
          <cell r="F65" t="str">
            <v>18TAMU9G</v>
          </cell>
          <cell r="G65" t="str">
            <v>B014KH8BRW</v>
          </cell>
          <cell r="H65" t="str">
            <v>960-001056</v>
          </cell>
          <cell r="I65" t="str">
            <v>OE INVOICES</v>
          </cell>
          <cell r="J65">
            <v>44421927919</v>
          </cell>
          <cell r="K65">
            <v>44637</v>
          </cell>
          <cell r="L65">
            <v>11</v>
          </cell>
          <cell r="M65" t="str">
            <v>EUR</v>
          </cell>
          <cell r="N65">
            <v>10306.56</v>
          </cell>
          <cell r="O65">
            <v>58.56</v>
          </cell>
          <cell r="P65">
            <v>176</v>
          </cell>
          <cell r="Q65">
            <v>176</v>
          </cell>
          <cell r="R65">
            <v>0</v>
          </cell>
        </row>
        <row r="66">
          <cell r="A66" t="str">
            <v>18TAMU9GB01DKTP30O</v>
          </cell>
          <cell r="B66" t="str">
            <v>Q4-22</v>
          </cell>
          <cell r="C66" t="str">
            <v>Europe Operations OU</v>
          </cell>
          <cell r="D66">
            <v>2674345</v>
          </cell>
          <cell r="E66" t="str">
            <v>Amazon EU SARL, succursale Italiana</v>
          </cell>
          <cell r="F66" t="str">
            <v>18TAMU9G</v>
          </cell>
          <cell r="G66" t="str">
            <v>B01DKTP30O</v>
          </cell>
          <cell r="H66" t="str">
            <v>943-000089</v>
          </cell>
          <cell r="I66" t="str">
            <v>OE INVOICES</v>
          </cell>
          <cell r="J66">
            <v>44421927919</v>
          </cell>
          <cell r="K66">
            <v>44637</v>
          </cell>
          <cell r="L66">
            <v>12</v>
          </cell>
          <cell r="M66" t="str">
            <v>EUR</v>
          </cell>
          <cell r="N66">
            <v>168.8</v>
          </cell>
          <cell r="O66">
            <v>21.1</v>
          </cell>
          <cell r="P66">
            <v>8</v>
          </cell>
          <cell r="Q66">
            <v>8</v>
          </cell>
          <cell r="R66">
            <v>0</v>
          </cell>
        </row>
        <row r="67">
          <cell r="A67" t="str">
            <v>18TAMU9GB01GJZT4HY</v>
          </cell>
          <cell r="B67" t="str">
            <v>Q4-22</v>
          </cell>
          <cell r="C67" t="str">
            <v>Europe Operations OU</v>
          </cell>
          <cell r="D67">
            <v>2674345</v>
          </cell>
          <cell r="E67" t="str">
            <v>Amazon EU SARL, succursale Italiana</v>
          </cell>
          <cell r="F67" t="str">
            <v>18TAMU9G</v>
          </cell>
          <cell r="G67" t="str">
            <v>B01GJZT4HY</v>
          </cell>
          <cell r="H67" t="str">
            <v>920-008038</v>
          </cell>
          <cell r="I67" t="str">
            <v>OE INVOICES</v>
          </cell>
          <cell r="J67">
            <v>44421927919</v>
          </cell>
          <cell r="K67">
            <v>44637</v>
          </cell>
          <cell r="L67">
            <v>13</v>
          </cell>
          <cell r="M67" t="str">
            <v>EUR</v>
          </cell>
          <cell r="N67">
            <v>8910.08</v>
          </cell>
          <cell r="O67">
            <v>69.61</v>
          </cell>
          <cell r="P67">
            <v>128</v>
          </cell>
          <cell r="Q67">
            <v>128</v>
          </cell>
          <cell r="R67">
            <v>0</v>
          </cell>
        </row>
        <row r="68">
          <cell r="A68" t="str">
            <v>18TAMU9GB01I252A34</v>
          </cell>
          <cell r="B68" t="str">
            <v>Q4-22</v>
          </cell>
          <cell r="C68" t="str">
            <v>Europe Operations OU</v>
          </cell>
          <cell r="D68">
            <v>2674345</v>
          </cell>
          <cell r="E68" t="str">
            <v>Amazon EU SARL, succursale Italiana</v>
          </cell>
          <cell r="F68" t="str">
            <v>18TAMU9G</v>
          </cell>
          <cell r="G68" t="str">
            <v>B01I252A34</v>
          </cell>
          <cell r="H68" t="str">
            <v>920-005214</v>
          </cell>
          <cell r="I68" t="str">
            <v>OE INVOICES</v>
          </cell>
          <cell r="J68">
            <v>44421927919</v>
          </cell>
          <cell r="K68">
            <v>44637</v>
          </cell>
          <cell r="L68">
            <v>14</v>
          </cell>
          <cell r="M68" t="str">
            <v>EUR</v>
          </cell>
          <cell r="N68">
            <v>1317.6</v>
          </cell>
          <cell r="O68">
            <v>14.64</v>
          </cell>
          <cell r="P68">
            <v>90</v>
          </cell>
          <cell r="Q68">
            <v>90</v>
          </cell>
          <cell r="R68">
            <v>0</v>
          </cell>
        </row>
        <row r="69">
          <cell r="A69" t="str">
            <v>18TAMU9GB01KZVQB42</v>
          </cell>
          <cell r="B69" t="str">
            <v>Q4-22</v>
          </cell>
          <cell r="C69" t="str">
            <v>Europe Operations OU</v>
          </cell>
          <cell r="D69">
            <v>2674345</v>
          </cell>
          <cell r="E69" t="str">
            <v>Amazon EU SARL, succursale Italiana</v>
          </cell>
          <cell r="F69" t="str">
            <v>18TAMU9G</v>
          </cell>
          <cell r="G69" t="str">
            <v>B01KZVQB42</v>
          </cell>
          <cell r="H69" t="str">
            <v>910-004791</v>
          </cell>
          <cell r="I69" t="str">
            <v>OE INVOICES</v>
          </cell>
          <cell r="J69">
            <v>44421927919</v>
          </cell>
          <cell r="K69">
            <v>44637</v>
          </cell>
          <cell r="L69">
            <v>15</v>
          </cell>
          <cell r="M69" t="str">
            <v>EUR</v>
          </cell>
          <cell r="N69">
            <v>11887.1</v>
          </cell>
          <cell r="O69">
            <v>40.99</v>
          </cell>
          <cell r="P69">
            <v>290</v>
          </cell>
          <cell r="Q69">
            <v>290</v>
          </cell>
          <cell r="R69">
            <v>0</v>
          </cell>
        </row>
        <row r="70">
          <cell r="A70" t="str">
            <v>18TAMU9GB0748NCPN5</v>
          </cell>
          <cell r="B70" t="str">
            <v>Q4-22</v>
          </cell>
          <cell r="C70" t="str">
            <v>Europe Operations OU</v>
          </cell>
          <cell r="D70">
            <v>2674345</v>
          </cell>
          <cell r="E70" t="str">
            <v>Amazon EU SARL, succursale Italiana</v>
          </cell>
          <cell r="F70" t="str">
            <v>18TAMU9G</v>
          </cell>
          <cell r="G70" t="str">
            <v>B0748NCPN5</v>
          </cell>
          <cell r="H70" t="str">
            <v>960-001194</v>
          </cell>
          <cell r="I70" t="str">
            <v>OE INVOICES</v>
          </cell>
          <cell r="J70">
            <v>44421927919</v>
          </cell>
          <cell r="K70">
            <v>44637</v>
          </cell>
          <cell r="L70">
            <v>16</v>
          </cell>
          <cell r="M70" t="str">
            <v>EUR</v>
          </cell>
          <cell r="N70">
            <v>2311.1999999999998</v>
          </cell>
          <cell r="O70">
            <v>144.44999999999999</v>
          </cell>
          <cell r="P70">
            <v>16</v>
          </cell>
          <cell r="Q70">
            <v>16</v>
          </cell>
          <cell r="R70">
            <v>0</v>
          </cell>
        </row>
        <row r="71">
          <cell r="A71" t="str">
            <v>18TAMU9GB074PC6RH1</v>
          </cell>
          <cell r="B71" t="str">
            <v>Q4-22</v>
          </cell>
          <cell r="C71" t="str">
            <v>Europe Operations OU</v>
          </cell>
          <cell r="D71">
            <v>2674345</v>
          </cell>
          <cell r="E71" t="str">
            <v>Amazon EU SARL, succursale Italiana</v>
          </cell>
          <cell r="F71" t="str">
            <v>18TAMU9G</v>
          </cell>
          <cell r="G71" t="str">
            <v>B074PC6RH1</v>
          </cell>
          <cell r="H71" t="str">
            <v>980-001293</v>
          </cell>
          <cell r="I71" t="str">
            <v>OE INVOICES</v>
          </cell>
          <cell r="J71">
            <v>44421927919</v>
          </cell>
          <cell r="K71">
            <v>44637</v>
          </cell>
          <cell r="L71">
            <v>17</v>
          </cell>
          <cell r="M71" t="str">
            <v>EUR</v>
          </cell>
          <cell r="N71">
            <v>163.96</v>
          </cell>
          <cell r="O71">
            <v>40.99</v>
          </cell>
          <cell r="P71">
            <v>4</v>
          </cell>
          <cell r="Q71">
            <v>4</v>
          </cell>
          <cell r="R71">
            <v>0</v>
          </cell>
        </row>
        <row r="72">
          <cell r="A72" t="str">
            <v>18TAMU9GB074W227RK</v>
          </cell>
          <cell r="B72" t="str">
            <v>Q4-22</v>
          </cell>
          <cell r="C72" t="str">
            <v>Europe Operations OU</v>
          </cell>
          <cell r="D72">
            <v>2674345</v>
          </cell>
          <cell r="E72" t="str">
            <v>Amazon EU SARL, succursale Italiana</v>
          </cell>
          <cell r="F72" t="str">
            <v>18TAMU9G</v>
          </cell>
          <cell r="G72" t="str">
            <v>B074W227RK</v>
          </cell>
          <cell r="H72" t="str">
            <v>910-005179</v>
          </cell>
          <cell r="I72" t="str">
            <v>OE INVOICES</v>
          </cell>
          <cell r="J72">
            <v>44421927919</v>
          </cell>
          <cell r="K72">
            <v>44637</v>
          </cell>
          <cell r="L72">
            <v>18</v>
          </cell>
          <cell r="M72" t="str">
            <v>EUR</v>
          </cell>
          <cell r="N72">
            <v>1113.76</v>
          </cell>
          <cell r="O72">
            <v>69.61</v>
          </cell>
          <cell r="P72">
            <v>16</v>
          </cell>
          <cell r="Q72">
            <v>16</v>
          </cell>
          <cell r="R72">
            <v>0</v>
          </cell>
        </row>
        <row r="73">
          <cell r="A73" t="str">
            <v>18TAMU9GB0761YL588</v>
          </cell>
          <cell r="B73" t="str">
            <v>Q4-22</v>
          </cell>
          <cell r="C73" t="str">
            <v>Europe Operations OU</v>
          </cell>
          <cell r="D73">
            <v>2674345</v>
          </cell>
          <cell r="E73" t="str">
            <v>Amazon EU SARL, succursale Italiana</v>
          </cell>
          <cell r="F73" t="str">
            <v>18TAMU9G</v>
          </cell>
          <cell r="G73" t="str">
            <v>B0761YL588</v>
          </cell>
          <cell r="H73" t="str">
            <v>910-005313</v>
          </cell>
          <cell r="I73" t="str">
            <v>OE INVOICES</v>
          </cell>
          <cell r="J73">
            <v>44421927919</v>
          </cell>
          <cell r="K73">
            <v>44637</v>
          </cell>
          <cell r="L73">
            <v>19</v>
          </cell>
          <cell r="M73" t="str">
            <v>EUR</v>
          </cell>
          <cell r="N73">
            <v>4802.3999999999996</v>
          </cell>
          <cell r="O73">
            <v>52.2</v>
          </cell>
          <cell r="P73">
            <v>92</v>
          </cell>
          <cell r="Q73">
            <v>92</v>
          </cell>
          <cell r="R73">
            <v>0</v>
          </cell>
        </row>
        <row r="74">
          <cell r="A74" t="str">
            <v>18TAMU9GB0761YPDNM</v>
          </cell>
          <cell r="B74" t="str">
            <v>Q4-22</v>
          </cell>
          <cell r="C74" t="str">
            <v>Europe Operations OU</v>
          </cell>
          <cell r="D74">
            <v>2674345</v>
          </cell>
          <cell r="E74" t="str">
            <v>Amazon EU SARL, succursale Italiana</v>
          </cell>
          <cell r="F74" t="str">
            <v>18TAMU9G</v>
          </cell>
          <cell r="G74" t="str">
            <v>B0761YPDNM</v>
          </cell>
          <cell r="H74" t="str">
            <v>910-005314</v>
          </cell>
          <cell r="I74" t="str">
            <v>OE INVOICES</v>
          </cell>
          <cell r="J74">
            <v>44421927919</v>
          </cell>
          <cell r="K74">
            <v>44637</v>
          </cell>
          <cell r="L74">
            <v>20</v>
          </cell>
          <cell r="M74" t="str">
            <v>EUR</v>
          </cell>
          <cell r="N74">
            <v>14105.6</v>
          </cell>
          <cell r="O74">
            <v>46.4</v>
          </cell>
          <cell r="P74">
            <v>304</v>
          </cell>
          <cell r="Q74">
            <v>304</v>
          </cell>
          <cell r="R74">
            <v>0</v>
          </cell>
        </row>
        <row r="75">
          <cell r="A75" t="str">
            <v>18TAMU9GB07FNHV4MW</v>
          </cell>
          <cell r="B75" t="str">
            <v>Q4-22</v>
          </cell>
          <cell r="C75" t="str">
            <v>Europe Operations OU</v>
          </cell>
          <cell r="D75">
            <v>2674345</v>
          </cell>
          <cell r="E75" t="str">
            <v>Amazon EU SARL, succursale Italiana</v>
          </cell>
          <cell r="F75" t="str">
            <v>18TAMU9G</v>
          </cell>
          <cell r="G75" t="str">
            <v>B07FNHV4MW</v>
          </cell>
          <cell r="H75" t="str">
            <v>910-005448</v>
          </cell>
          <cell r="I75" t="str">
            <v>OE INVOICES</v>
          </cell>
          <cell r="J75">
            <v>44421927919</v>
          </cell>
          <cell r="K75">
            <v>44637</v>
          </cell>
          <cell r="L75">
            <v>21</v>
          </cell>
          <cell r="M75" t="str">
            <v>EUR</v>
          </cell>
          <cell r="N75">
            <v>12808.24</v>
          </cell>
          <cell r="O75">
            <v>69.61</v>
          </cell>
          <cell r="P75">
            <v>184</v>
          </cell>
          <cell r="Q75">
            <v>184</v>
          </cell>
          <cell r="R75">
            <v>0</v>
          </cell>
        </row>
        <row r="76">
          <cell r="A76" t="str">
            <v>18TAMU9GB07H3HGS9R</v>
          </cell>
          <cell r="B76" t="str">
            <v>Q4-22</v>
          </cell>
          <cell r="C76" t="str">
            <v>Europe Operations OU</v>
          </cell>
          <cell r="D76">
            <v>2674345</v>
          </cell>
          <cell r="E76" t="str">
            <v>Amazon EU SARL, succursale Italiana</v>
          </cell>
          <cell r="F76" t="str">
            <v>18TAMU9G</v>
          </cell>
          <cell r="G76" t="str">
            <v>B07H3HGS9R</v>
          </cell>
          <cell r="H76" t="str">
            <v>910-005508</v>
          </cell>
          <cell r="I76" t="str">
            <v>OE INVOICES</v>
          </cell>
          <cell r="J76">
            <v>44421932006</v>
          </cell>
          <cell r="K76">
            <v>44642</v>
          </cell>
          <cell r="L76">
            <v>3</v>
          </cell>
          <cell r="M76" t="str">
            <v>EUR</v>
          </cell>
          <cell r="N76">
            <v>468</v>
          </cell>
          <cell r="O76">
            <v>5.85</v>
          </cell>
          <cell r="P76">
            <v>80</v>
          </cell>
          <cell r="Q76">
            <v>80</v>
          </cell>
          <cell r="R76">
            <v>0</v>
          </cell>
        </row>
        <row r="77">
          <cell r="A77" t="str">
            <v>18TAMU9GB07H3HGVDW</v>
          </cell>
          <cell r="B77" t="str">
            <v>Q4-22</v>
          </cell>
          <cell r="C77" t="str">
            <v>Europe Operations OU</v>
          </cell>
          <cell r="D77">
            <v>2674345</v>
          </cell>
          <cell r="E77" t="str">
            <v>Amazon EU SARL, succursale Italiana</v>
          </cell>
          <cell r="F77" t="str">
            <v>18TAMU9G</v>
          </cell>
          <cell r="G77" t="str">
            <v>B07H3HGVDW</v>
          </cell>
          <cell r="H77" t="str">
            <v>914-000034</v>
          </cell>
          <cell r="I77" t="str">
            <v>OE INVOICES</v>
          </cell>
          <cell r="J77">
            <v>44421927919</v>
          </cell>
          <cell r="K77">
            <v>44637</v>
          </cell>
          <cell r="L77">
            <v>22</v>
          </cell>
          <cell r="M77" t="str">
            <v>EUR</v>
          </cell>
          <cell r="N77">
            <v>1028.6400000000001</v>
          </cell>
          <cell r="O77">
            <v>42.86</v>
          </cell>
          <cell r="P77">
            <v>24</v>
          </cell>
          <cell r="Q77">
            <v>24</v>
          </cell>
          <cell r="R77">
            <v>0</v>
          </cell>
        </row>
        <row r="78">
          <cell r="A78" t="str">
            <v>18TAMU9GB07VCS18BK</v>
          </cell>
          <cell r="B78" t="str">
            <v>Q4-22</v>
          </cell>
          <cell r="C78" t="str">
            <v>Europe Operations OU</v>
          </cell>
          <cell r="D78">
            <v>2674345</v>
          </cell>
          <cell r="E78" t="str">
            <v>Amazon EU SARL, succursale Italiana</v>
          </cell>
          <cell r="F78" t="str">
            <v>18TAMU9G</v>
          </cell>
          <cell r="G78" t="str">
            <v>B07VCS18BK</v>
          </cell>
          <cell r="H78" t="str">
            <v>920-009190</v>
          </cell>
          <cell r="I78" t="str">
            <v>OE INVOICES</v>
          </cell>
          <cell r="J78">
            <v>44421927919</v>
          </cell>
          <cell r="K78">
            <v>44637</v>
          </cell>
          <cell r="L78">
            <v>23</v>
          </cell>
          <cell r="M78" t="str">
            <v>EUR</v>
          </cell>
          <cell r="N78">
            <v>1124.1600000000001</v>
          </cell>
          <cell r="O78">
            <v>35.130000000000003</v>
          </cell>
          <cell r="P78">
            <v>32</v>
          </cell>
          <cell r="Q78">
            <v>32</v>
          </cell>
          <cell r="R78">
            <v>0</v>
          </cell>
        </row>
        <row r="79">
          <cell r="A79" t="str">
            <v>18TAMU9GB07W4DGCMV</v>
          </cell>
          <cell r="B79" t="str">
            <v>Q4-22</v>
          </cell>
          <cell r="C79" t="str">
            <v>Europe Operations OU</v>
          </cell>
          <cell r="D79">
            <v>2674345</v>
          </cell>
          <cell r="E79" t="str">
            <v>Amazon EU SARL, succursale Italiana</v>
          </cell>
          <cell r="F79" t="str">
            <v>18TAMU9G</v>
          </cell>
          <cell r="G79" t="str">
            <v>B07W4DGCMV</v>
          </cell>
          <cell r="H79" t="str">
            <v>920-009865</v>
          </cell>
          <cell r="I79" t="str">
            <v>OE INVOICES</v>
          </cell>
          <cell r="J79">
            <v>44421927919</v>
          </cell>
          <cell r="K79">
            <v>44637</v>
          </cell>
          <cell r="L79">
            <v>24</v>
          </cell>
          <cell r="M79" t="str">
            <v>EUR</v>
          </cell>
          <cell r="N79">
            <v>6090.24</v>
          </cell>
          <cell r="O79">
            <v>29.28</v>
          </cell>
          <cell r="P79">
            <v>208</v>
          </cell>
          <cell r="Q79">
            <v>208</v>
          </cell>
          <cell r="R79">
            <v>0</v>
          </cell>
        </row>
        <row r="80">
          <cell r="A80" t="str">
            <v>18TAMU9GB07W4DGVQF</v>
          </cell>
          <cell r="B80" t="str">
            <v>Q4-22</v>
          </cell>
          <cell r="C80" t="str">
            <v>Europe Operations OU</v>
          </cell>
          <cell r="D80">
            <v>2674345</v>
          </cell>
          <cell r="E80" t="str">
            <v>Amazon EU SARL, succursale Italiana</v>
          </cell>
          <cell r="F80" t="str">
            <v>18TAMU9G</v>
          </cell>
          <cell r="G80" t="str">
            <v>B07W4DGVQF</v>
          </cell>
          <cell r="H80" t="str">
            <v>910-005966</v>
          </cell>
          <cell r="I80" t="str">
            <v>OE INVOICES</v>
          </cell>
          <cell r="J80">
            <v>44421927919</v>
          </cell>
          <cell r="K80">
            <v>44637</v>
          </cell>
          <cell r="L80">
            <v>25</v>
          </cell>
          <cell r="M80" t="str">
            <v>EUR</v>
          </cell>
          <cell r="N80">
            <v>29232</v>
          </cell>
          <cell r="O80">
            <v>58</v>
          </cell>
          <cell r="P80">
            <v>504</v>
          </cell>
          <cell r="Q80">
            <v>504</v>
          </cell>
          <cell r="R80">
            <v>0</v>
          </cell>
        </row>
        <row r="81">
          <cell r="A81" t="str">
            <v>18TAMU9GB07W4DHKTD</v>
          </cell>
          <cell r="B81" t="str">
            <v>Q4-22</v>
          </cell>
          <cell r="C81" t="str">
            <v>Europe Operations OU</v>
          </cell>
          <cell r="D81">
            <v>2674345</v>
          </cell>
          <cell r="E81" t="str">
            <v>Amazon EU SARL, succursale Italiana</v>
          </cell>
          <cell r="F81" t="str">
            <v>18TAMU9G</v>
          </cell>
          <cell r="G81" t="str">
            <v>B07W4DHKTD</v>
          </cell>
          <cell r="H81" t="str">
            <v>910-005880</v>
          </cell>
          <cell r="I81" t="str">
            <v>OE INVOICES</v>
          </cell>
          <cell r="J81">
            <v>44421927919</v>
          </cell>
          <cell r="K81">
            <v>44637</v>
          </cell>
          <cell r="L81">
            <v>26</v>
          </cell>
          <cell r="M81" t="str">
            <v>EUR</v>
          </cell>
          <cell r="N81">
            <v>1342.24</v>
          </cell>
          <cell r="O81">
            <v>83.89</v>
          </cell>
          <cell r="P81">
            <v>16</v>
          </cell>
          <cell r="Q81">
            <v>16</v>
          </cell>
          <cell r="R81">
            <v>0</v>
          </cell>
        </row>
        <row r="82">
          <cell r="A82" t="str">
            <v>18TAMU9GB07W4DHMVB</v>
          </cell>
          <cell r="B82" t="str">
            <v>Q4-22</v>
          </cell>
          <cell r="C82" t="str">
            <v>Europe Operations OU</v>
          </cell>
          <cell r="D82">
            <v>2674345</v>
          </cell>
          <cell r="E82" t="str">
            <v>Amazon EU SARL, succursale Italiana</v>
          </cell>
          <cell r="F82" t="str">
            <v>18TAMU9G</v>
          </cell>
          <cell r="G82" t="str">
            <v>B07W4DHMVB</v>
          </cell>
          <cell r="H82" t="str">
            <v>981-001074</v>
          </cell>
          <cell r="I82" t="str">
            <v>OE INVOICES</v>
          </cell>
          <cell r="J82">
            <v>44421927919</v>
          </cell>
          <cell r="K82">
            <v>44637</v>
          </cell>
          <cell r="L82">
            <v>27</v>
          </cell>
          <cell r="M82" t="str">
            <v>EUR</v>
          </cell>
          <cell r="N82">
            <v>168.8</v>
          </cell>
          <cell r="O82">
            <v>42.2</v>
          </cell>
          <cell r="P82">
            <v>4</v>
          </cell>
          <cell r="Q82">
            <v>4</v>
          </cell>
          <cell r="R82">
            <v>0</v>
          </cell>
        </row>
        <row r="83">
          <cell r="A83" t="str">
            <v>18TAMU9GB07W5JHF5D</v>
          </cell>
          <cell r="B83" t="str">
            <v>Q4-22</v>
          </cell>
          <cell r="C83" t="str">
            <v>Europe Operations OU</v>
          </cell>
          <cell r="D83">
            <v>2674345</v>
          </cell>
          <cell r="E83" t="str">
            <v>Amazon EU SARL, succursale Italiana</v>
          </cell>
          <cell r="F83" t="str">
            <v>18TAMU9G</v>
          </cell>
          <cell r="G83" t="str">
            <v>B07W5JHF5D</v>
          </cell>
          <cell r="H83" t="str">
            <v>920-009866</v>
          </cell>
          <cell r="I83" t="str">
            <v>OE INVOICES</v>
          </cell>
          <cell r="J83">
            <v>44421927919</v>
          </cell>
          <cell r="K83">
            <v>44637</v>
          </cell>
          <cell r="L83">
            <v>28</v>
          </cell>
          <cell r="M83" t="str">
            <v>EUR</v>
          </cell>
          <cell r="N83">
            <v>702.72</v>
          </cell>
          <cell r="O83">
            <v>29.28</v>
          </cell>
          <cell r="P83">
            <v>24</v>
          </cell>
          <cell r="Q83">
            <v>24</v>
          </cell>
          <cell r="R83">
            <v>0</v>
          </cell>
        </row>
        <row r="84">
          <cell r="A84" t="str">
            <v>18TAMU9GB07W5JHLCB</v>
          </cell>
          <cell r="B84" t="str">
            <v>Q4-22</v>
          </cell>
          <cell r="C84" t="str">
            <v>Europe Operations OU</v>
          </cell>
          <cell r="D84">
            <v>2674345</v>
          </cell>
          <cell r="E84" t="str">
            <v>Amazon EU SARL, succursale Italiana</v>
          </cell>
          <cell r="F84" t="str">
            <v>18TAMU9G</v>
          </cell>
          <cell r="G84" t="str">
            <v>B07W5JHLCB</v>
          </cell>
          <cell r="H84" t="str">
            <v>910-005988</v>
          </cell>
          <cell r="I84" t="str">
            <v>OE INVOICES</v>
          </cell>
          <cell r="J84">
            <v>44421927919</v>
          </cell>
          <cell r="K84">
            <v>44637</v>
          </cell>
          <cell r="L84">
            <v>29</v>
          </cell>
          <cell r="M84" t="str">
            <v>EUR</v>
          </cell>
          <cell r="N84">
            <v>4640</v>
          </cell>
          <cell r="O84">
            <v>58</v>
          </cell>
          <cell r="P84">
            <v>80</v>
          </cell>
          <cell r="Q84">
            <v>80</v>
          </cell>
          <cell r="R84">
            <v>0</v>
          </cell>
        </row>
        <row r="85">
          <cell r="A85" t="str">
            <v>18TAMU9GB07W5JHXF8</v>
          </cell>
          <cell r="B85" t="str">
            <v>Q4-22</v>
          </cell>
          <cell r="C85" t="str">
            <v>Europe Operations OU</v>
          </cell>
          <cell r="D85">
            <v>2674345</v>
          </cell>
          <cell r="E85" t="str">
            <v>Amazon EU SARL, succursale Italiana</v>
          </cell>
          <cell r="F85" t="str">
            <v>18TAMU9G</v>
          </cell>
          <cell r="G85" t="str">
            <v>B07W5JHXF8</v>
          </cell>
          <cell r="H85" t="str">
            <v>920-010398</v>
          </cell>
          <cell r="I85" t="str">
            <v>OE INVOICES</v>
          </cell>
          <cell r="J85">
            <v>44421927919</v>
          </cell>
          <cell r="K85">
            <v>44637</v>
          </cell>
          <cell r="L85">
            <v>30</v>
          </cell>
          <cell r="M85" t="str">
            <v>EUR</v>
          </cell>
          <cell r="N85">
            <v>234.24</v>
          </cell>
          <cell r="O85">
            <v>29.28</v>
          </cell>
          <cell r="P85">
            <v>8</v>
          </cell>
          <cell r="Q85">
            <v>8</v>
          </cell>
          <cell r="R85">
            <v>0</v>
          </cell>
        </row>
        <row r="86">
          <cell r="A86" t="str">
            <v>18TAMU9GB07W5JK2S4</v>
          </cell>
          <cell r="B86" t="str">
            <v>Q4-22</v>
          </cell>
          <cell r="C86" t="str">
            <v>Europe Operations OU</v>
          </cell>
          <cell r="D86">
            <v>2674345</v>
          </cell>
          <cell r="E86" t="str">
            <v>Amazon EU SARL, succursale Italiana</v>
          </cell>
          <cell r="F86" t="str">
            <v>18TAMU9G</v>
          </cell>
          <cell r="G86" t="str">
            <v>B07W5JK2S4</v>
          </cell>
          <cell r="H86" t="str">
            <v>920-010812</v>
          </cell>
          <cell r="I86" t="str">
            <v>OE INVOICES</v>
          </cell>
          <cell r="J86">
            <v>44421927919</v>
          </cell>
          <cell r="K86">
            <v>44637</v>
          </cell>
          <cell r="L86">
            <v>31</v>
          </cell>
          <cell r="M86" t="str">
            <v>EUR</v>
          </cell>
          <cell r="N86">
            <v>510.48</v>
          </cell>
          <cell r="O86">
            <v>63.81</v>
          </cell>
          <cell r="P86">
            <v>8</v>
          </cell>
          <cell r="Q86">
            <v>8</v>
          </cell>
          <cell r="R86">
            <v>0</v>
          </cell>
        </row>
        <row r="87">
          <cell r="A87" t="str">
            <v>18TAMU9GB07W5JKB92</v>
          </cell>
          <cell r="B87" t="str">
            <v>Q4-22</v>
          </cell>
          <cell r="C87" t="str">
            <v>Europe Operations OU</v>
          </cell>
          <cell r="D87">
            <v>2674345</v>
          </cell>
          <cell r="E87" t="str">
            <v>Amazon EU SARL, succursale Italiana</v>
          </cell>
          <cell r="F87" t="str">
            <v>18TAMU9G</v>
          </cell>
          <cell r="G87" t="str">
            <v>B07W5JKB92</v>
          </cell>
          <cell r="H87" t="str">
            <v>920-009503</v>
          </cell>
          <cell r="I87" t="str">
            <v>OE INVOICES</v>
          </cell>
          <cell r="J87">
            <v>44421927919</v>
          </cell>
          <cell r="K87">
            <v>44637</v>
          </cell>
          <cell r="L87">
            <v>32</v>
          </cell>
          <cell r="M87" t="str">
            <v>EUR</v>
          </cell>
          <cell r="N87">
            <v>3866.56</v>
          </cell>
          <cell r="O87">
            <v>120.83</v>
          </cell>
          <cell r="P87">
            <v>32</v>
          </cell>
          <cell r="Q87">
            <v>32</v>
          </cell>
          <cell r="R87">
            <v>0</v>
          </cell>
        </row>
        <row r="88">
          <cell r="A88" t="str">
            <v>18TAMU9GB07W5JKFQC</v>
          </cell>
          <cell r="B88" t="str">
            <v>Q4-22</v>
          </cell>
          <cell r="C88" t="str">
            <v>Europe Operations OU</v>
          </cell>
          <cell r="D88">
            <v>2674345</v>
          </cell>
          <cell r="E88" t="str">
            <v>Amazon EU SARL, succursale Italiana</v>
          </cell>
          <cell r="F88" t="str">
            <v>18TAMU9G</v>
          </cell>
          <cell r="G88" t="str">
            <v>B07W5JKFQC</v>
          </cell>
          <cell r="H88" t="str">
            <v>910-005796</v>
          </cell>
          <cell r="I88" t="str">
            <v>OE INVOICES</v>
          </cell>
          <cell r="J88">
            <v>44421927919</v>
          </cell>
          <cell r="K88">
            <v>44637</v>
          </cell>
          <cell r="L88">
            <v>33</v>
          </cell>
          <cell r="M88" t="str">
            <v>EUR</v>
          </cell>
          <cell r="N88">
            <v>10550</v>
          </cell>
          <cell r="O88">
            <v>21.1</v>
          </cell>
          <cell r="P88">
            <v>500</v>
          </cell>
          <cell r="Q88">
            <v>500</v>
          </cell>
          <cell r="R88">
            <v>0</v>
          </cell>
        </row>
        <row r="89">
          <cell r="A89" t="str">
            <v>18TAMU9GB07W5JKNY3</v>
          </cell>
          <cell r="B89" t="str">
            <v>Q4-22</v>
          </cell>
          <cell r="C89" t="str">
            <v>Europe Operations OU</v>
          </cell>
          <cell r="D89">
            <v>2674345</v>
          </cell>
          <cell r="E89" t="str">
            <v>Amazon EU SARL, succursale Italiana</v>
          </cell>
          <cell r="F89" t="str">
            <v>18TAMU9G</v>
          </cell>
          <cell r="G89" t="str">
            <v>B07W5JKNY3</v>
          </cell>
          <cell r="H89" t="str">
            <v>920-009191</v>
          </cell>
          <cell r="I89" t="str">
            <v>OE INVOICES</v>
          </cell>
          <cell r="J89">
            <v>44421927919</v>
          </cell>
          <cell r="K89">
            <v>44637</v>
          </cell>
          <cell r="L89">
            <v>34</v>
          </cell>
          <cell r="M89" t="str">
            <v>EUR</v>
          </cell>
          <cell r="N89">
            <v>843.12</v>
          </cell>
          <cell r="O89">
            <v>35.130000000000003</v>
          </cell>
          <cell r="P89">
            <v>24</v>
          </cell>
          <cell r="Q89">
            <v>24</v>
          </cell>
          <cell r="R89">
            <v>0</v>
          </cell>
        </row>
        <row r="90">
          <cell r="A90" t="str">
            <v>18TAMU9GB07W5JKPJX</v>
          </cell>
          <cell r="B90" t="str">
            <v>Q4-22</v>
          </cell>
          <cell r="C90" t="str">
            <v>Europe Operations OU</v>
          </cell>
          <cell r="D90">
            <v>2674345</v>
          </cell>
          <cell r="E90" t="str">
            <v>Amazon EU SARL, succursale Italiana</v>
          </cell>
          <cell r="F90" t="str">
            <v>18TAMU9G</v>
          </cell>
          <cell r="G90" t="str">
            <v>B07W5JKPJX</v>
          </cell>
          <cell r="H90" t="str">
            <v>910-005881</v>
          </cell>
          <cell r="I90" t="str">
            <v>OE INVOICES</v>
          </cell>
          <cell r="J90">
            <v>44421927919</v>
          </cell>
          <cell r="K90">
            <v>44637</v>
          </cell>
          <cell r="L90">
            <v>35</v>
          </cell>
          <cell r="M90" t="str">
            <v>EUR</v>
          </cell>
          <cell r="N90">
            <v>1006.68</v>
          </cell>
          <cell r="O90">
            <v>83.89</v>
          </cell>
          <cell r="P90">
            <v>12</v>
          </cell>
          <cell r="Q90">
            <v>12</v>
          </cell>
          <cell r="R90">
            <v>0</v>
          </cell>
        </row>
        <row r="91">
          <cell r="A91" t="str">
            <v>18TAMU9GB07W6FNF6N</v>
          </cell>
          <cell r="B91" t="str">
            <v>Q4-22</v>
          </cell>
          <cell r="C91" t="str">
            <v>Europe Operations OU</v>
          </cell>
          <cell r="D91">
            <v>2674345</v>
          </cell>
          <cell r="E91" t="str">
            <v>Amazon EU SARL, succursale Italiana</v>
          </cell>
          <cell r="F91" t="str">
            <v>18TAMU9G</v>
          </cell>
          <cell r="G91" t="str">
            <v>B07W6FNF6N</v>
          </cell>
          <cell r="H91" t="str">
            <v>920-009841</v>
          </cell>
          <cell r="I91" t="str">
            <v>OE INVOICES</v>
          </cell>
          <cell r="J91">
            <v>44421927919</v>
          </cell>
          <cell r="K91">
            <v>44637</v>
          </cell>
          <cell r="L91">
            <v>36</v>
          </cell>
          <cell r="M91" t="str">
            <v>EUR</v>
          </cell>
          <cell r="N91">
            <v>18098.400000000001</v>
          </cell>
          <cell r="O91">
            <v>75.41</v>
          </cell>
          <cell r="P91">
            <v>240</v>
          </cell>
          <cell r="Q91">
            <v>240</v>
          </cell>
          <cell r="R91">
            <v>0</v>
          </cell>
        </row>
        <row r="92">
          <cell r="A92" t="str">
            <v>18TAMU9GB07W6FQ65D</v>
          </cell>
          <cell r="B92" t="str">
            <v>Q4-22</v>
          </cell>
          <cell r="C92" t="str">
            <v>Europe Operations OU</v>
          </cell>
          <cell r="D92">
            <v>2674345</v>
          </cell>
          <cell r="E92" t="str">
            <v>Amazon EU SARL, succursale Italiana</v>
          </cell>
          <cell r="F92" t="str">
            <v>18TAMU9G</v>
          </cell>
          <cell r="G92" t="str">
            <v>B07W6FQ65D</v>
          </cell>
          <cell r="H92" t="str">
            <v>961-000490</v>
          </cell>
          <cell r="I92" t="str">
            <v>OE INVOICES</v>
          </cell>
          <cell r="J92">
            <v>44421927919</v>
          </cell>
          <cell r="K92">
            <v>44637</v>
          </cell>
          <cell r="L92">
            <v>37</v>
          </cell>
          <cell r="M92" t="str">
            <v>EUR</v>
          </cell>
          <cell r="N92">
            <v>417.64</v>
          </cell>
          <cell r="O92">
            <v>104.41</v>
          </cell>
          <cell r="P92">
            <v>4</v>
          </cell>
          <cell r="Q92">
            <v>4</v>
          </cell>
          <cell r="R92">
            <v>0</v>
          </cell>
        </row>
        <row r="93">
          <cell r="A93" t="str">
            <v>18TAMU9GB07W6HDNNV</v>
          </cell>
          <cell r="B93" t="str">
            <v>Q4-22</v>
          </cell>
          <cell r="C93" t="str">
            <v>Europe Operations OU</v>
          </cell>
          <cell r="D93">
            <v>2674345</v>
          </cell>
          <cell r="E93" t="str">
            <v>Amazon EU SARL, succursale Italiana</v>
          </cell>
          <cell r="F93" t="str">
            <v>18TAMU9G</v>
          </cell>
          <cell r="G93" t="str">
            <v>B07W6HDNNV</v>
          </cell>
          <cell r="H93" t="str">
            <v>910-005696</v>
          </cell>
          <cell r="I93" t="str">
            <v>OE INVOICES</v>
          </cell>
          <cell r="J93">
            <v>44421927919</v>
          </cell>
          <cell r="K93">
            <v>44637</v>
          </cell>
          <cell r="L93">
            <v>38</v>
          </cell>
          <cell r="M93" t="str">
            <v>EUR</v>
          </cell>
          <cell r="N93">
            <v>13875.44</v>
          </cell>
          <cell r="O93">
            <v>75.41</v>
          </cell>
          <cell r="P93">
            <v>184</v>
          </cell>
          <cell r="Q93">
            <v>184</v>
          </cell>
          <cell r="R93">
            <v>0</v>
          </cell>
        </row>
        <row r="94">
          <cell r="A94" t="str">
            <v>18TAMU9GB07W6HJPSW</v>
          </cell>
          <cell r="B94" t="str">
            <v>Q4-22</v>
          </cell>
          <cell r="C94" t="str">
            <v>Europe Operations OU</v>
          </cell>
          <cell r="D94">
            <v>2674345</v>
          </cell>
          <cell r="E94" t="str">
            <v>Amazon EU SARL, succursale Italiana</v>
          </cell>
          <cell r="F94" t="str">
            <v>18TAMU9G</v>
          </cell>
          <cell r="G94" t="str">
            <v>B07W6HJPSW</v>
          </cell>
          <cell r="H94" t="str">
            <v>981-001106</v>
          </cell>
          <cell r="I94" t="str">
            <v>OE INVOICES</v>
          </cell>
          <cell r="J94">
            <v>44421927919</v>
          </cell>
          <cell r="K94">
            <v>44637</v>
          </cell>
          <cell r="L94">
            <v>39</v>
          </cell>
          <cell r="M94" t="str">
            <v>EUR</v>
          </cell>
          <cell r="N94">
            <v>23140.400000000001</v>
          </cell>
          <cell r="O94">
            <v>68.06</v>
          </cell>
          <cell r="P94">
            <v>340</v>
          </cell>
          <cell r="Q94">
            <v>340</v>
          </cell>
          <cell r="R94">
            <v>0</v>
          </cell>
        </row>
        <row r="95">
          <cell r="A95" t="str">
            <v>18TAMU9GB07W6J51XR</v>
          </cell>
          <cell r="B95" t="str">
            <v>Q4-22</v>
          </cell>
          <cell r="C95" t="str">
            <v>Europe Operations OU</v>
          </cell>
          <cell r="D95">
            <v>2674345</v>
          </cell>
          <cell r="E95" t="str">
            <v>Amazon EU SARL, succursale Italiana</v>
          </cell>
          <cell r="F95" t="str">
            <v>18TAMU9G</v>
          </cell>
          <cell r="G95" t="str">
            <v>B07W6J51XR</v>
          </cell>
          <cell r="H95" t="str">
            <v>910-005942</v>
          </cell>
          <cell r="I95" t="str">
            <v>OE INVOICES</v>
          </cell>
          <cell r="J95">
            <v>44421927919</v>
          </cell>
          <cell r="K95">
            <v>44637</v>
          </cell>
          <cell r="L95">
            <v>40</v>
          </cell>
          <cell r="M95" t="str">
            <v>EUR</v>
          </cell>
          <cell r="N95">
            <v>671.12</v>
          </cell>
          <cell r="O95">
            <v>83.89</v>
          </cell>
          <cell r="P95">
            <v>8</v>
          </cell>
          <cell r="Q95">
            <v>8</v>
          </cell>
          <cell r="R95">
            <v>0</v>
          </cell>
        </row>
        <row r="96">
          <cell r="A96" t="str">
            <v>18TAMU9GB07W6J5VYB</v>
          </cell>
          <cell r="B96" t="str">
            <v>Q4-22</v>
          </cell>
          <cell r="C96" t="str">
            <v>Europe Operations OU</v>
          </cell>
          <cell r="D96">
            <v>2674345</v>
          </cell>
          <cell r="E96" t="str">
            <v>Amazon EU SARL, succursale Italiana</v>
          </cell>
          <cell r="F96" t="str">
            <v>18TAMU9G</v>
          </cell>
          <cell r="G96" t="str">
            <v>B07W6J5VYB</v>
          </cell>
          <cell r="H96" t="str">
            <v>988-000382</v>
          </cell>
          <cell r="I96" t="str">
            <v>OE INVOICES</v>
          </cell>
          <cell r="J96">
            <v>44421927919</v>
          </cell>
          <cell r="K96">
            <v>44637</v>
          </cell>
          <cell r="L96">
            <v>41</v>
          </cell>
          <cell r="M96" t="str">
            <v>EUR</v>
          </cell>
          <cell r="N96">
            <v>320.83999999999997</v>
          </cell>
          <cell r="O96">
            <v>80.209999999999994</v>
          </cell>
          <cell r="P96">
            <v>4</v>
          </cell>
          <cell r="Q96">
            <v>4</v>
          </cell>
          <cell r="R96">
            <v>0</v>
          </cell>
        </row>
        <row r="97">
          <cell r="A97" t="str">
            <v>18TAMU9GB07W6JDL3Z</v>
          </cell>
          <cell r="B97" t="str">
            <v>Q4-22</v>
          </cell>
          <cell r="C97" t="str">
            <v>Europe Operations OU</v>
          </cell>
          <cell r="D97">
            <v>2674345</v>
          </cell>
          <cell r="E97" t="str">
            <v>Amazon EU SARL, succursale Italiana</v>
          </cell>
          <cell r="F97" t="str">
            <v>18TAMU9G</v>
          </cell>
          <cell r="G97" t="str">
            <v>B07W6JDL3Z</v>
          </cell>
          <cell r="H97" t="str">
            <v>980-001348</v>
          </cell>
          <cell r="I97" t="str">
            <v>OE INVOICES</v>
          </cell>
          <cell r="J97">
            <v>44421927919</v>
          </cell>
          <cell r="K97">
            <v>44637</v>
          </cell>
          <cell r="L97">
            <v>42</v>
          </cell>
          <cell r="M97" t="str">
            <v>EUR</v>
          </cell>
          <cell r="N97">
            <v>1392.2</v>
          </cell>
          <cell r="O97">
            <v>69.61</v>
          </cell>
          <cell r="P97">
            <v>20</v>
          </cell>
          <cell r="Q97">
            <v>20</v>
          </cell>
          <cell r="R97">
            <v>0</v>
          </cell>
        </row>
        <row r="98">
          <cell r="A98" t="str">
            <v>18TAMU9GB07W6JFPT1</v>
          </cell>
          <cell r="B98" t="str">
            <v>Q4-22</v>
          </cell>
          <cell r="C98" t="str">
            <v>Europe Operations OU</v>
          </cell>
          <cell r="D98">
            <v>2674345</v>
          </cell>
          <cell r="E98" t="str">
            <v>Amazon EU SARL, succursale Italiana</v>
          </cell>
          <cell r="F98" t="str">
            <v>18TAMU9G</v>
          </cell>
          <cell r="G98" t="str">
            <v>B07W6JFPT1</v>
          </cell>
          <cell r="H98" t="str">
            <v>920-009405</v>
          </cell>
          <cell r="I98" t="str">
            <v>OE INVOICES</v>
          </cell>
          <cell r="J98">
            <v>44421927919</v>
          </cell>
          <cell r="K98">
            <v>44637</v>
          </cell>
          <cell r="L98">
            <v>43</v>
          </cell>
          <cell r="M98" t="str">
            <v>EUR</v>
          </cell>
          <cell r="N98">
            <v>4524.6000000000004</v>
          </cell>
          <cell r="O98">
            <v>75.41</v>
          </cell>
          <cell r="P98">
            <v>60</v>
          </cell>
          <cell r="Q98">
            <v>60</v>
          </cell>
          <cell r="R98">
            <v>0</v>
          </cell>
        </row>
        <row r="99">
          <cell r="A99" t="str">
            <v>18TAMU9GB07W6JKKBV</v>
          </cell>
          <cell r="B99" t="str">
            <v>Q4-22</v>
          </cell>
          <cell r="C99" t="str">
            <v>Europe Operations OU</v>
          </cell>
          <cell r="D99">
            <v>2674345</v>
          </cell>
          <cell r="E99" t="str">
            <v>Amazon EU SARL, succursale Italiana</v>
          </cell>
          <cell r="F99" t="str">
            <v>18TAMU9G</v>
          </cell>
          <cell r="G99" t="str">
            <v>B07W6JKKBV</v>
          </cell>
          <cell r="H99" t="str">
            <v>920-010146</v>
          </cell>
          <cell r="I99" t="str">
            <v>OE INVOICES</v>
          </cell>
          <cell r="J99">
            <v>44421927919</v>
          </cell>
          <cell r="K99">
            <v>44637</v>
          </cell>
          <cell r="L99">
            <v>44</v>
          </cell>
          <cell r="M99" t="str">
            <v>EUR</v>
          </cell>
          <cell r="N99">
            <v>12994.24</v>
          </cell>
          <cell r="O99">
            <v>116.02</v>
          </cell>
          <cell r="P99">
            <v>112</v>
          </cell>
          <cell r="Q99">
            <v>112</v>
          </cell>
          <cell r="R99">
            <v>0</v>
          </cell>
        </row>
        <row r="100">
          <cell r="A100" t="str">
            <v>18TAMU9GB07W6JMMNC</v>
          </cell>
          <cell r="B100" t="str">
            <v>Q4-22</v>
          </cell>
          <cell r="C100" t="str">
            <v>Europe Operations OU</v>
          </cell>
          <cell r="D100">
            <v>2674345</v>
          </cell>
          <cell r="E100" t="str">
            <v>Amazon EU SARL, succursale Italiana</v>
          </cell>
          <cell r="F100" t="str">
            <v>18TAMU9G</v>
          </cell>
          <cell r="G100" t="str">
            <v>B07W6JMMNC</v>
          </cell>
          <cell r="H100" t="str">
            <v>910-005710</v>
          </cell>
          <cell r="I100" t="str">
            <v>OE INVOICES</v>
          </cell>
          <cell r="J100">
            <v>44421927919</v>
          </cell>
          <cell r="K100">
            <v>44637</v>
          </cell>
          <cell r="L100">
            <v>45</v>
          </cell>
          <cell r="M100" t="str">
            <v>EUR</v>
          </cell>
          <cell r="N100">
            <v>1809.84</v>
          </cell>
          <cell r="O100">
            <v>75.41</v>
          </cell>
          <cell r="P100">
            <v>24</v>
          </cell>
          <cell r="Q100">
            <v>24</v>
          </cell>
          <cell r="R100">
            <v>0</v>
          </cell>
        </row>
        <row r="101">
          <cell r="A101" t="str">
            <v>18TAMU9GB07W6JNG11</v>
          </cell>
          <cell r="B101" t="str">
            <v>Q4-22</v>
          </cell>
          <cell r="C101" t="str">
            <v>Europe Operations OU</v>
          </cell>
          <cell r="D101">
            <v>2674345</v>
          </cell>
          <cell r="E101" t="str">
            <v>Amazon EU SARL, succursale Italiana</v>
          </cell>
          <cell r="F101" t="str">
            <v>18TAMU9G</v>
          </cell>
          <cell r="G101" t="str">
            <v>B07W6JNG11</v>
          </cell>
          <cell r="H101" t="str">
            <v>920-009554</v>
          </cell>
          <cell r="I101" t="str">
            <v>OE INVOICES</v>
          </cell>
          <cell r="J101">
            <v>44421927919</v>
          </cell>
          <cell r="K101">
            <v>44637</v>
          </cell>
          <cell r="L101">
            <v>46</v>
          </cell>
          <cell r="M101" t="str">
            <v>EUR</v>
          </cell>
          <cell r="N101">
            <v>5127.88</v>
          </cell>
          <cell r="O101">
            <v>75.41</v>
          </cell>
          <cell r="P101">
            <v>68</v>
          </cell>
          <cell r="Q101">
            <v>68</v>
          </cell>
          <cell r="R101">
            <v>0</v>
          </cell>
        </row>
        <row r="102">
          <cell r="A102" t="str">
            <v>18TAMU9GB07W7KMK4Y</v>
          </cell>
          <cell r="B102" t="str">
            <v>Q4-22</v>
          </cell>
          <cell r="C102" t="str">
            <v>Europe Operations OU</v>
          </cell>
          <cell r="D102">
            <v>2674345</v>
          </cell>
          <cell r="E102" t="str">
            <v>Amazon EU SARL, succursale Italiana</v>
          </cell>
          <cell r="F102" t="str">
            <v>18TAMU9G</v>
          </cell>
          <cell r="G102" t="str">
            <v>B07W7KMK4Y</v>
          </cell>
          <cell r="H102" t="str">
            <v>920-010488</v>
          </cell>
          <cell r="I102" t="str">
            <v>OE INVOICES</v>
          </cell>
          <cell r="J102">
            <v>44421927919</v>
          </cell>
          <cell r="K102">
            <v>44637</v>
          </cell>
          <cell r="L102">
            <v>47</v>
          </cell>
          <cell r="M102" t="str">
            <v>EUR</v>
          </cell>
          <cell r="N102">
            <v>21695.4</v>
          </cell>
          <cell r="O102">
            <v>63.81</v>
          </cell>
          <cell r="P102">
            <v>340</v>
          </cell>
          <cell r="Q102">
            <v>340</v>
          </cell>
          <cell r="R102">
            <v>0</v>
          </cell>
        </row>
        <row r="103">
          <cell r="A103" t="str">
            <v>18TAMU9GB07W7KRXDW</v>
          </cell>
          <cell r="B103" t="str">
            <v>Q4-22</v>
          </cell>
          <cell r="C103" t="str">
            <v>Europe Operations OU</v>
          </cell>
          <cell r="D103">
            <v>2674345</v>
          </cell>
          <cell r="E103" t="str">
            <v>Amazon EU SARL, succursale Italiana</v>
          </cell>
          <cell r="F103" t="str">
            <v>18TAMU9G</v>
          </cell>
          <cell r="G103" t="str">
            <v>B07W7KRXDW</v>
          </cell>
          <cell r="H103" t="str">
            <v>920-009403</v>
          </cell>
          <cell r="I103" t="str">
            <v>OE INVOICES</v>
          </cell>
          <cell r="J103">
            <v>44421927919</v>
          </cell>
          <cell r="K103">
            <v>44637</v>
          </cell>
          <cell r="L103">
            <v>48</v>
          </cell>
          <cell r="M103" t="str">
            <v>EUR</v>
          </cell>
          <cell r="N103">
            <v>19606.599999999999</v>
          </cell>
          <cell r="O103">
            <v>75.41</v>
          </cell>
          <cell r="P103">
            <v>260</v>
          </cell>
          <cell r="Q103">
            <v>260</v>
          </cell>
          <cell r="R103">
            <v>0</v>
          </cell>
        </row>
        <row r="104">
          <cell r="A104" t="str">
            <v>18TAMU9GB07W7KTTMZ</v>
          </cell>
          <cell r="B104" t="str">
            <v>Q4-22</v>
          </cell>
          <cell r="C104" t="str">
            <v>Europe Operations OU</v>
          </cell>
          <cell r="D104">
            <v>2674345</v>
          </cell>
          <cell r="E104" t="str">
            <v>Amazon EU SARL, succursale Italiana</v>
          </cell>
          <cell r="F104" t="str">
            <v>18TAMU9G</v>
          </cell>
          <cell r="G104" t="str">
            <v>B07W7KTTMZ</v>
          </cell>
          <cell r="H104" t="str">
            <v>920-010489</v>
          </cell>
          <cell r="I104" t="str">
            <v>OE INVOICES</v>
          </cell>
          <cell r="J104">
            <v>44421927919</v>
          </cell>
          <cell r="K104">
            <v>44637</v>
          </cell>
          <cell r="L104">
            <v>49</v>
          </cell>
          <cell r="M104" t="str">
            <v>EUR</v>
          </cell>
          <cell r="N104">
            <v>1531.44</v>
          </cell>
          <cell r="O104">
            <v>63.81</v>
          </cell>
          <cell r="P104">
            <v>24</v>
          </cell>
          <cell r="Q104">
            <v>24</v>
          </cell>
          <cell r="R104">
            <v>0</v>
          </cell>
        </row>
        <row r="105">
          <cell r="A105" t="str">
            <v>18TAMU9GB07W7L3DSX</v>
          </cell>
          <cell r="B105" t="str">
            <v>Q4-22</v>
          </cell>
          <cell r="C105" t="str">
            <v>Europe Operations OU</v>
          </cell>
          <cell r="D105">
            <v>2674345</v>
          </cell>
          <cell r="E105" t="str">
            <v>Amazon EU SARL, succursale Italiana</v>
          </cell>
          <cell r="F105" t="str">
            <v>18TAMU9G</v>
          </cell>
          <cell r="G105" t="str">
            <v>B07W7L3DSX</v>
          </cell>
          <cell r="H105" t="str">
            <v>920-010399</v>
          </cell>
          <cell r="I105" t="str">
            <v>OE INVOICES</v>
          </cell>
          <cell r="J105">
            <v>44421927919</v>
          </cell>
          <cell r="K105">
            <v>44637</v>
          </cell>
          <cell r="L105">
            <v>50</v>
          </cell>
          <cell r="M105" t="str">
            <v>EUR</v>
          </cell>
          <cell r="N105">
            <v>2576.64</v>
          </cell>
          <cell r="O105">
            <v>29.28</v>
          </cell>
          <cell r="P105">
            <v>88</v>
          </cell>
          <cell r="Q105">
            <v>88</v>
          </cell>
          <cell r="R105">
            <v>0</v>
          </cell>
        </row>
        <row r="106">
          <cell r="A106" t="str">
            <v>18TAMU9GB07W7L62FX</v>
          </cell>
          <cell r="B106" t="str">
            <v>Q4-22</v>
          </cell>
          <cell r="C106" t="str">
            <v>Europe Operations OU</v>
          </cell>
          <cell r="D106">
            <v>2674345</v>
          </cell>
          <cell r="E106" t="str">
            <v>Amazon EU SARL, succursale Italiana</v>
          </cell>
          <cell r="F106" t="str">
            <v>18TAMU9G</v>
          </cell>
          <cell r="G106" t="str">
            <v>B07W7L62FX</v>
          </cell>
          <cell r="H106" t="str">
            <v>920-010220</v>
          </cell>
          <cell r="I106" t="str">
            <v>OE INVOICES</v>
          </cell>
          <cell r="J106">
            <v>44421927919</v>
          </cell>
          <cell r="K106">
            <v>44637</v>
          </cell>
          <cell r="L106">
            <v>51</v>
          </cell>
          <cell r="M106" t="str">
            <v>EUR</v>
          </cell>
          <cell r="N106">
            <v>6404.16</v>
          </cell>
          <cell r="O106">
            <v>133.41999999999999</v>
          </cell>
          <cell r="P106">
            <v>48</v>
          </cell>
          <cell r="Q106">
            <v>48</v>
          </cell>
          <cell r="R106">
            <v>0</v>
          </cell>
        </row>
        <row r="107">
          <cell r="A107" t="str">
            <v>18TAMU9GB07W7MKLNT</v>
          </cell>
          <cell r="B107" t="str">
            <v>Q4-22</v>
          </cell>
          <cell r="C107" t="str">
            <v>Europe Operations OU</v>
          </cell>
          <cell r="D107">
            <v>2674345</v>
          </cell>
          <cell r="E107" t="str">
            <v>Amazon EU SARL, succursale Italiana</v>
          </cell>
          <cell r="F107" t="str">
            <v>18TAMU9G</v>
          </cell>
          <cell r="G107" t="str">
            <v>B07W7MKLNT</v>
          </cell>
          <cell r="H107" t="str">
            <v>910-005943</v>
          </cell>
          <cell r="I107" t="str">
            <v>OE INVOICES</v>
          </cell>
          <cell r="J107">
            <v>44421927919</v>
          </cell>
          <cell r="K107">
            <v>44637</v>
          </cell>
          <cell r="L107">
            <v>52</v>
          </cell>
          <cell r="M107" t="str">
            <v>EUR</v>
          </cell>
          <cell r="N107">
            <v>45300.6</v>
          </cell>
          <cell r="O107">
            <v>83.89</v>
          </cell>
          <cell r="P107">
            <v>540</v>
          </cell>
          <cell r="Q107">
            <v>540</v>
          </cell>
          <cell r="R107">
            <v>0</v>
          </cell>
        </row>
        <row r="108">
          <cell r="A108" t="str">
            <v>18TAMU9GB07W7MQMDF</v>
          </cell>
          <cell r="B108" t="str">
            <v>Q4-22</v>
          </cell>
          <cell r="C108" t="str">
            <v>Europe Operations OU</v>
          </cell>
          <cell r="D108">
            <v>2674345</v>
          </cell>
          <cell r="E108" t="str">
            <v>Amazon EU SARL, succursale Italiana</v>
          </cell>
          <cell r="F108" t="str">
            <v>18TAMU9G</v>
          </cell>
          <cell r="G108" t="str">
            <v>B07W7MQMDF</v>
          </cell>
          <cell r="H108" t="str">
            <v>920-010077</v>
          </cell>
          <cell r="I108" t="str">
            <v>OE INVOICES</v>
          </cell>
          <cell r="J108">
            <v>44421932006</v>
          </cell>
          <cell r="K108">
            <v>44642</v>
          </cell>
          <cell r="L108">
            <v>4</v>
          </cell>
          <cell r="M108" t="str">
            <v>EUR</v>
          </cell>
          <cell r="N108">
            <v>272.24</v>
          </cell>
          <cell r="O108">
            <v>68.06</v>
          </cell>
          <cell r="P108">
            <v>4</v>
          </cell>
          <cell r="Q108">
            <v>4</v>
          </cell>
          <cell r="R108">
            <v>0</v>
          </cell>
        </row>
        <row r="109">
          <cell r="A109" t="str">
            <v>1ABLPEELB002L3TSLQ</v>
          </cell>
          <cell r="B109" t="str">
            <v>Q1-23</v>
          </cell>
          <cell r="C109" t="str">
            <v>Europe Operations OU</v>
          </cell>
          <cell r="D109">
            <v>2674345</v>
          </cell>
          <cell r="E109" t="str">
            <v>Amazon EU SARL, succursale Italiana</v>
          </cell>
          <cell r="F109" t="str">
            <v>1ABLPEEL</v>
          </cell>
          <cell r="G109" t="str">
            <v>B002L3TSLQ</v>
          </cell>
          <cell r="H109" t="str">
            <v>910-001356</v>
          </cell>
          <cell r="I109" t="str">
            <v>OE INVOICES</v>
          </cell>
          <cell r="J109">
            <v>44421958324</v>
          </cell>
          <cell r="K109">
            <v>44684</v>
          </cell>
          <cell r="L109">
            <v>1</v>
          </cell>
          <cell r="M109" t="str">
            <v>EUR</v>
          </cell>
          <cell r="N109">
            <v>140.47999999999999</v>
          </cell>
          <cell r="O109">
            <v>17.559999999999999</v>
          </cell>
          <cell r="P109">
            <v>8</v>
          </cell>
          <cell r="Q109">
            <v>8</v>
          </cell>
          <cell r="R109">
            <v>0</v>
          </cell>
        </row>
        <row r="110">
          <cell r="A110" t="str">
            <v>1ABLPEELB01DIJIE1Q</v>
          </cell>
          <cell r="B110" t="str">
            <v>Q1-23</v>
          </cell>
          <cell r="C110" t="str">
            <v>Europe Operations OU</v>
          </cell>
          <cell r="D110">
            <v>2674345</v>
          </cell>
          <cell r="E110" t="str">
            <v>Amazon EU SARL, succursale Italiana</v>
          </cell>
          <cell r="F110" t="str">
            <v>1ABLPEEL</v>
          </cell>
          <cell r="G110" t="str">
            <v>B01DIJIE1Q</v>
          </cell>
          <cell r="H110" t="str">
            <v>943-000100</v>
          </cell>
          <cell r="I110" t="str">
            <v>OE INVOICES</v>
          </cell>
          <cell r="J110">
            <v>44421954598</v>
          </cell>
          <cell r="K110">
            <v>44677</v>
          </cell>
          <cell r="L110">
            <v>1</v>
          </cell>
          <cell r="M110" t="str">
            <v>EUR</v>
          </cell>
          <cell r="N110">
            <v>126.56</v>
          </cell>
          <cell r="O110">
            <v>15.82</v>
          </cell>
          <cell r="P110">
            <v>8</v>
          </cell>
          <cell r="Q110">
            <v>8</v>
          </cell>
          <cell r="R110">
            <v>0</v>
          </cell>
        </row>
        <row r="111">
          <cell r="A111" t="str">
            <v>1FY1FUTPB07W5JKB91</v>
          </cell>
          <cell r="B111" t="str">
            <v>Q1-23</v>
          </cell>
          <cell r="C111" t="str">
            <v>Europe Operations OU</v>
          </cell>
          <cell r="D111">
            <v>2674345</v>
          </cell>
          <cell r="E111" t="str">
            <v>Amazon EU SARL, succursale Italiana</v>
          </cell>
          <cell r="F111" t="str">
            <v>1FY1FUTP</v>
          </cell>
          <cell r="G111" t="str">
            <v>B07W5JKB91</v>
          </cell>
          <cell r="H111" t="str">
            <v>984-001688</v>
          </cell>
          <cell r="I111" t="str">
            <v>OE INVOICES</v>
          </cell>
          <cell r="J111">
            <v>44421976425</v>
          </cell>
          <cell r="K111">
            <v>44704</v>
          </cell>
          <cell r="L111">
            <v>1</v>
          </cell>
          <cell r="M111" t="str">
            <v>EUR</v>
          </cell>
          <cell r="N111">
            <v>2162.4299999999998</v>
          </cell>
          <cell r="O111">
            <v>240.27</v>
          </cell>
          <cell r="P111">
            <v>9</v>
          </cell>
          <cell r="Q111">
            <v>9</v>
          </cell>
          <cell r="R111">
            <v>0</v>
          </cell>
        </row>
        <row r="112">
          <cell r="A112" t="str">
            <v>1H179DEHB0032W4158</v>
          </cell>
          <cell r="B112" t="str">
            <v>Q1-23</v>
          </cell>
          <cell r="C112" t="str">
            <v>Europe Operations OU</v>
          </cell>
          <cell r="D112">
            <v>2674345</v>
          </cell>
          <cell r="E112" t="str">
            <v>Amazon EU SARL, succursale Italiana</v>
          </cell>
          <cell r="F112" t="str">
            <v>1H179DEH</v>
          </cell>
          <cell r="G112" t="str">
            <v>B0032W4158</v>
          </cell>
          <cell r="H112" t="str">
            <v>920-002420</v>
          </cell>
          <cell r="I112" t="str">
            <v>OE INVOICES</v>
          </cell>
          <cell r="J112">
            <v>44421954933</v>
          </cell>
          <cell r="K112">
            <v>44677</v>
          </cell>
          <cell r="L112">
            <v>1</v>
          </cell>
          <cell r="M112" t="str">
            <v>EUR</v>
          </cell>
          <cell r="N112">
            <v>278.44</v>
          </cell>
          <cell r="O112">
            <v>69.61</v>
          </cell>
          <cell r="P112">
            <v>4</v>
          </cell>
          <cell r="Q112">
            <v>4</v>
          </cell>
          <cell r="R112">
            <v>0</v>
          </cell>
        </row>
        <row r="113">
          <cell r="A113" t="str">
            <v>1H179DEHB003PAMIA2</v>
          </cell>
          <cell r="B113" t="str">
            <v>Q1-23</v>
          </cell>
          <cell r="C113" t="str">
            <v>Europe Operations OU</v>
          </cell>
          <cell r="D113">
            <v>2674345</v>
          </cell>
          <cell r="E113" t="str">
            <v>Amazon EU SARL, succursale Italiana</v>
          </cell>
          <cell r="F113" t="str">
            <v>1H179DEH</v>
          </cell>
          <cell r="G113" t="str">
            <v>B003PAMIA2</v>
          </cell>
          <cell r="H113" t="str">
            <v>920-002489</v>
          </cell>
          <cell r="I113" t="str">
            <v>OE INVOICES</v>
          </cell>
          <cell r="J113">
            <v>44421954933</v>
          </cell>
          <cell r="K113">
            <v>44677</v>
          </cell>
          <cell r="L113">
            <v>2</v>
          </cell>
          <cell r="M113" t="str">
            <v>EUR</v>
          </cell>
          <cell r="N113">
            <v>398</v>
          </cell>
          <cell r="O113">
            <v>9.9499999999999993</v>
          </cell>
          <cell r="P113">
            <v>40</v>
          </cell>
          <cell r="Q113">
            <v>40</v>
          </cell>
          <cell r="R113">
            <v>0</v>
          </cell>
        </row>
        <row r="114">
          <cell r="A114" t="str">
            <v>1H179DEHB003PO22H2</v>
          </cell>
          <cell r="B114" t="str">
            <v>Q1-23</v>
          </cell>
          <cell r="C114" t="str">
            <v>Europe Operations OU</v>
          </cell>
          <cell r="D114">
            <v>2674345</v>
          </cell>
          <cell r="E114" t="str">
            <v>Amazon EU SARL, succursale Italiana</v>
          </cell>
          <cell r="F114" t="str">
            <v>1H179DEH</v>
          </cell>
          <cell r="G114" t="str">
            <v>B003PO22H2</v>
          </cell>
          <cell r="H114" t="str">
            <v>920-002501</v>
          </cell>
          <cell r="I114" t="str">
            <v>OE INVOICES</v>
          </cell>
          <cell r="J114">
            <v>44421954933</v>
          </cell>
          <cell r="K114">
            <v>44677</v>
          </cell>
          <cell r="L114">
            <v>3</v>
          </cell>
          <cell r="M114" t="str">
            <v>EUR</v>
          </cell>
          <cell r="N114">
            <v>497.5</v>
          </cell>
          <cell r="O114">
            <v>9.9499999999999993</v>
          </cell>
          <cell r="P114">
            <v>50</v>
          </cell>
          <cell r="Q114">
            <v>50</v>
          </cell>
          <cell r="R114">
            <v>0</v>
          </cell>
        </row>
        <row r="115">
          <cell r="A115" t="str">
            <v>1H179DEHB003UPJXIC</v>
          </cell>
          <cell r="B115" t="str">
            <v>Q1-23</v>
          </cell>
          <cell r="C115" t="str">
            <v>Europe Operations OU</v>
          </cell>
          <cell r="D115">
            <v>2674345</v>
          </cell>
          <cell r="E115" t="str">
            <v>Amazon EU SARL, succursale Italiana</v>
          </cell>
          <cell r="F115" t="str">
            <v>1H179DEH</v>
          </cell>
          <cell r="G115" t="str">
            <v>B003UPJXIC</v>
          </cell>
          <cell r="H115" t="str">
            <v>980-000403</v>
          </cell>
          <cell r="I115" t="str">
            <v>OE INVOICES</v>
          </cell>
          <cell r="J115">
            <v>44421954933</v>
          </cell>
          <cell r="K115">
            <v>44677</v>
          </cell>
          <cell r="L115">
            <v>4</v>
          </cell>
          <cell r="M115" t="str">
            <v>EUR</v>
          </cell>
          <cell r="N115">
            <v>1962.48</v>
          </cell>
          <cell r="O115">
            <v>115.44</v>
          </cell>
          <cell r="P115">
            <v>17</v>
          </cell>
          <cell r="Q115">
            <v>17</v>
          </cell>
          <cell r="R115">
            <v>0</v>
          </cell>
        </row>
        <row r="116">
          <cell r="A116" t="str">
            <v>1H179DEHB003V4A5VG</v>
          </cell>
          <cell r="B116" t="str">
            <v>Q1-23</v>
          </cell>
          <cell r="C116" t="str">
            <v>Europe Operations OU</v>
          </cell>
          <cell r="D116">
            <v>2674345</v>
          </cell>
          <cell r="E116" t="str">
            <v>Amazon EU SARL, succursale Italiana</v>
          </cell>
          <cell r="F116" t="str">
            <v>1H179DEH</v>
          </cell>
          <cell r="G116" t="str">
            <v>B003V4A5VG</v>
          </cell>
          <cell r="H116" t="str">
            <v>920-002488</v>
          </cell>
          <cell r="I116" t="str">
            <v>OE INVOICES</v>
          </cell>
          <cell r="J116">
            <v>44421954933</v>
          </cell>
          <cell r="K116">
            <v>44677</v>
          </cell>
          <cell r="L116">
            <v>5</v>
          </cell>
          <cell r="M116" t="str">
            <v>EUR</v>
          </cell>
          <cell r="N116">
            <v>199</v>
          </cell>
          <cell r="O116">
            <v>9.9499999999999993</v>
          </cell>
          <cell r="P116">
            <v>20</v>
          </cell>
          <cell r="Q116">
            <v>20</v>
          </cell>
          <cell r="R116">
            <v>0</v>
          </cell>
        </row>
        <row r="117">
          <cell r="A117" t="str">
            <v>1H179DEHB003ZY9Z40</v>
          </cell>
          <cell r="B117" t="str">
            <v>Q1-23</v>
          </cell>
          <cell r="C117" t="str">
            <v>Europe Operations OU</v>
          </cell>
          <cell r="D117">
            <v>2674345</v>
          </cell>
          <cell r="E117" t="str">
            <v>Amazon EU SARL, succursale Italiana</v>
          </cell>
          <cell r="F117" t="str">
            <v>1H179DEH</v>
          </cell>
          <cell r="G117" t="str">
            <v>B003ZY9Z40</v>
          </cell>
          <cell r="H117" t="str">
            <v>920-002524</v>
          </cell>
          <cell r="I117" t="str">
            <v>OE INVOICES</v>
          </cell>
          <cell r="J117">
            <v>44421954933</v>
          </cell>
          <cell r="K117">
            <v>44677</v>
          </cell>
          <cell r="L117">
            <v>6</v>
          </cell>
          <cell r="M117" t="str">
            <v>EUR</v>
          </cell>
          <cell r="N117">
            <v>984</v>
          </cell>
          <cell r="O117">
            <v>8.1999999999999993</v>
          </cell>
          <cell r="P117">
            <v>120</v>
          </cell>
          <cell r="Q117">
            <v>120</v>
          </cell>
          <cell r="R117">
            <v>0</v>
          </cell>
        </row>
        <row r="118">
          <cell r="A118" t="str">
            <v>1H179DEHB004APAH40</v>
          </cell>
          <cell r="B118" t="str">
            <v>Q1-23</v>
          </cell>
          <cell r="C118" t="str">
            <v>Europe Operations OU</v>
          </cell>
          <cell r="D118">
            <v>2674345</v>
          </cell>
          <cell r="E118" t="str">
            <v>Amazon EU SARL, succursale Italiana</v>
          </cell>
          <cell r="F118" t="str">
            <v>1H179DEH</v>
          </cell>
          <cell r="G118" t="str">
            <v>B004APAH40</v>
          </cell>
          <cell r="H118" t="str">
            <v>920-002492</v>
          </cell>
          <cell r="I118" t="str">
            <v>OE INVOICES</v>
          </cell>
          <cell r="J118">
            <v>44421954927</v>
          </cell>
          <cell r="K118">
            <v>44677</v>
          </cell>
          <cell r="L118">
            <v>1</v>
          </cell>
          <cell r="M118" t="str">
            <v>EUR</v>
          </cell>
          <cell r="N118">
            <v>99.5</v>
          </cell>
          <cell r="O118">
            <v>9.9499999999999993</v>
          </cell>
          <cell r="P118">
            <v>10</v>
          </cell>
          <cell r="Q118">
            <v>10</v>
          </cell>
          <cell r="R118">
            <v>0</v>
          </cell>
        </row>
        <row r="119">
          <cell r="A119" t="str">
            <v>1H179DEHB0056C69DO</v>
          </cell>
          <cell r="B119" t="str">
            <v>Q1-23</v>
          </cell>
          <cell r="C119" t="str">
            <v>Europe Operations OU</v>
          </cell>
          <cell r="D119">
            <v>2674345</v>
          </cell>
          <cell r="E119" t="str">
            <v>Amazon EU SARL, succursale Italiana</v>
          </cell>
          <cell r="F119" t="str">
            <v>1H179DEH</v>
          </cell>
          <cell r="G119" t="str">
            <v>B0056C69DO</v>
          </cell>
          <cell r="H119" t="str">
            <v>920-002517</v>
          </cell>
          <cell r="I119" t="str">
            <v>OE INVOICES</v>
          </cell>
          <cell r="J119">
            <v>44421954933</v>
          </cell>
          <cell r="K119">
            <v>44677</v>
          </cell>
          <cell r="L119">
            <v>7</v>
          </cell>
          <cell r="M119" t="str">
            <v>EUR</v>
          </cell>
          <cell r="N119">
            <v>1722</v>
          </cell>
          <cell r="O119">
            <v>8.1999999999999993</v>
          </cell>
          <cell r="P119">
            <v>210</v>
          </cell>
          <cell r="Q119">
            <v>210</v>
          </cell>
          <cell r="R119">
            <v>0</v>
          </cell>
        </row>
        <row r="120">
          <cell r="A120" t="str">
            <v>1H179DEHB005IDE064</v>
          </cell>
          <cell r="B120" t="str">
            <v>Q1-23</v>
          </cell>
          <cell r="C120" t="str">
            <v>Europe Operations OU</v>
          </cell>
          <cell r="D120">
            <v>2674345</v>
          </cell>
          <cell r="E120" t="str">
            <v>Amazon EU SARL, succursale Italiana</v>
          </cell>
          <cell r="F120" t="str">
            <v>1H179DEH</v>
          </cell>
          <cell r="G120" t="str">
            <v>B005IDE064</v>
          </cell>
          <cell r="H120" t="str">
            <v>920-002440</v>
          </cell>
          <cell r="I120" t="str">
            <v>OE INVOICES</v>
          </cell>
          <cell r="J120">
            <v>44421954927</v>
          </cell>
          <cell r="K120">
            <v>44677</v>
          </cell>
          <cell r="L120">
            <v>2</v>
          </cell>
          <cell r="M120" t="str">
            <v>EUR</v>
          </cell>
          <cell r="N120">
            <v>278.44</v>
          </cell>
          <cell r="O120">
            <v>69.61</v>
          </cell>
          <cell r="P120">
            <v>4</v>
          </cell>
          <cell r="Q120">
            <v>4</v>
          </cell>
          <cell r="R120">
            <v>0</v>
          </cell>
        </row>
        <row r="121">
          <cell r="A121" t="str">
            <v>1H179DEHB00BF5QDZU</v>
          </cell>
          <cell r="B121" t="str">
            <v>Q1-23</v>
          </cell>
          <cell r="C121" t="str">
            <v>Europe Operations OU</v>
          </cell>
          <cell r="D121">
            <v>2674345</v>
          </cell>
          <cell r="E121" t="str">
            <v>Amazon EU SARL, succursale Italiana</v>
          </cell>
          <cell r="F121" t="str">
            <v>1H179DEH</v>
          </cell>
          <cell r="G121" t="str">
            <v>B00BF5QDZU</v>
          </cell>
          <cell r="H121" t="str">
            <v>920-004510</v>
          </cell>
          <cell r="I121" t="str">
            <v>OE INVOICES</v>
          </cell>
          <cell r="J121">
            <v>44421954933</v>
          </cell>
          <cell r="K121">
            <v>44677</v>
          </cell>
          <cell r="L121">
            <v>8</v>
          </cell>
          <cell r="M121" t="str">
            <v>EUR</v>
          </cell>
          <cell r="N121">
            <v>140.52000000000001</v>
          </cell>
          <cell r="O121">
            <v>23.42</v>
          </cell>
          <cell r="P121">
            <v>6</v>
          </cell>
          <cell r="Q121">
            <v>6</v>
          </cell>
          <cell r="R121">
            <v>0</v>
          </cell>
        </row>
        <row r="122">
          <cell r="A122" t="str">
            <v>1H179DEHB00YUOVBZK</v>
          </cell>
          <cell r="B122" t="str">
            <v>Q1-23</v>
          </cell>
          <cell r="C122" t="str">
            <v>Europe Operations OU</v>
          </cell>
          <cell r="D122">
            <v>2674345</v>
          </cell>
          <cell r="E122" t="str">
            <v>Amazon EU SARL, succursale Italiana</v>
          </cell>
          <cell r="F122" t="str">
            <v>1H179DEH</v>
          </cell>
          <cell r="G122" t="str">
            <v>B00YUOVBZK</v>
          </cell>
          <cell r="H122" t="str">
            <v>941-000113</v>
          </cell>
          <cell r="I122" t="str">
            <v>OE INVOICES</v>
          </cell>
          <cell r="J122">
            <v>44421954933</v>
          </cell>
          <cell r="K122">
            <v>44677</v>
          </cell>
          <cell r="L122">
            <v>9</v>
          </cell>
          <cell r="M122" t="str">
            <v>EUR</v>
          </cell>
          <cell r="N122">
            <v>842.08</v>
          </cell>
          <cell r="O122">
            <v>210.52</v>
          </cell>
          <cell r="P122">
            <v>4</v>
          </cell>
          <cell r="Q122">
            <v>4</v>
          </cell>
          <cell r="R122">
            <v>0</v>
          </cell>
        </row>
        <row r="123">
          <cell r="A123" t="str">
            <v>1H179DEHB011N78DMA</v>
          </cell>
          <cell r="B123" t="str">
            <v>Q1-23</v>
          </cell>
          <cell r="C123" t="str">
            <v>Europe Operations OU</v>
          </cell>
          <cell r="D123">
            <v>2674345</v>
          </cell>
          <cell r="E123" t="str">
            <v>Amazon EU SARL, succursale Italiana</v>
          </cell>
          <cell r="F123" t="str">
            <v>1H179DEH</v>
          </cell>
          <cell r="G123" t="str">
            <v>B011N78DMA</v>
          </cell>
          <cell r="H123" t="str">
            <v>941-000123</v>
          </cell>
          <cell r="I123" t="str">
            <v>OE INVOICES</v>
          </cell>
          <cell r="J123">
            <v>44421954933</v>
          </cell>
          <cell r="K123">
            <v>44677</v>
          </cell>
          <cell r="L123">
            <v>10</v>
          </cell>
          <cell r="M123" t="str">
            <v>EUR</v>
          </cell>
          <cell r="N123">
            <v>6736.64</v>
          </cell>
          <cell r="O123">
            <v>210.52</v>
          </cell>
          <cell r="P123">
            <v>32</v>
          </cell>
          <cell r="Q123">
            <v>32</v>
          </cell>
          <cell r="R123">
            <v>0</v>
          </cell>
        </row>
        <row r="124">
          <cell r="A124" t="str">
            <v>1H179DEHB01AUGT964</v>
          </cell>
          <cell r="B124" t="str">
            <v>Q1-23</v>
          </cell>
          <cell r="C124" t="str">
            <v>Europe Operations OU</v>
          </cell>
          <cell r="D124">
            <v>2674345</v>
          </cell>
          <cell r="E124" t="str">
            <v>Amazon EU SARL, succursale Italiana</v>
          </cell>
          <cell r="F124" t="str">
            <v>1H179DEH</v>
          </cell>
          <cell r="G124" t="str">
            <v>B01AUGT964</v>
          </cell>
          <cell r="H124" t="str">
            <v>920-007905</v>
          </cell>
          <cell r="I124" t="str">
            <v>OE INVOICES</v>
          </cell>
          <cell r="J124">
            <v>44421954933</v>
          </cell>
          <cell r="K124">
            <v>44677</v>
          </cell>
          <cell r="L124">
            <v>11</v>
          </cell>
          <cell r="M124" t="str">
            <v>EUR</v>
          </cell>
          <cell r="N124">
            <v>164</v>
          </cell>
          <cell r="O124">
            <v>20.5</v>
          </cell>
          <cell r="P124">
            <v>8</v>
          </cell>
          <cell r="Q124">
            <v>8</v>
          </cell>
          <cell r="R124">
            <v>0</v>
          </cell>
        </row>
        <row r="125">
          <cell r="A125" t="str">
            <v>1H179DEHB01C47ZFLK</v>
          </cell>
          <cell r="B125" t="str">
            <v>Q1-23</v>
          </cell>
          <cell r="C125" t="str">
            <v>Europe Operations OU</v>
          </cell>
          <cell r="D125">
            <v>2674345</v>
          </cell>
          <cell r="E125" t="str">
            <v>Amazon EU SARL, succursale Italiana</v>
          </cell>
          <cell r="F125" t="str">
            <v>1H179DEH</v>
          </cell>
          <cell r="G125" t="str">
            <v>B01C47ZFLK</v>
          </cell>
          <cell r="H125" t="str">
            <v>920-007913</v>
          </cell>
          <cell r="I125" t="str">
            <v>OE INVOICES</v>
          </cell>
          <cell r="J125">
            <v>44421954927</v>
          </cell>
          <cell r="K125">
            <v>44677</v>
          </cell>
          <cell r="L125">
            <v>3</v>
          </cell>
          <cell r="M125" t="str">
            <v>EUR</v>
          </cell>
          <cell r="N125">
            <v>2460</v>
          </cell>
          <cell r="O125">
            <v>20.5</v>
          </cell>
          <cell r="P125">
            <v>120</v>
          </cell>
          <cell r="Q125">
            <v>120</v>
          </cell>
          <cell r="R125">
            <v>0</v>
          </cell>
        </row>
        <row r="126">
          <cell r="A126" t="str">
            <v>1H179DEHB01C4HCSOC</v>
          </cell>
          <cell r="B126" t="str">
            <v>Q1-23</v>
          </cell>
          <cell r="C126" t="str">
            <v>Europe Operations OU</v>
          </cell>
          <cell r="D126">
            <v>2674345</v>
          </cell>
          <cell r="E126" t="str">
            <v>Amazon EU SARL, succursale Italiana</v>
          </cell>
          <cell r="F126" t="str">
            <v>1H179DEH</v>
          </cell>
          <cell r="G126" t="str">
            <v>B01C4HCSOC</v>
          </cell>
          <cell r="H126" t="str">
            <v>920-007907</v>
          </cell>
          <cell r="I126" t="str">
            <v>OE INVOICES</v>
          </cell>
          <cell r="J126">
            <v>44421954933</v>
          </cell>
          <cell r="K126">
            <v>44677</v>
          </cell>
          <cell r="L126">
            <v>12</v>
          </cell>
          <cell r="M126" t="str">
            <v>EUR</v>
          </cell>
          <cell r="N126">
            <v>328</v>
          </cell>
          <cell r="O126">
            <v>20.5</v>
          </cell>
          <cell r="P126">
            <v>16</v>
          </cell>
          <cell r="Q126">
            <v>16</v>
          </cell>
          <cell r="R126">
            <v>0</v>
          </cell>
        </row>
        <row r="127">
          <cell r="A127" t="str">
            <v>1H179DEHB01D3KPY5O</v>
          </cell>
          <cell r="B127" t="str">
            <v>Q1-23</v>
          </cell>
          <cell r="C127" t="str">
            <v>Europe Operations OU</v>
          </cell>
          <cell r="D127">
            <v>2674345</v>
          </cell>
          <cell r="E127" t="str">
            <v>Amazon EU SARL, succursale Italiana</v>
          </cell>
          <cell r="F127" t="str">
            <v>1H179DEH</v>
          </cell>
          <cell r="G127" t="str">
            <v>B01D3KPY5O</v>
          </cell>
          <cell r="H127" t="str">
            <v>920-007911</v>
          </cell>
          <cell r="I127" t="str">
            <v>OE INVOICES</v>
          </cell>
          <cell r="J127">
            <v>44421954927</v>
          </cell>
          <cell r="K127">
            <v>44677</v>
          </cell>
          <cell r="L127">
            <v>4</v>
          </cell>
          <cell r="M127" t="str">
            <v>EUR</v>
          </cell>
          <cell r="N127">
            <v>2296</v>
          </cell>
          <cell r="O127">
            <v>20.5</v>
          </cell>
          <cell r="P127">
            <v>112</v>
          </cell>
          <cell r="Q127">
            <v>112</v>
          </cell>
          <cell r="R127">
            <v>0</v>
          </cell>
        </row>
        <row r="128">
          <cell r="A128" t="str">
            <v>1H179DEHB01DKGAQNG</v>
          </cell>
          <cell r="B128" t="str">
            <v>Q1-23</v>
          </cell>
          <cell r="C128" t="str">
            <v>Europe Operations OU</v>
          </cell>
          <cell r="D128">
            <v>2674345</v>
          </cell>
          <cell r="E128" t="str">
            <v>Amazon EU SARL, succursale Italiana</v>
          </cell>
          <cell r="F128" t="str">
            <v>1H179DEH</v>
          </cell>
          <cell r="G128" t="str">
            <v>B01DKGAQNG</v>
          </cell>
          <cell r="H128" t="str">
            <v>920-008031</v>
          </cell>
          <cell r="I128" t="str">
            <v>OE INVOICES</v>
          </cell>
          <cell r="J128">
            <v>44421954927</v>
          </cell>
          <cell r="K128">
            <v>44677</v>
          </cell>
          <cell r="L128">
            <v>5</v>
          </cell>
          <cell r="M128" t="str">
            <v>EUR</v>
          </cell>
          <cell r="N128">
            <v>984</v>
          </cell>
          <cell r="O128">
            <v>20.5</v>
          </cell>
          <cell r="P128">
            <v>48</v>
          </cell>
          <cell r="Q128">
            <v>48</v>
          </cell>
          <cell r="R128">
            <v>0</v>
          </cell>
        </row>
        <row r="129">
          <cell r="A129" t="str">
            <v>1H179DEHB01I252A34</v>
          </cell>
          <cell r="B129" t="str">
            <v>Q1-23</v>
          </cell>
          <cell r="C129" t="str">
            <v>Europe Operations OU</v>
          </cell>
          <cell r="D129">
            <v>2674345</v>
          </cell>
          <cell r="E129" t="str">
            <v>Amazon EU SARL, succursale Italiana</v>
          </cell>
          <cell r="F129" t="str">
            <v>1H179DEH</v>
          </cell>
          <cell r="G129" t="str">
            <v>B01I252A34</v>
          </cell>
          <cell r="H129" t="str">
            <v>920-005214</v>
          </cell>
          <cell r="I129" t="str">
            <v>OE INVOICES</v>
          </cell>
          <cell r="J129">
            <v>44421954933</v>
          </cell>
          <cell r="K129">
            <v>44677</v>
          </cell>
          <cell r="L129">
            <v>13</v>
          </cell>
          <cell r="M129" t="str">
            <v>EUR</v>
          </cell>
          <cell r="N129">
            <v>146.4</v>
          </cell>
          <cell r="O129">
            <v>14.64</v>
          </cell>
          <cell r="P129">
            <v>10</v>
          </cell>
          <cell r="Q129">
            <v>10</v>
          </cell>
          <cell r="R129">
            <v>0</v>
          </cell>
        </row>
        <row r="130">
          <cell r="A130" t="str">
            <v>1H179DEHB01L6L45ES</v>
          </cell>
          <cell r="B130" t="str">
            <v>Q1-23</v>
          </cell>
          <cell r="C130" t="str">
            <v>Europe Operations OU</v>
          </cell>
          <cell r="D130">
            <v>2674345</v>
          </cell>
          <cell r="E130" t="str">
            <v>Amazon EU SARL, succursale Italiana</v>
          </cell>
          <cell r="F130" t="str">
            <v>1H179DEH</v>
          </cell>
          <cell r="G130" t="str">
            <v>B01L6L45ES</v>
          </cell>
          <cell r="H130" t="str">
            <v>920-008088</v>
          </cell>
          <cell r="I130" t="str">
            <v>OE INVOICES</v>
          </cell>
          <cell r="J130">
            <v>44421954933</v>
          </cell>
          <cell r="K130">
            <v>44677</v>
          </cell>
          <cell r="L130">
            <v>14</v>
          </cell>
          <cell r="M130" t="str">
            <v>EUR</v>
          </cell>
          <cell r="N130">
            <v>337.6</v>
          </cell>
          <cell r="O130">
            <v>42.2</v>
          </cell>
          <cell r="P130">
            <v>8</v>
          </cell>
          <cell r="Q130">
            <v>8</v>
          </cell>
          <cell r="R130">
            <v>0</v>
          </cell>
        </row>
        <row r="131">
          <cell r="A131" t="str">
            <v>1H179DEHB01MQYCMS6</v>
          </cell>
          <cell r="B131" t="str">
            <v>Q1-23</v>
          </cell>
          <cell r="C131" t="str">
            <v>Europe Operations OU</v>
          </cell>
          <cell r="D131">
            <v>2674345</v>
          </cell>
          <cell r="E131" t="str">
            <v>Amazon EU SARL, succursale Italiana</v>
          </cell>
          <cell r="F131" t="str">
            <v>1H179DEH</v>
          </cell>
          <cell r="G131" t="str">
            <v>B01MQYCMS6</v>
          </cell>
          <cell r="H131" t="str">
            <v>920-008181</v>
          </cell>
          <cell r="I131" t="str">
            <v>OE INVOICES</v>
          </cell>
          <cell r="J131">
            <v>44421954933</v>
          </cell>
          <cell r="K131">
            <v>44677</v>
          </cell>
          <cell r="L131">
            <v>15</v>
          </cell>
          <cell r="M131" t="str">
            <v>EUR</v>
          </cell>
          <cell r="N131">
            <v>234.24</v>
          </cell>
          <cell r="O131">
            <v>29.28</v>
          </cell>
          <cell r="P131">
            <v>8</v>
          </cell>
          <cell r="Q131">
            <v>8</v>
          </cell>
          <cell r="R131">
            <v>0</v>
          </cell>
        </row>
        <row r="132">
          <cell r="A132" t="str">
            <v>1H179DEHB06XQ3V8G7</v>
          </cell>
          <cell r="B132" t="str">
            <v>Q1-23</v>
          </cell>
          <cell r="C132" t="str">
            <v>Europe Operations OU</v>
          </cell>
          <cell r="D132">
            <v>2674345</v>
          </cell>
          <cell r="E132" t="str">
            <v>Amazon EU SARL, succursale Italiana</v>
          </cell>
          <cell r="F132" t="str">
            <v>1H179DEH</v>
          </cell>
          <cell r="G132" t="str">
            <v>B06XQ3V8G7</v>
          </cell>
          <cell r="H132" t="str">
            <v>920-008305</v>
          </cell>
          <cell r="I132" t="str">
            <v>OE INVOICES</v>
          </cell>
          <cell r="J132">
            <v>44421954933</v>
          </cell>
          <cell r="K132">
            <v>44677</v>
          </cell>
          <cell r="L132">
            <v>16</v>
          </cell>
          <cell r="M132" t="str">
            <v>EUR</v>
          </cell>
          <cell r="N132">
            <v>211.04</v>
          </cell>
          <cell r="O132">
            <v>52.76</v>
          </cell>
          <cell r="P132">
            <v>4</v>
          </cell>
          <cell r="Q132">
            <v>4</v>
          </cell>
          <cell r="R132">
            <v>0</v>
          </cell>
        </row>
        <row r="133">
          <cell r="A133" t="str">
            <v>1H179DEHB071XW5FW8</v>
          </cell>
          <cell r="B133" t="str">
            <v>Q1-23</v>
          </cell>
          <cell r="C133" t="str">
            <v>Europe Operations OU</v>
          </cell>
          <cell r="D133">
            <v>2674345</v>
          </cell>
          <cell r="E133" t="str">
            <v>Amazon EU SARL, succursale Italiana</v>
          </cell>
          <cell r="F133" t="str">
            <v>1H179DEH</v>
          </cell>
          <cell r="G133" t="str">
            <v>B071XW5FW8</v>
          </cell>
          <cell r="H133" t="str">
            <v>920-008530</v>
          </cell>
          <cell r="I133" t="str">
            <v>OE INVOICES</v>
          </cell>
          <cell r="J133">
            <v>44421954933</v>
          </cell>
          <cell r="K133">
            <v>44677</v>
          </cell>
          <cell r="L133">
            <v>17</v>
          </cell>
          <cell r="M133" t="str">
            <v>EUR</v>
          </cell>
          <cell r="N133">
            <v>1477.28</v>
          </cell>
          <cell r="O133">
            <v>52.76</v>
          </cell>
          <cell r="P133">
            <v>28</v>
          </cell>
          <cell r="Q133">
            <v>28</v>
          </cell>
          <cell r="R133">
            <v>0</v>
          </cell>
        </row>
        <row r="134">
          <cell r="A134" t="str">
            <v>1H179DEHB0797JRLQC</v>
          </cell>
          <cell r="B134" t="str">
            <v>Q1-23</v>
          </cell>
          <cell r="C134" t="str">
            <v>Europe Operations OU</v>
          </cell>
          <cell r="D134">
            <v>2674345</v>
          </cell>
          <cell r="E134" t="str">
            <v>Amazon EU SARL, succursale Italiana</v>
          </cell>
          <cell r="F134" t="str">
            <v>1H179DEH</v>
          </cell>
          <cell r="G134" t="str">
            <v>B0797JRLQC</v>
          </cell>
          <cell r="H134" t="str">
            <v>920-008684</v>
          </cell>
          <cell r="I134" t="str">
            <v>OE INVOICES</v>
          </cell>
          <cell r="J134">
            <v>44421954933</v>
          </cell>
          <cell r="K134">
            <v>44677</v>
          </cell>
          <cell r="L134">
            <v>18</v>
          </cell>
          <cell r="M134" t="str">
            <v>EUR</v>
          </cell>
          <cell r="N134">
            <v>163.96</v>
          </cell>
          <cell r="O134">
            <v>40.99</v>
          </cell>
          <cell r="P134">
            <v>4</v>
          </cell>
          <cell r="Q134">
            <v>4</v>
          </cell>
          <cell r="R134">
            <v>0</v>
          </cell>
        </row>
        <row r="135">
          <cell r="A135" t="str">
            <v>1H179DEHB07W6GVS5C</v>
          </cell>
          <cell r="B135" t="str">
            <v>Q1-23</v>
          </cell>
          <cell r="C135" t="str">
            <v>Europe Operations OU</v>
          </cell>
          <cell r="D135">
            <v>2674345</v>
          </cell>
          <cell r="E135" t="str">
            <v>Amazon EU SARL, succursale Italiana</v>
          </cell>
          <cell r="F135" t="str">
            <v>1H179DEH</v>
          </cell>
          <cell r="G135" t="str">
            <v>B07W6GVS5C</v>
          </cell>
          <cell r="H135" t="str">
            <v>920-009439</v>
          </cell>
          <cell r="I135" t="str">
            <v>OE INVOICES</v>
          </cell>
          <cell r="J135">
            <v>44421954933</v>
          </cell>
          <cell r="K135">
            <v>44677</v>
          </cell>
          <cell r="L135">
            <v>19</v>
          </cell>
          <cell r="M135" t="str">
            <v>EUR</v>
          </cell>
          <cell r="N135">
            <v>168.8</v>
          </cell>
          <cell r="O135">
            <v>42.2</v>
          </cell>
          <cell r="P135">
            <v>4</v>
          </cell>
          <cell r="Q135">
            <v>4</v>
          </cell>
          <cell r="R135">
            <v>0</v>
          </cell>
        </row>
        <row r="136">
          <cell r="A136" t="str">
            <v>1IPN3LSPB07JGCM9QM</v>
          </cell>
          <cell r="B136" t="str">
            <v>Q1-23</v>
          </cell>
          <cell r="C136" t="str">
            <v>Europe Operations OU</v>
          </cell>
          <cell r="D136">
            <v>2674345</v>
          </cell>
          <cell r="E136" t="str">
            <v>Amazon EU SARL, succursale Italiana</v>
          </cell>
          <cell r="F136" t="str">
            <v>1IPN3LSP</v>
          </cell>
          <cell r="G136" t="str">
            <v>B07JGCM9QM</v>
          </cell>
          <cell r="H136" t="str">
            <v>945-000062</v>
          </cell>
          <cell r="I136" t="str">
            <v>OE INVOICES</v>
          </cell>
          <cell r="J136">
            <v>44421976185</v>
          </cell>
          <cell r="K136">
            <v>44704</v>
          </cell>
          <cell r="L136">
            <v>1</v>
          </cell>
          <cell r="M136" t="str">
            <v>EUR</v>
          </cell>
          <cell r="N136">
            <v>1913.73</v>
          </cell>
          <cell r="O136">
            <v>147.21</v>
          </cell>
          <cell r="P136">
            <v>13</v>
          </cell>
          <cell r="Q136">
            <v>13</v>
          </cell>
          <cell r="R136">
            <v>0</v>
          </cell>
        </row>
        <row r="137">
          <cell r="A137" t="str">
            <v>1O6JEKYWB0766JZ8Q3</v>
          </cell>
          <cell r="B137" t="str">
            <v>Q1-23</v>
          </cell>
          <cell r="C137" t="str">
            <v>Europe Operations OU</v>
          </cell>
          <cell r="D137">
            <v>2674345</v>
          </cell>
          <cell r="E137" t="str">
            <v>Amazon EU SARL, succursale Italiana</v>
          </cell>
          <cell r="F137" t="str">
            <v>1O6JEKYW</v>
          </cell>
          <cell r="G137" t="str">
            <v>B0766JZ8Q3</v>
          </cell>
          <cell r="H137" t="str">
            <v>943-000118</v>
          </cell>
          <cell r="I137" t="str">
            <v>OE INVOICES</v>
          </cell>
          <cell r="J137">
            <v>44421961032</v>
          </cell>
          <cell r="K137">
            <v>44687</v>
          </cell>
          <cell r="L137">
            <v>1</v>
          </cell>
          <cell r="M137" t="str">
            <v>EUR</v>
          </cell>
          <cell r="N137">
            <v>1371.24</v>
          </cell>
          <cell r="O137">
            <v>26.37</v>
          </cell>
          <cell r="P137">
            <v>52</v>
          </cell>
          <cell r="Q137">
            <v>52</v>
          </cell>
          <cell r="R137">
            <v>0</v>
          </cell>
        </row>
        <row r="138">
          <cell r="A138" t="str">
            <v>1QCXHA1RB00C3VSZEW</v>
          </cell>
          <cell r="B138" t="str">
            <v>Q1-23</v>
          </cell>
          <cell r="C138" t="str">
            <v>Europe Operations OU</v>
          </cell>
          <cell r="D138">
            <v>2674345</v>
          </cell>
          <cell r="E138" t="str">
            <v>Amazon EU SARL, succursale Italiana</v>
          </cell>
          <cell r="F138" t="str">
            <v>1QCXHA1R</v>
          </cell>
          <cell r="G138" t="str">
            <v>B00C3VSZEW</v>
          </cell>
          <cell r="H138" t="str">
            <v>981-000519</v>
          </cell>
          <cell r="I138" t="str">
            <v>OE INVOICES</v>
          </cell>
          <cell r="J138">
            <v>44421963811</v>
          </cell>
          <cell r="K138">
            <v>44691</v>
          </cell>
          <cell r="L138">
            <v>1</v>
          </cell>
          <cell r="M138" t="str">
            <v>EUR</v>
          </cell>
          <cell r="N138">
            <v>1679.76</v>
          </cell>
          <cell r="O138">
            <v>46.66</v>
          </cell>
          <cell r="P138">
            <v>36</v>
          </cell>
          <cell r="Q138">
            <v>36</v>
          </cell>
          <cell r="R138">
            <v>0</v>
          </cell>
        </row>
        <row r="139">
          <cell r="A139" t="str">
            <v>1QCXHA1RB07FNHV4MW</v>
          </cell>
          <cell r="B139" t="str">
            <v>Q1-23</v>
          </cell>
          <cell r="C139" t="str">
            <v>Europe Operations OU</v>
          </cell>
          <cell r="D139">
            <v>2674345</v>
          </cell>
          <cell r="E139" t="str">
            <v>Amazon EU SARL, succursale Italiana</v>
          </cell>
          <cell r="F139" t="str">
            <v>1QCXHA1R</v>
          </cell>
          <cell r="G139" t="str">
            <v>B07FNHV4MW</v>
          </cell>
          <cell r="H139" t="str">
            <v>910-005448</v>
          </cell>
          <cell r="I139" t="str">
            <v>OE INVOICES</v>
          </cell>
          <cell r="J139">
            <v>44421963811</v>
          </cell>
          <cell r="K139">
            <v>44691</v>
          </cell>
          <cell r="L139">
            <v>2</v>
          </cell>
          <cell r="M139" t="str">
            <v>EUR</v>
          </cell>
          <cell r="N139">
            <v>556.88</v>
          </cell>
          <cell r="O139">
            <v>69.61</v>
          </cell>
          <cell r="P139">
            <v>8</v>
          </cell>
          <cell r="Q139">
            <v>8</v>
          </cell>
          <cell r="R139">
            <v>0</v>
          </cell>
        </row>
        <row r="140">
          <cell r="A140" t="str">
            <v>1QCXHA1RB07W6JG6Z7</v>
          </cell>
          <cell r="B140" t="str">
            <v>Q1-23</v>
          </cell>
          <cell r="C140" t="str">
            <v>Europe Operations OU</v>
          </cell>
          <cell r="D140">
            <v>2674345</v>
          </cell>
          <cell r="E140" t="str">
            <v>Amazon EU SARL, succursale Italiana</v>
          </cell>
          <cell r="F140" t="str">
            <v>1QCXHA1R</v>
          </cell>
          <cell r="G140" t="str">
            <v>B07W6JG6Z7</v>
          </cell>
          <cell r="H140" t="str">
            <v>910-005694</v>
          </cell>
          <cell r="I140" t="str">
            <v>OE INVOICES</v>
          </cell>
          <cell r="J140">
            <v>44421963811</v>
          </cell>
          <cell r="K140">
            <v>44691</v>
          </cell>
          <cell r="L140">
            <v>3</v>
          </cell>
          <cell r="M140" t="str">
            <v>EUR</v>
          </cell>
          <cell r="N140">
            <v>7541</v>
          </cell>
          <cell r="O140">
            <v>75.41</v>
          </cell>
          <cell r="P140">
            <v>100</v>
          </cell>
          <cell r="Q140">
            <v>100</v>
          </cell>
          <cell r="R140">
            <v>0</v>
          </cell>
        </row>
        <row r="141">
          <cell r="A141" t="str">
            <v>1S3VNUKAB003V4A5UW</v>
          </cell>
          <cell r="B141" t="str">
            <v>Q1-23</v>
          </cell>
          <cell r="C141" t="str">
            <v>Europe Operations OU</v>
          </cell>
          <cell r="D141">
            <v>2674345</v>
          </cell>
          <cell r="E141" t="str">
            <v>Amazon EU SARL, succursale Italiana</v>
          </cell>
          <cell r="F141" t="str">
            <v>1S3VNUKA</v>
          </cell>
          <cell r="G141" t="str">
            <v>B003V4A5UW</v>
          </cell>
          <cell r="H141" t="str">
            <v>920-002539</v>
          </cell>
          <cell r="I141" t="str">
            <v>OE INVOICES</v>
          </cell>
          <cell r="J141">
            <v>44421976489</v>
          </cell>
          <cell r="K141">
            <v>44704</v>
          </cell>
          <cell r="L141">
            <v>1</v>
          </cell>
          <cell r="M141" t="str">
            <v>EUR</v>
          </cell>
          <cell r="N141">
            <v>146.4</v>
          </cell>
          <cell r="O141">
            <v>14.64</v>
          </cell>
          <cell r="P141">
            <v>10</v>
          </cell>
          <cell r="Q141">
            <v>10</v>
          </cell>
          <cell r="R141">
            <v>0</v>
          </cell>
        </row>
        <row r="142">
          <cell r="A142" t="str">
            <v>1S3VNUKAB008M4RH1G</v>
          </cell>
          <cell r="B142" t="str">
            <v>Q1-23</v>
          </cell>
          <cell r="C142" t="str">
            <v>Europe Operations OU</v>
          </cell>
          <cell r="D142">
            <v>2674345</v>
          </cell>
          <cell r="E142" t="str">
            <v>Amazon EU SARL, succursale Italiana</v>
          </cell>
          <cell r="F142" t="str">
            <v>1S3VNUKA</v>
          </cell>
          <cell r="G142" t="str">
            <v>B008M4RH1G</v>
          </cell>
          <cell r="H142" t="str">
            <v>920-002509</v>
          </cell>
          <cell r="I142" t="str">
            <v>OE INVOICES</v>
          </cell>
          <cell r="J142">
            <v>44421976489</v>
          </cell>
          <cell r="K142">
            <v>44704</v>
          </cell>
          <cell r="L142">
            <v>2</v>
          </cell>
          <cell r="M142" t="str">
            <v>EUR</v>
          </cell>
          <cell r="N142">
            <v>99.5</v>
          </cell>
          <cell r="O142">
            <v>9.9499999999999993</v>
          </cell>
          <cell r="P142">
            <v>10</v>
          </cell>
          <cell r="Q142">
            <v>10</v>
          </cell>
          <cell r="R142">
            <v>0</v>
          </cell>
        </row>
        <row r="143">
          <cell r="A143" t="str">
            <v>1S3VNUKAB01MCXJWD1</v>
          </cell>
          <cell r="B143" t="str">
            <v>Q1-23</v>
          </cell>
          <cell r="C143" t="str">
            <v>Europe Operations OU</v>
          </cell>
          <cell r="D143">
            <v>2674345</v>
          </cell>
          <cell r="E143" t="str">
            <v>Amazon EU SARL, succursale Italiana</v>
          </cell>
          <cell r="F143" t="str">
            <v>1S3VNUKA</v>
          </cell>
          <cell r="G143" t="str">
            <v>B01MCXJWD1</v>
          </cell>
          <cell r="H143" t="str">
            <v>945-000004</v>
          </cell>
          <cell r="I143" t="str">
            <v>OE INVOICES</v>
          </cell>
          <cell r="J143">
            <v>44421976489</v>
          </cell>
          <cell r="K143">
            <v>44704</v>
          </cell>
          <cell r="L143">
            <v>3</v>
          </cell>
          <cell r="M143" t="str">
            <v>EUR</v>
          </cell>
          <cell r="N143">
            <v>167.78</v>
          </cell>
          <cell r="O143">
            <v>83.89</v>
          </cell>
          <cell r="P143">
            <v>2</v>
          </cell>
          <cell r="Q143">
            <v>2</v>
          </cell>
          <cell r="R143">
            <v>0</v>
          </cell>
        </row>
        <row r="144">
          <cell r="A144" t="str">
            <v>1S3VNUKAB01MQ0N57Q</v>
          </cell>
          <cell r="B144" t="str">
            <v>Q1-23</v>
          </cell>
          <cell r="C144" t="str">
            <v>Europe Operations OU</v>
          </cell>
          <cell r="D144">
            <v>2674345</v>
          </cell>
          <cell r="E144" t="str">
            <v>Amazon EU SARL, succursale Italiana</v>
          </cell>
          <cell r="F144" t="str">
            <v>1S3VNUKA</v>
          </cell>
          <cell r="G144" t="str">
            <v>B01MQ0N57Q</v>
          </cell>
          <cell r="H144" t="str">
            <v>945-000005</v>
          </cell>
          <cell r="I144" t="str">
            <v>OE INVOICES</v>
          </cell>
          <cell r="J144">
            <v>44421976489</v>
          </cell>
          <cell r="K144">
            <v>44704</v>
          </cell>
          <cell r="L144">
            <v>4</v>
          </cell>
          <cell r="M144" t="str">
            <v>EUR</v>
          </cell>
          <cell r="N144">
            <v>314.48</v>
          </cell>
          <cell r="O144">
            <v>78.62</v>
          </cell>
          <cell r="P144">
            <v>4</v>
          </cell>
          <cell r="Q144">
            <v>4</v>
          </cell>
          <cell r="R144">
            <v>0</v>
          </cell>
        </row>
        <row r="145">
          <cell r="A145" t="str">
            <v>1S3VNUKAB073399S1L</v>
          </cell>
          <cell r="B145" t="str">
            <v>Q1-23</v>
          </cell>
          <cell r="C145" t="str">
            <v>Europe Operations OU</v>
          </cell>
          <cell r="D145">
            <v>2674345</v>
          </cell>
          <cell r="E145" t="str">
            <v>Amazon EU SARL, succursale Italiana</v>
          </cell>
          <cell r="F145" t="str">
            <v>1S3VNUKA</v>
          </cell>
          <cell r="G145" t="str">
            <v>B073399S1L</v>
          </cell>
          <cell r="H145" t="str">
            <v>943-000110</v>
          </cell>
          <cell r="I145" t="str">
            <v>OE INVOICES</v>
          </cell>
          <cell r="J145">
            <v>44421976489</v>
          </cell>
          <cell r="K145">
            <v>44704</v>
          </cell>
          <cell r="L145">
            <v>5</v>
          </cell>
          <cell r="M145" t="str">
            <v>EUR</v>
          </cell>
          <cell r="N145">
            <v>2722.4</v>
          </cell>
          <cell r="O145">
            <v>68.06</v>
          </cell>
          <cell r="P145">
            <v>40</v>
          </cell>
          <cell r="Q145">
            <v>40</v>
          </cell>
          <cell r="R145">
            <v>0</v>
          </cell>
        </row>
        <row r="146">
          <cell r="A146" t="str">
            <v>1S3VNUKAB07JGCM9QM</v>
          </cell>
          <cell r="B146" t="str">
            <v>Q1-23</v>
          </cell>
          <cell r="C146" t="str">
            <v>Europe Operations OU</v>
          </cell>
          <cell r="D146">
            <v>2674345</v>
          </cell>
          <cell r="E146" t="str">
            <v>Amazon EU SARL, succursale Italiana</v>
          </cell>
          <cell r="F146" t="str">
            <v>1S3VNUKA</v>
          </cell>
          <cell r="G146" t="str">
            <v>B07JGCM9QM</v>
          </cell>
          <cell r="H146" t="str">
            <v>945-000062</v>
          </cell>
          <cell r="I146" t="str">
            <v>OE INVOICES</v>
          </cell>
          <cell r="J146">
            <v>44421976489</v>
          </cell>
          <cell r="K146">
            <v>44704</v>
          </cell>
          <cell r="L146">
            <v>6</v>
          </cell>
          <cell r="M146" t="str">
            <v>EUR</v>
          </cell>
          <cell r="N146">
            <v>736.05</v>
          </cell>
          <cell r="O146">
            <v>147.21</v>
          </cell>
          <cell r="P146">
            <v>5</v>
          </cell>
          <cell r="Q146">
            <v>5</v>
          </cell>
          <cell r="R146">
            <v>0</v>
          </cell>
        </row>
        <row r="147">
          <cell r="A147" t="str">
            <v>2BH1M1WRB010EPT2X6</v>
          </cell>
          <cell r="B147" t="str">
            <v>Q1-23</v>
          </cell>
          <cell r="C147" t="str">
            <v>Europe Operations OU</v>
          </cell>
          <cell r="D147">
            <v>2674345</v>
          </cell>
          <cell r="E147" t="str">
            <v>Amazon EU SARL, succursale Italiana</v>
          </cell>
          <cell r="F147" t="str">
            <v>2BH1M1WR</v>
          </cell>
          <cell r="G147" t="str">
            <v>B010EPT2X6</v>
          </cell>
          <cell r="H147" t="str">
            <v>920-007145</v>
          </cell>
          <cell r="I147" t="str">
            <v>OE INVOICES</v>
          </cell>
          <cell r="J147">
            <v>44421955102</v>
          </cell>
          <cell r="K147">
            <v>44677</v>
          </cell>
          <cell r="L147">
            <v>1</v>
          </cell>
          <cell r="M147" t="str">
            <v>EUR</v>
          </cell>
          <cell r="N147">
            <v>12297.6</v>
          </cell>
          <cell r="O147">
            <v>29.28</v>
          </cell>
          <cell r="P147">
            <v>420</v>
          </cell>
          <cell r="Q147">
            <v>420</v>
          </cell>
          <cell r="R147">
            <v>0</v>
          </cell>
        </row>
        <row r="148">
          <cell r="A148" t="str">
            <v>2D9BINCTB01K7GEG9W</v>
          </cell>
          <cell r="B148" t="str">
            <v>Q1-23</v>
          </cell>
          <cell r="C148" t="str">
            <v>Europe Operations OU</v>
          </cell>
          <cell r="D148">
            <v>2674345</v>
          </cell>
          <cell r="E148" t="str">
            <v>Amazon EU SARL, succursale Italiana</v>
          </cell>
          <cell r="F148" t="str">
            <v>2D9BINCT</v>
          </cell>
          <cell r="G148" t="str">
            <v>B01K7GEG9W</v>
          </cell>
          <cell r="H148" t="str">
            <v>910-004878</v>
          </cell>
          <cell r="I148" t="str">
            <v>OE INVOICES</v>
          </cell>
          <cell r="J148">
            <v>44421952272</v>
          </cell>
          <cell r="K148">
            <v>44672</v>
          </cell>
          <cell r="L148">
            <v>1</v>
          </cell>
          <cell r="M148" t="str">
            <v>EUR</v>
          </cell>
          <cell r="N148">
            <v>2488.8000000000002</v>
          </cell>
          <cell r="O148">
            <v>14.64</v>
          </cell>
          <cell r="P148">
            <v>170</v>
          </cell>
          <cell r="Q148">
            <v>170</v>
          </cell>
          <cell r="R148">
            <v>0</v>
          </cell>
        </row>
        <row r="149">
          <cell r="A149" t="str">
            <v>2D9BINCTB01N5NYRES</v>
          </cell>
          <cell r="B149" t="str">
            <v>Q1-23</v>
          </cell>
          <cell r="C149" t="str">
            <v>Europe Operations OU</v>
          </cell>
          <cell r="D149">
            <v>2674345</v>
          </cell>
          <cell r="E149" t="str">
            <v>Amazon EU SARL, succursale Italiana</v>
          </cell>
          <cell r="F149" t="str">
            <v>2D9BINCT</v>
          </cell>
          <cell r="G149" t="str">
            <v>B01N5NYRES</v>
          </cell>
          <cell r="H149" t="str">
            <v>960-001106</v>
          </cell>
          <cell r="I149" t="str">
            <v>OE INVOICES</v>
          </cell>
          <cell r="J149">
            <v>44421952272</v>
          </cell>
          <cell r="K149">
            <v>44672</v>
          </cell>
          <cell r="L149">
            <v>2</v>
          </cell>
          <cell r="M149" t="str">
            <v>EUR</v>
          </cell>
          <cell r="N149">
            <v>5735.88</v>
          </cell>
          <cell r="O149">
            <v>159.33000000000001</v>
          </cell>
          <cell r="P149">
            <v>36</v>
          </cell>
          <cell r="Q149">
            <v>36</v>
          </cell>
          <cell r="R149">
            <v>0</v>
          </cell>
        </row>
        <row r="150">
          <cell r="A150" t="str">
            <v>2NXVQ1IGB00YUIM2J0</v>
          </cell>
          <cell r="B150" t="str">
            <v>Q1-23</v>
          </cell>
          <cell r="C150" t="str">
            <v>Europe Operations OU</v>
          </cell>
          <cell r="D150">
            <v>2674345</v>
          </cell>
          <cell r="E150" t="str">
            <v>Amazon EU SARL, succursale Italiana</v>
          </cell>
          <cell r="F150" t="str">
            <v>2NXVQ1IG</v>
          </cell>
          <cell r="G150" t="str">
            <v>B00YUIM2J0</v>
          </cell>
          <cell r="H150" t="str">
            <v>941-000112</v>
          </cell>
          <cell r="I150" t="str">
            <v>OE INVOICES</v>
          </cell>
          <cell r="J150">
            <v>44421973838</v>
          </cell>
          <cell r="K150">
            <v>44699</v>
          </cell>
          <cell r="L150">
            <v>1</v>
          </cell>
          <cell r="M150" t="str">
            <v>EUR</v>
          </cell>
          <cell r="N150">
            <v>421.04</v>
          </cell>
          <cell r="O150">
            <v>210.52</v>
          </cell>
          <cell r="P150">
            <v>2</v>
          </cell>
          <cell r="Q150">
            <v>2</v>
          </cell>
          <cell r="R150">
            <v>0</v>
          </cell>
        </row>
        <row r="151">
          <cell r="A151" t="str">
            <v>2RY2IXIWB07W4DHNBF</v>
          </cell>
          <cell r="B151" t="str">
            <v>Q1-23</v>
          </cell>
          <cell r="C151" t="str">
            <v>Europe Operations OU</v>
          </cell>
          <cell r="D151">
            <v>2674345</v>
          </cell>
          <cell r="E151" t="str">
            <v>Amazon EU SARL, succursale Italiana</v>
          </cell>
          <cell r="F151" t="str">
            <v>2RY2IXIW</v>
          </cell>
          <cell r="G151" t="str">
            <v>B07W4DHNBF</v>
          </cell>
          <cell r="H151" t="str">
            <v>960-001281</v>
          </cell>
          <cell r="I151" t="str">
            <v>OE INVOICES</v>
          </cell>
          <cell r="J151">
            <v>44421963574</v>
          </cell>
          <cell r="K151">
            <v>44691</v>
          </cell>
          <cell r="L151">
            <v>1</v>
          </cell>
          <cell r="M151" t="str">
            <v>EUR</v>
          </cell>
          <cell r="N151">
            <v>53130.239999999998</v>
          </cell>
          <cell r="O151">
            <v>92.24</v>
          </cell>
          <cell r="P151">
            <v>576</v>
          </cell>
          <cell r="Q151">
            <v>576</v>
          </cell>
          <cell r="R151">
            <v>0</v>
          </cell>
        </row>
        <row r="152">
          <cell r="A152" t="str">
            <v>2WFUPSOGB003PO22H2</v>
          </cell>
          <cell r="B152" t="str">
            <v>Q1-23</v>
          </cell>
          <cell r="C152" t="str">
            <v>Europe Operations OU</v>
          </cell>
          <cell r="D152">
            <v>2674345</v>
          </cell>
          <cell r="E152" t="str">
            <v>Amazon EU SARL, succursale Italiana</v>
          </cell>
          <cell r="F152" t="str">
            <v>2WFUPSOG</v>
          </cell>
          <cell r="G152" t="str">
            <v>B003PO22H2</v>
          </cell>
          <cell r="H152" t="str">
            <v>920-002501</v>
          </cell>
          <cell r="I152" t="str">
            <v>OE INVOICES</v>
          </cell>
          <cell r="J152">
            <v>44421976181</v>
          </cell>
          <cell r="K152">
            <v>44704</v>
          </cell>
          <cell r="L152">
            <v>1</v>
          </cell>
          <cell r="M152" t="str">
            <v>EUR</v>
          </cell>
          <cell r="N152">
            <v>199</v>
          </cell>
          <cell r="O152">
            <v>9.9499999999999993</v>
          </cell>
          <cell r="P152">
            <v>20</v>
          </cell>
          <cell r="Q152">
            <v>20</v>
          </cell>
          <cell r="R152">
            <v>0</v>
          </cell>
        </row>
        <row r="153">
          <cell r="A153" t="str">
            <v>2WFUPSOGB003UPJXIC</v>
          </cell>
          <cell r="B153" t="str">
            <v>Q1-23</v>
          </cell>
          <cell r="C153" t="str">
            <v>Europe Operations OU</v>
          </cell>
          <cell r="D153">
            <v>2674345</v>
          </cell>
          <cell r="E153" t="str">
            <v>Amazon EU SARL, succursale Italiana</v>
          </cell>
          <cell r="F153" t="str">
            <v>2WFUPSOG</v>
          </cell>
          <cell r="G153" t="str">
            <v>B003UPJXIC</v>
          </cell>
          <cell r="H153" t="str">
            <v>980-000403</v>
          </cell>
          <cell r="I153" t="str">
            <v>OE INVOICES</v>
          </cell>
          <cell r="J153">
            <v>44421976181</v>
          </cell>
          <cell r="K153">
            <v>44704</v>
          </cell>
          <cell r="L153">
            <v>2</v>
          </cell>
          <cell r="M153" t="str">
            <v>EUR</v>
          </cell>
          <cell r="N153">
            <v>577.20000000000005</v>
          </cell>
          <cell r="O153">
            <v>115.44</v>
          </cell>
          <cell r="P153">
            <v>5</v>
          </cell>
          <cell r="Q153">
            <v>5</v>
          </cell>
          <cell r="R153">
            <v>0</v>
          </cell>
        </row>
        <row r="154">
          <cell r="A154" t="str">
            <v>2WFUPSOGB003V4A5VG</v>
          </cell>
          <cell r="B154" t="str">
            <v>Q1-23</v>
          </cell>
          <cell r="C154" t="str">
            <v>Europe Operations OU</v>
          </cell>
          <cell r="D154">
            <v>2674345</v>
          </cell>
          <cell r="E154" t="str">
            <v>Amazon EU SARL, succursale Italiana</v>
          </cell>
          <cell r="F154" t="str">
            <v>2WFUPSOG</v>
          </cell>
          <cell r="G154" t="str">
            <v>B003V4A5VG</v>
          </cell>
          <cell r="H154" t="str">
            <v>920-002488</v>
          </cell>
          <cell r="I154" t="str">
            <v>OE INVOICES</v>
          </cell>
          <cell r="J154">
            <v>44421976181</v>
          </cell>
          <cell r="K154">
            <v>44704</v>
          </cell>
          <cell r="L154">
            <v>3</v>
          </cell>
          <cell r="M154" t="str">
            <v>EUR</v>
          </cell>
          <cell r="N154">
            <v>99.5</v>
          </cell>
          <cell r="O154">
            <v>9.9499999999999993</v>
          </cell>
          <cell r="P154">
            <v>10</v>
          </cell>
          <cell r="Q154">
            <v>10</v>
          </cell>
          <cell r="R154">
            <v>0</v>
          </cell>
        </row>
        <row r="155">
          <cell r="A155" t="str">
            <v>2WFUPSOGB004APAH40</v>
          </cell>
          <cell r="B155" t="str">
            <v>Q1-23</v>
          </cell>
          <cell r="C155" t="str">
            <v>Europe Operations OU</v>
          </cell>
          <cell r="D155">
            <v>2674345</v>
          </cell>
          <cell r="E155" t="str">
            <v>Amazon EU SARL, succursale Italiana</v>
          </cell>
          <cell r="F155" t="str">
            <v>2WFUPSOG</v>
          </cell>
          <cell r="G155" t="str">
            <v>B004APAH40</v>
          </cell>
          <cell r="H155" t="str">
            <v>920-002492</v>
          </cell>
          <cell r="I155" t="str">
            <v>OE INVOICES</v>
          </cell>
          <cell r="J155">
            <v>44421976181</v>
          </cell>
          <cell r="K155">
            <v>44704</v>
          </cell>
          <cell r="L155">
            <v>4</v>
          </cell>
          <cell r="M155" t="str">
            <v>EUR</v>
          </cell>
          <cell r="N155">
            <v>696.5</v>
          </cell>
          <cell r="O155">
            <v>9.9499999999999993</v>
          </cell>
          <cell r="P155">
            <v>70</v>
          </cell>
          <cell r="Q155">
            <v>70</v>
          </cell>
          <cell r="R155">
            <v>0</v>
          </cell>
        </row>
        <row r="156">
          <cell r="A156" t="str">
            <v>2WFUPSOGB004CM47VU</v>
          </cell>
          <cell r="B156" t="str">
            <v>Q1-23</v>
          </cell>
          <cell r="C156" t="str">
            <v>Europe Operations OU</v>
          </cell>
          <cell r="D156">
            <v>2674345</v>
          </cell>
          <cell r="E156" t="str">
            <v>Amazon EU SARL, succursale Italiana</v>
          </cell>
          <cell r="F156" t="str">
            <v>2WFUPSOG</v>
          </cell>
          <cell r="G156" t="str">
            <v>B004CM47VU</v>
          </cell>
          <cell r="H156" t="str">
            <v>920-002543</v>
          </cell>
          <cell r="I156" t="str">
            <v>OE INVOICES</v>
          </cell>
          <cell r="J156">
            <v>44421976181</v>
          </cell>
          <cell r="K156">
            <v>44704</v>
          </cell>
          <cell r="L156">
            <v>5</v>
          </cell>
          <cell r="M156" t="str">
            <v>EUR</v>
          </cell>
          <cell r="N156">
            <v>1464</v>
          </cell>
          <cell r="O156">
            <v>14.64</v>
          </cell>
          <cell r="P156">
            <v>100</v>
          </cell>
          <cell r="Q156">
            <v>100</v>
          </cell>
          <cell r="R156">
            <v>0</v>
          </cell>
        </row>
        <row r="157">
          <cell r="A157" t="str">
            <v>2WFUPSOGB004MY4PU6</v>
          </cell>
          <cell r="B157" t="str">
            <v>Q1-23</v>
          </cell>
          <cell r="C157" t="str">
            <v>Europe Operations OU</v>
          </cell>
          <cell r="D157">
            <v>2674345</v>
          </cell>
          <cell r="E157" t="str">
            <v>Amazon EU SARL, succursale Italiana</v>
          </cell>
          <cell r="F157" t="str">
            <v>2WFUPSOG</v>
          </cell>
          <cell r="G157" t="str">
            <v>B004MY4PU6</v>
          </cell>
          <cell r="H157" t="str">
            <v>980-000469</v>
          </cell>
          <cell r="I157" t="str">
            <v>OE INVOICES</v>
          </cell>
          <cell r="J157">
            <v>44421981597</v>
          </cell>
          <cell r="K157">
            <v>44711</v>
          </cell>
          <cell r="L157">
            <v>1</v>
          </cell>
          <cell r="M157" t="str">
            <v>EUR</v>
          </cell>
          <cell r="N157">
            <v>231.47</v>
          </cell>
          <cell r="O157">
            <v>231.47</v>
          </cell>
          <cell r="P157">
            <v>1</v>
          </cell>
          <cell r="Q157">
            <v>1</v>
          </cell>
          <cell r="R157">
            <v>0</v>
          </cell>
        </row>
        <row r="158">
          <cell r="A158" t="str">
            <v>2WFUPSOGB0055ZWOZ4</v>
          </cell>
          <cell r="B158" t="str">
            <v>Q1-23</v>
          </cell>
          <cell r="C158" t="str">
            <v>Europe Operations OU</v>
          </cell>
          <cell r="D158">
            <v>2674345</v>
          </cell>
          <cell r="E158" t="str">
            <v>Amazon EU SARL, succursale Italiana</v>
          </cell>
          <cell r="F158" t="str">
            <v>2WFUPSOG</v>
          </cell>
          <cell r="G158" t="str">
            <v>B0055ZWOZ4</v>
          </cell>
          <cell r="H158" t="str">
            <v>920-002921</v>
          </cell>
          <cell r="I158" t="str">
            <v>OE INVOICES</v>
          </cell>
          <cell r="J158">
            <v>44421976181</v>
          </cell>
          <cell r="K158">
            <v>44704</v>
          </cell>
          <cell r="L158">
            <v>6</v>
          </cell>
          <cell r="M158" t="str">
            <v>EUR</v>
          </cell>
          <cell r="N158">
            <v>1030.72</v>
          </cell>
          <cell r="O158">
            <v>64.42</v>
          </cell>
          <cell r="P158">
            <v>16</v>
          </cell>
          <cell r="Q158">
            <v>16</v>
          </cell>
          <cell r="R158">
            <v>0</v>
          </cell>
        </row>
        <row r="159">
          <cell r="A159" t="str">
            <v>2WFUPSOGB007C0YQLA</v>
          </cell>
          <cell r="B159" t="str">
            <v>Q1-23</v>
          </cell>
          <cell r="C159" t="str">
            <v>Europe Operations OU</v>
          </cell>
          <cell r="D159">
            <v>2674345</v>
          </cell>
          <cell r="E159" t="str">
            <v>Amazon EU SARL, succursale Italiana</v>
          </cell>
          <cell r="F159" t="str">
            <v>2WFUPSOG</v>
          </cell>
          <cell r="G159" t="str">
            <v>B007C0YQLA</v>
          </cell>
          <cell r="H159" t="str">
            <v>920-002563</v>
          </cell>
          <cell r="I159" t="str">
            <v>OE INVOICES</v>
          </cell>
          <cell r="J159">
            <v>44421976181</v>
          </cell>
          <cell r="K159">
            <v>44704</v>
          </cell>
          <cell r="L159">
            <v>7</v>
          </cell>
          <cell r="M159" t="str">
            <v>EUR</v>
          </cell>
          <cell r="N159">
            <v>146.4</v>
          </cell>
          <cell r="O159">
            <v>14.64</v>
          </cell>
          <cell r="P159">
            <v>10</v>
          </cell>
          <cell r="Q159">
            <v>10</v>
          </cell>
          <cell r="R159">
            <v>0</v>
          </cell>
        </row>
        <row r="160">
          <cell r="A160" t="str">
            <v>2WFUPSOGB007G95NG4</v>
          </cell>
          <cell r="B160" t="str">
            <v>Q1-23</v>
          </cell>
          <cell r="C160" t="str">
            <v>Europe Operations OU</v>
          </cell>
          <cell r="D160">
            <v>2674345</v>
          </cell>
          <cell r="E160" t="str">
            <v>Amazon EU SARL, succursale Italiana</v>
          </cell>
          <cell r="F160" t="str">
            <v>2WFUPSOG</v>
          </cell>
          <cell r="G160" t="str">
            <v>B007G95NG4</v>
          </cell>
          <cell r="H160" t="str">
            <v>920-003743</v>
          </cell>
          <cell r="I160" t="str">
            <v>OE INVOICES</v>
          </cell>
          <cell r="J160">
            <v>44421976181</v>
          </cell>
          <cell r="K160">
            <v>44704</v>
          </cell>
          <cell r="L160">
            <v>8</v>
          </cell>
          <cell r="M160" t="str">
            <v>EUR</v>
          </cell>
          <cell r="N160">
            <v>82</v>
          </cell>
          <cell r="O160">
            <v>20.5</v>
          </cell>
          <cell r="P160">
            <v>4</v>
          </cell>
          <cell r="Q160">
            <v>4</v>
          </cell>
          <cell r="R160">
            <v>0</v>
          </cell>
        </row>
        <row r="161">
          <cell r="A161" t="str">
            <v>2WFUPSOGB00BEFY1W8</v>
          </cell>
          <cell r="B161" t="str">
            <v>Q1-23</v>
          </cell>
          <cell r="C161" t="str">
            <v>Europe Operations OU</v>
          </cell>
          <cell r="D161">
            <v>2674345</v>
          </cell>
          <cell r="E161" t="str">
            <v>Amazon EU SARL, succursale Italiana</v>
          </cell>
          <cell r="F161" t="str">
            <v>2WFUPSOG</v>
          </cell>
          <cell r="G161" t="str">
            <v>B00BEFY1W8</v>
          </cell>
          <cell r="H161" t="str">
            <v>920-004509</v>
          </cell>
          <cell r="I161" t="str">
            <v>OE INVOICES</v>
          </cell>
          <cell r="J161">
            <v>44421976181</v>
          </cell>
          <cell r="K161">
            <v>44704</v>
          </cell>
          <cell r="L161">
            <v>9</v>
          </cell>
          <cell r="M161" t="str">
            <v>EUR</v>
          </cell>
          <cell r="N161">
            <v>1405.2</v>
          </cell>
          <cell r="O161">
            <v>23.42</v>
          </cell>
          <cell r="P161">
            <v>60</v>
          </cell>
          <cell r="Q161">
            <v>60</v>
          </cell>
          <cell r="R161">
            <v>0</v>
          </cell>
        </row>
        <row r="162">
          <cell r="A162" t="str">
            <v>2WFUPSOGB00BT8QIJ4</v>
          </cell>
          <cell r="B162" t="str">
            <v>Q1-23</v>
          </cell>
          <cell r="C162" t="str">
            <v>Europe Operations OU</v>
          </cell>
          <cell r="D162">
            <v>2674345</v>
          </cell>
          <cell r="E162" t="str">
            <v>Amazon EU SARL, succursale Italiana</v>
          </cell>
          <cell r="F162" t="str">
            <v>2WFUPSOG</v>
          </cell>
          <cell r="G162" t="str">
            <v>B00BT8QIJ4</v>
          </cell>
          <cell r="H162" t="str">
            <v>920-002522</v>
          </cell>
          <cell r="I162" t="str">
            <v>OE INVOICES</v>
          </cell>
          <cell r="J162">
            <v>44421976181</v>
          </cell>
          <cell r="K162">
            <v>44704</v>
          </cell>
          <cell r="L162">
            <v>10</v>
          </cell>
          <cell r="M162" t="str">
            <v>EUR</v>
          </cell>
          <cell r="N162">
            <v>164</v>
          </cell>
          <cell r="O162">
            <v>8.1999999999999993</v>
          </cell>
          <cell r="P162">
            <v>20</v>
          </cell>
          <cell r="Q162">
            <v>20</v>
          </cell>
          <cell r="R162">
            <v>0</v>
          </cell>
        </row>
        <row r="163">
          <cell r="A163" t="str">
            <v>2WFUPSOGB00EJ3RN7C</v>
          </cell>
          <cell r="B163" t="str">
            <v>Q1-23</v>
          </cell>
          <cell r="C163" t="str">
            <v>Europe Operations OU</v>
          </cell>
          <cell r="D163">
            <v>2674345</v>
          </cell>
          <cell r="E163" t="str">
            <v>Amazon EU SARL, succursale Italiana</v>
          </cell>
          <cell r="F163" t="str">
            <v>2WFUPSOG</v>
          </cell>
          <cell r="G163" t="str">
            <v>B00EJ3RN7C</v>
          </cell>
          <cell r="H163" t="str">
            <v>920-005218</v>
          </cell>
          <cell r="I163" t="str">
            <v>OE INVOICES</v>
          </cell>
          <cell r="J163">
            <v>44421976181</v>
          </cell>
          <cell r="K163">
            <v>44704</v>
          </cell>
          <cell r="L163">
            <v>11</v>
          </cell>
          <cell r="M163" t="str">
            <v>EUR</v>
          </cell>
          <cell r="N163">
            <v>146.4</v>
          </cell>
          <cell r="O163">
            <v>14.64</v>
          </cell>
          <cell r="P163">
            <v>10</v>
          </cell>
          <cell r="Q163">
            <v>10</v>
          </cell>
          <cell r="R163">
            <v>0</v>
          </cell>
        </row>
        <row r="164">
          <cell r="A164" t="str">
            <v>2WFUPSOGB00YUIM2J0</v>
          </cell>
          <cell r="B164" t="str">
            <v>Q1-23</v>
          </cell>
          <cell r="C164" t="str">
            <v>Europe Operations OU</v>
          </cell>
          <cell r="D164">
            <v>2674345</v>
          </cell>
          <cell r="E164" t="str">
            <v>Amazon EU SARL, succursale Italiana</v>
          </cell>
          <cell r="F164" t="str">
            <v>2WFUPSOG</v>
          </cell>
          <cell r="G164" t="str">
            <v>B00YUIM2J0</v>
          </cell>
          <cell r="H164" t="str">
            <v>941-000112</v>
          </cell>
          <cell r="I164" t="str">
            <v>OE INVOICES</v>
          </cell>
          <cell r="J164">
            <v>44421976181</v>
          </cell>
          <cell r="K164">
            <v>44704</v>
          </cell>
          <cell r="L164">
            <v>12</v>
          </cell>
          <cell r="M164" t="str">
            <v>EUR</v>
          </cell>
          <cell r="N164">
            <v>17473.16</v>
          </cell>
          <cell r="O164">
            <v>210.52</v>
          </cell>
          <cell r="P164">
            <v>83</v>
          </cell>
          <cell r="Q164">
            <v>83</v>
          </cell>
          <cell r="R164">
            <v>0</v>
          </cell>
        </row>
        <row r="165">
          <cell r="A165" t="str">
            <v>2WFUPSOGB01C47ZFLK</v>
          </cell>
          <cell r="B165" t="str">
            <v>Q1-23</v>
          </cell>
          <cell r="C165" t="str">
            <v>Europe Operations OU</v>
          </cell>
          <cell r="D165">
            <v>2674345</v>
          </cell>
          <cell r="E165" t="str">
            <v>Amazon EU SARL, succursale Italiana</v>
          </cell>
          <cell r="F165" t="str">
            <v>2WFUPSOG</v>
          </cell>
          <cell r="G165" t="str">
            <v>B01C47ZFLK</v>
          </cell>
          <cell r="H165" t="str">
            <v>920-007913</v>
          </cell>
          <cell r="I165" t="str">
            <v>OE INVOICES</v>
          </cell>
          <cell r="J165">
            <v>44421976181</v>
          </cell>
          <cell r="K165">
            <v>44704</v>
          </cell>
          <cell r="L165">
            <v>13</v>
          </cell>
          <cell r="M165" t="str">
            <v>EUR</v>
          </cell>
          <cell r="N165">
            <v>492</v>
          </cell>
          <cell r="O165">
            <v>20.5</v>
          </cell>
          <cell r="P165">
            <v>24</v>
          </cell>
          <cell r="Q165">
            <v>24</v>
          </cell>
          <cell r="R165">
            <v>0</v>
          </cell>
        </row>
        <row r="166">
          <cell r="A166" t="str">
            <v>2WFUPSOGB01I252A34</v>
          </cell>
          <cell r="B166" t="str">
            <v>Q1-23</v>
          </cell>
          <cell r="C166" t="str">
            <v>Europe Operations OU</v>
          </cell>
          <cell r="D166">
            <v>2674345</v>
          </cell>
          <cell r="E166" t="str">
            <v>Amazon EU SARL, succursale Italiana</v>
          </cell>
          <cell r="F166" t="str">
            <v>2WFUPSOG</v>
          </cell>
          <cell r="G166" t="str">
            <v>B01I252A34</v>
          </cell>
          <cell r="H166" t="str">
            <v>920-005214</v>
          </cell>
          <cell r="I166" t="str">
            <v>OE INVOICES</v>
          </cell>
          <cell r="J166">
            <v>44421976181</v>
          </cell>
          <cell r="K166">
            <v>44704</v>
          </cell>
          <cell r="L166">
            <v>14</v>
          </cell>
          <cell r="M166" t="str">
            <v>EUR</v>
          </cell>
          <cell r="N166">
            <v>292.8</v>
          </cell>
          <cell r="O166">
            <v>14.64</v>
          </cell>
          <cell r="P166">
            <v>20</v>
          </cell>
          <cell r="Q166">
            <v>20</v>
          </cell>
          <cell r="R166">
            <v>0</v>
          </cell>
        </row>
        <row r="167">
          <cell r="A167" t="str">
            <v>2WFUPSOGB01L6L45ES</v>
          </cell>
          <cell r="B167" t="str">
            <v>Q1-23</v>
          </cell>
          <cell r="C167" t="str">
            <v>Europe Operations OU</v>
          </cell>
          <cell r="D167">
            <v>2674345</v>
          </cell>
          <cell r="E167" t="str">
            <v>Amazon EU SARL, succursale Italiana</v>
          </cell>
          <cell r="F167" t="str">
            <v>2WFUPSOG</v>
          </cell>
          <cell r="G167" t="str">
            <v>B01L6L45ES</v>
          </cell>
          <cell r="H167" t="str">
            <v>920-008088</v>
          </cell>
          <cell r="I167" t="str">
            <v>OE INVOICES</v>
          </cell>
          <cell r="J167">
            <v>44421976181</v>
          </cell>
          <cell r="K167">
            <v>44704</v>
          </cell>
          <cell r="L167">
            <v>15</v>
          </cell>
          <cell r="M167" t="str">
            <v>EUR</v>
          </cell>
          <cell r="N167">
            <v>168.8</v>
          </cell>
          <cell r="O167">
            <v>42.2</v>
          </cell>
          <cell r="P167">
            <v>4</v>
          </cell>
          <cell r="Q167">
            <v>4</v>
          </cell>
          <cell r="R167">
            <v>0</v>
          </cell>
        </row>
        <row r="168">
          <cell r="A168" t="str">
            <v>2WFUPSOGB01MT5WMMG</v>
          </cell>
          <cell r="B168" t="str">
            <v>Q1-23</v>
          </cell>
          <cell r="C168" t="str">
            <v>Europe Operations OU</v>
          </cell>
          <cell r="D168">
            <v>2674345</v>
          </cell>
          <cell r="E168" t="str">
            <v>Amazon EU SARL, succursale Italiana</v>
          </cell>
          <cell r="F168" t="str">
            <v>2WFUPSOG</v>
          </cell>
          <cell r="G168" t="str">
            <v>B01MT5WMMG</v>
          </cell>
          <cell r="H168" t="str">
            <v>920-008221</v>
          </cell>
          <cell r="I168" t="str">
            <v>OE INVOICES</v>
          </cell>
          <cell r="J168">
            <v>44421976181</v>
          </cell>
          <cell r="K168">
            <v>44704</v>
          </cell>
          <cell r="L168">
            <v>16</v>
          </cell>
          <cell r="M168" t="str">
            <v>EUR</v>
          </cell>
          <cell r="N168">
            <v>2714.76</v>
          </cell>
          <cell r="O168">
            <v>75.41</v>
          </cell>
          <cell r="P168">
            <v>36</v>
          </cell>
          <cell r="Q168">
            <v>36</v>
          </cell>
          <cell r="R168">
            <v>0</v>
          </cell>
        </row>
        <row r="169">
          <cell r="A169" t="str">
            <v>2WFUPSOGB07VTTBDSV</v>
          </cell>
          <cell r="B169" t="str">
            <v>Q1-23</v>
          </cell>
          <cell r="C169" t="str">
            <v>Europe Operations OU</v>
          </cell>
          <cell r="D169">
            <v>2674345</v>
          </cell>
          <cell r="E169" t="str">
            <v>Amazon EU SARL, succursale Italiana</v>
          </cell>
          <cell r="F169" t="str">
            <v>2WFUPSOG</v>
          </cell>
          <cell r="G169" t="str">
            <v>B07VTTBDSV</v>
          </cell>
          <cell r="H169" t="str">
            <v>920-008962</v>
          </cell>
          <cell r="I169" t="str">
            <v>OE INVOICES</v>
          </cell>
          <cell r="J169">
            <v>44421976181</v>
          </cell>
          <cell r="K169">
            <v>44704</v>
          </cell>
          <cell r="L169">
            <v>17</v>
          </cell>
          <cell r="M169" t="str">
            <v>EUR</v>
          </cell>
          <cell r="N169">
            <v>525.52</v>
          </cell>
          <cell r="O169">
            <v>131.38</v>
          </cell>
          <cell r="P169">
            <v>4</v>
          </cell>
          <cell r="Q169">
            <v>4</v>
          </cell>
          <cell r="R169">
            <v>0</v>
          </cell>
        </row>
        <row r="170">
          <cell r="A170" t="str">
            <v>2WFUPSOGB07W6GVS5C</v>
          </cell>
          <cell r="B170" t="str">
            <v>Q1-23</v>
          </cell>
          <cell r="C170" t="str">
            <v>Europe Operations OU</v>
          </cell>
          <cell r="D170">
            <v>2674345</v>
          </cell>
          <cell r="E170" t="str">
            <v>Amazon EU SARL, succursale Italiana</v>
          </cell>
          <cell r="F170" t="str">
            <v>2WFUPSOG</v>
          </cell>
          <cell r="G170" t="str">
            <v>B07W6GVS5C</v>
          </cell>
          <cell r="H170" t="str">
            <v>920-009439</v>
          </cell>
          <cell r="I170" t="str">
            <v>OE INVOICES</v>
          </cell>
          <cell r="J170">
            <v>44421976181</v>
          </cell>
          <cell r="K170">
            <v>44704</v>
          </cell>
          <cell r="L170">
            <v>18</v>
          </cell>
          <cell r="M170" t="str">
            <v>EUR</v>
          </cell>
          <cell r="N170">
            <v>3376</v>
          </cell>
          <cell r="O170">
            <v>42.2</v>
          </cell>
          <cell r="P170">
            <v>80</v>
          </cell>
          <cell r="Q170">
            <v>80</v>
          </cell>
          <cell r="R170">
            <v>0</v>
          </cell>
        </row>
        <row r="171">
          <cell r="A171" t="str">
            <v>317BCF6ZB00IRCDT7Y</v>
          </cell>
          <cell r="B171" t="str">
            <v>Q1-23</v>
          </cell>
          <cell r="C171" t="str">
            <v>Europe Operations OU</v>
          </cell>
          <cell r="D171">
            <v>2674345</v>
          </cell>
          <cell r="E171" t="str">
            <v>Amazon EU SARL, succursale Italiana</v>
          </cell>
          <cell r="F171" t="str">
            <v>317BCF6Z</v>
          </cell>
          <cell r="G171" t="str">
            <v>B00IRCDT7Y</v>
          </cell>
          <cell r="H171" t="str">
            <v>980-000912</v>
          </cell>
          <cell r="I171" t="str">
            <v>OE INVOICES</v>
          </cell>
          <cell r="J171">
            <v>44421961036</v>
          </cell>
          <cell r="K171">
            <v>44687</v>
          </cell>
          <cell r="L171">
            <v>1</v>
          </cell>
          <cell r="M171" t="str">
            <v>EUR</v>
          </cell>
          <cell r="N171">
            <v>11360.64</v>
          </cell>
          <cell r="O171">
            <v>29.28</v>
          </cell>
          <cell r="P171">
            <v>388</v>
          </cell>
          <cell r="Q171">
            <v>388</v>
          </cell>
          <cell r="R171">
            <v>0</v>
          </cell>
        </row>
        <row r="172">
          <cell r="A172" t="str">
            <v>317BCF6ZB06XH2VSXM</v>
          </cell>
          <cell r="B172" t="str">
            <v>Q1-23</v>
          </cell>
          <cell r="C172" t="str">
            <v>Europe Operations OU</v>
          </cell>
          <cell r="D172">
            <v>2674345</v>
          </cell>
          <cell r="E172" t="str">
            <v>Amazon EU SARL, succursale Italiana</v>
          </cell>
          <cell r="F172" t="str">
            <v>317BCF6Z</v>
          </cell>
          <cell r="G172" t="str">
            <v>B06XH2VSXM</v>
          </cell>
          <cell r="H172" t="str">
            <v>910-005166</v>
          </cell>
          <cell r="I172" t="str">
            <v>OE INVOICES</v>
          </cell>
          <cell r="J172">
            <v>44421961036</v>
          </cell>
          <cell r="K172">
            <v>44687</v>
          </cell>
          <cell r="L172">
            <v>2</v>
          </cell>
          <cell r="M172" t="str">
            <v>EUR</v>
          </cell>
          <cell r="N172">
            <v>351.36</v>
          </cell>
          <cell r="O172">
            <v>87.84</v>
          </cell>
          <cell r="P172">
            <v>4</v>
          </cell>
          <cell r="Q172">
            <v>4</v>
          </cell>
          <cell r="R172">
            <v>0</v>
          </cell>
        </row>
        <row r="173">
          <cell r="A173" t="str">
            <v>31I8VBIPB07RW77K54</v>
          </cell>
          <cell r="B173" t="str">
            <v>Q1-23</v>
          </cell>
          <cell r="C173" t="str">
            <v>Europe Operations OU</v>
          </cell>
          <cell r="D173">
            <v>2674345</v>
          </cell>
          <cell r="E173" t="str">
            <v>Amazon EU SARL, succursale Italiana</v>
          </cell>
          <cell r="F173" t="str">
            <v>31I8VBIP</v>
          </cell>
          <cell r="G173" t="str">
            <v>B07RW77K54</v>
          </cell>
          <cell r="H173" t="str">
            <v>984-001563</v>
          </cell>
          <cell r="I173" t="str">
            <v>OE INVOICES</v>
          </cell>
          <cell r="J173">
            <v>44421961034</v>
          </cell>
          <cell r="K173">
            <v>44687</v>
          </cell>
          <cell r="L173">
            <v>1</v>
          </cell>
          <cell r="M173" t="str">
            <v>EUR</v>
          </cell>
          <cell r="N173">
            <v>428.08</v>
          </cell>
          <cell r="O173">
            <v>53.51</v>
          </cell>
          <cell r="P173">
            <v>8</v>
          </cell>
          <cell r="Q173">
            <v>8</v>
          </cell>
          <cell r="R173">
            <v>0</v>
          </cell>
        </row>
        <row r="174">
          <cell r="A174" t="str">
            <v>3461KSJBB07W6J52LN</v>
          </cell>
          <cell r="B174" t="str">
            <v>Q1-23</v>
          </cell>
          <cell r="C174" t="str">
            <v>Europe Operations OU</v>
          </cell>
          <cell r="D174">
            <v>2674345</v>
          </cell>
          <cell r="E174" t="str">
            <v>Amazon EU SARL, succursale Italiana</v>
          </cell>
          <cell r="F174" t="str">
            <v>3461KSJB</v>
          </cell>
          <cell r="G174" t="str">
            <v>B07W6J52LN</v>
          </cell>
          <cell r="H174" t="str">
            <v>910-006054</v>
          </cell>
          <cell r="I174" t="str">
            <v>OE INVOICES</v>
          </cell>
          <cell r="J174">
            <v>44421961816</v>
          </cell>
          <cell r="K174">
            <v>44687</v>
          </cell>
          <cell r="L174">
            <v>1</v>
          </cell>
          <cell r="M174" t="str">
            <v>EUR</v>
          </cell>
          <cell r="N174">
            <v>126.6</v>
          </cell>
          <cell r="O174">
            <v>31.65</v>
          </cell>
          <cell r="P174">
            <v>4</v>
          </cell>
          <cell r="Q174">
            <v>4</v>
          </cell>
          <cell r="R174">
            <v>0</v>
          </cell>
        </row>
        <row r="175">
          <cell r="A175" t="str">
            <v>34X9Y94JB07W6J6TG5</v>
          </cell>
          <cell r="B175" t="str">
            <v>Q1-23</v>
          </cell>
          <cell r="C175" t="str">
            <v>Europe Operations OU</v>
          </cell>
          <cell r="D175">
            <v>2674345</v>
          </cell>
          <cell r="E175" t="str">
            <v>Amazon EU SARL, succursale Italiana</v>
          </cell>
          <cell r="F175" t="str">
            <v>34X9Y94J</v>
          </cell>
          <cell r="G175" t="str">
            <v>B07W6J6TG5</v>
          </cell>
          <cell r="H175" t="str">
            <v>981-000978</v>
          </cell>
          <cell r="I175" t="str">
            <v>OE INVOICES</v>
          </cell>
          <cell r="J175">
            <v>44421958336</v>
          </cell>
          <cell r="K175">
            <v>44684</v>
          </cell>
          <cell r="L175">
            <v>1</v>
          </cell>
          <cell r="M175" t="str">
            <v>EUR</v>
          </cell>
          <cell r="N175">
            <v>1329.48</v>
          </cell>
          <cell r="O175">
            <v>36.93</v>
          </cell>
          <cell r="P175">
            <v>36</v>
          </cell>
          <cell r="Q175">
            <v>36</v>
          </cell>
          <cell r="R175">
            <v>0</v>
          </cell>
        </row>
        <row r="176">
          <cell r="A176" t="str">
            <v>3AWPOPBJB00544XKK4</v>
          </cell>
          <cell r="B176" t="str">
            <v>Q1-23</v>
          </cell>
          <cell r="C176" t="str">
            <v>Europe Operations OU</v>
          </cell>
          <cell r="D176">
            <v>2674345</v>
          </cell>
          <cell r="E176" t="str">
            <v>Amazon EU SARL, succursale Italiana</v>
          </cell>
          <cell r="F176" t="str">
            <v>3AWPOPBJ</v>
          </cell>
          <cell r="G176" t="str">
            <v>B00544XKK4</v>
          </cell>
          <cell r="H176" t="str">
            <v>980-000513</v>
          </cell>
          <cell r="I176" t="str">
            <v>OE INVOICES</v>
          </cell>
          <cell r="J176">
            <v>44421963812</v>
          </cell>
          <cell r="K176">
            <v>44691</v>
          </cell>
          <cell r="L176">
            <v>1</v>
          </cell>
          <cell r="M176" t="str">
            <v>EUR</v>
          </cell>
          <cell r="N176">
            <v>234.2</v>
          </cell>
          <cell r="O176">
            <v>11.71</v>
          </cell>
          <cell r="P176">
            <v>20</v>
          </cell>
          <cell r="Q176">
            <v>20</v>
          </cell>
          <cell r="R176">
            <v>0</v>
          </cell>
        </row>
        <row r="177">
          <cell r="A177" t="str">
            <v>3AWPOPBJB005BFCNYU</v>
          </cell>
          <cell r="B177" t="str">
            <v>Q1-23</v>
          </cell>
          <cell r="C177" t="str">
            <v>Europe Operations OU</v>
          </cell>
          <cell r="D177">
            <v>2674345</v>
          </cell>
          <cell r="E177" t="str">
            <v>Amazon EU SARL, succursale Italiana</v>
          </cell>
          <cell r="F177" t="str">
            <v>3AWPOPBJ</v>
          </cell>
          <cell r="G177" t="str">
            <v>B005BFCNYU</v>
          </cell>
          <cell r="H177" t="str">
            <v>981-000406</v>
          </cell>
          <cell r="I177" t="str">
            <v>OE INVOICES</v>
          </cell>
          <cell r="J177">
            <v>44421963812</v>
          </cell>
          <cell r="K177">
            <v>44691</v>
          </cell>
          <cell r="L177">
            <v>2</v>
          </cell>
          <cell r="M177" t="str">
            <v>EUR</v>
          </cell>
          <cell r="N177">
            <v>4216</v>
          </cell>
          <cell r="O177">
            <v>26.35</v>
          </cell>
          <cell r="P177">
            <v>160</v>
          </cell>
          <cell r="Q177">
            <v>160</v>
          </cell>
          <cell r="R177">
            <v>0</v>
          </cell>
        </row>
        <row r="178">
          <cell r="A178" t="str">
            <v>3AWPOPBJB008S1IOSS</v>
          </cell>
          <cell r="B178" t="str">
            <v>Q1-23</v>
          </cell>
          <cell r="C178" t="str">
            <v>Europe Operations OU</v>
          </cell>
          <cell r="D178">
            <v>2674345</v>
          </cell>
          <cell r="E178" t="str">
            <v>Amazon EU SARL, succursale Italiana</v>
          </cell>
          <cell r="F178" t="str">
            <v>3AWPOPBJ</v>
          </cell>
          <cell r="G178" t="str">
            <v>B008S1IOSS</v>
          </cell>
          <cell r="H178" t="str">
            <v>981-000480</v>
          </cell>
          <cell r="I178" t="str">
            <v>OE INVOICES</v>
          </cell>
          <cell r="J178">
            <v>44421963812</v>
          </cell>
          <cell r="K178">
            <v>44691</v>
          </cell>
          <cell r="L178">
            <v>3</v>
          </cell>
          <cell r="M178" t="str">
            <v>EUR</v>
          </cell>
          <cell r="N178">
            <v>562.08000000000004</v>
          </cell>
          <cell r="O178">
            <v>35.130000000000003</v>
          </cell>
          <cell r="P178">
            <v>16</v>
          </cell>
          <cell r="Q178">
            <v>16</v>
          </cell>
          <cell r="R178">
            <v>0</v>
          </cell>
        </row>
        <row r="179">
          <cell r="A179" t="str">
            <v>3AWPOPBJB00CJ5FP04</v>
          </cell>
          <cell r="B179" t="str">
            <v>Q1-23</v>
          </cell>
          <cell r="C179" t="str">
            <v>Europe Operations OU</v>
          </cell>
          <cell r="D179">
            <v>2674345</v>
          </cell>
          <cell r="E179" t="str">
            <v>Amazon EU SARL, succursale Italiana</v>
          </cell>
          <cell r="F179" t="str">
            <v>3AWPOPBJ</v>
          </cell>
          <cell r="G179" t="str">
            <v>B00CJ5FP04</v>
          </cell>
          <cell r="H179" t="str">
            <v>940-000135</v>
          </cell>
          <cell r="I179" t="str">
            <v>OE INVOICES</v>
          </cell>
          <cell r="J179">
            <v>44421963812</v>
          </cell>
          <cell r="K179">
            <v>44691</v>
          </cell>
          <cell r="L179">
            <v>4</v>
          </cell>
          <cell r="M179" t="str">
            <v>EUR</v>
          </cell>
          <cell r="N179">
            <v>147.68</v>
          </cell>
          <cell r="O179">
            <v>18.46</v>
          </cell>
          <cell r="P179">
            <v>8</v>
          </cell>
          <cell r="Q179">
            <v>8</v>
          </cell>
          <cell r="R179">
            <v>0</v>
          </cell>
        </row>
        <row r="180">
          <cell r="A180" t="str">
            <v>3AWPOPBJB00ZOOKDU4</v>
          </cell>
          <cell r="B180" t="str">
            <v>Q1-23</v>
          </cell>
          <cell r="C180" t="str">
            <v>Europe Operations OU</v>
          </cell>
          <cell r="D180">
            <v>2674345</v>
          </cell>
          <cell r="E180" t="str">
            <v>Amazon EU SARL, succursale Italiana</v>
          </cell>
          <cell r="F180" t="str">
            <v>3AWPOPBJ</v>
          </cell>
          <cell r="G180" t="str">
            <v>B00ZOOKDU4</v>
          </cell>
          <cell r="H180" t="str">
            <v>981-000589</v>
          </cell>
          <cell r="I180" t="str">
            <v>OE INVOICES</v>
          </cell>
          <cell r="J180">
            <v>44421963812</v>
          </cell>
          <cell r="K180">
            <v>44691</v>
          </cell>
          <cell r="L180">
            <v>5</v>
          </cell>
          <cell r="M180" t="str">
            <v>EUR</v>
          </cell>
          <cell r="N180">
            <v>409.92</v>
          </cell>
          <cell r="O180">
            <v>14.64</v>
          </cell>
          <cell r="P180">
            <v>28</v>
          </cell>
          <cell r="Q180">
            <v>28</v>
          </cell>
          <cell r="R180">
            <v>0</v>
          </cell>
        </row>
        <row r="181">
          <cell r="A181" t="str">
            <v>3AWPOPBJB00ZOZZM4U</v>
          </cell>
          <cell r="B181" t="str">
            <v>Q1-23</v>
          </cell>
          <cell r="C181" t="str">
            <v>Europe Operations OU</v>
          </cell>
          <cell r="D181">
            <v>2674345</v>
          </cell>
          <cell r="E181" t="str">
            <v>Amazon EU SARL, succursale Italiana</v>
          </cell>
          <cell r="F181" t="str">
            <v>3AWPOPBJ</v>
          </cell>
          <cell r="G181" t="str">
            <v>B00ZOZZM4U</v>
          </cell>
          <cell r="H181" t="str">
            <v>981-000593</v>
          </cell>
          <cell r="I181" t="str">
            <v>OE INVOICES</v>
          </cell>
          <cell r="J181">
            <v>44421963812</v>
          </cell>
          <cell r="K181">
            <v>44691</v>
          </cell>
          <cell r="L181">
            <v>6</v>
          </cell>
          <cell r="M181" t="str">
            <v>EUR</v>
          </cell>
          <cell r="N181">
            <v>187.36</v>
          </cell>
          <cell r="O181">
            <v>11.71</v>
          </cell>
          <cell r="P181">
            <v>16</v>
          </cell>
          <cell r="Q181">
            <v>16</v>
          </cell>
          <cell r="R181">
            <v>0</v>
          </cell>
        </row>
        <row r="182">
          <cell r="A182" t="str">
            <v>3AWPOPBJB01A9HC69G</v>
          </cell>
          <cell r="B182" t="str">
            <v>Q1-23</v>
          </cell>
          <cell r="C182" t="str">
            <v>Europe Operations OU</v>
          </cell>
          <cell r="D182">
            <v>2674345</v>
          </cell>
          <cell r="E182" t="str">
            <v>Amazon EU SARL, succursale Italiana</v>
          </cell>
          <cell r="F182" t="str">
            <v>3AWPOPBJ</v>
          </cell>
          <cell r="G182" t="str">
            <v>B01A9HC69G</v>
          </cell>
          <cell r="H182" t="str">
            <v>910-004640</v>
          </cell>
          <cell r="I182" t="str">
            <v>OE INVOICES</v>
          </cell>
          <cell r="J182">
            <v>44421963812</v>
          </cell>
          <cell r="K182">
            <v>44691</v>
          </cell>
          <cell r="L182">
            <v>7</v>
          </cell>
          <cell r="M182" t="str">
            <v>EUR</v>
          </cell>
          <cell r="N182">
            <v>2634</v>
          </cell>
          <cell r="O182">
            <v>8.7799999999999994</v>
          </cell>
          <cell r="P182">
            <v>300</v>
          </cell>
          <cell r="Q182">
            <v>300</v>
          </cell>
          <cell r="R182">
            <v>0</v>
          </cell>
        </row>
        <row r="183">
          <cell r="A183" t="str">
            <v>3AWPOPBJB01DIJICIQ</v>
          </cell>
          <cell r="B183" t="str">
            <v>Q1-23</v>
          </cell>
          <cell r="C183" t="str">
            <v>Europe Operations OU</v>
          </cell>
          <cell r="D183">
            <v>2674345</v>
          </cell>
          <cell r="E183" t="str">
            <v>Amazon EU SARL, succursale Italiana</v>
          </cell>
          <cell r="F183" t="str">
            <v>3AWPOPBJ</v>
          </cell>
          <cell r="G183" t="str">
            <v>B01DIJICIQ</v>
          </cell>
          <cell r="H183" t="str">
            <v>943-000090</v>
          </cell>
          <cell r="I183" t="str">
            <v>OE INVOICES</v>
          </cell>
          <cell r="J183">
            <v>44421963812</v>
          </cell>
          <cell r="K183">
            <v>44691</v>
          </cell>
          <cell r="L183">
            <v>8</v>
          </cell>
          <cell r="M183" t="str">
            <v>EUR</v>
          </cell>
          <cell r="N183">
            <v>253.2</v>
          </cell>
          <cell r="O183">
            <v>21.1</v>
          </cell>
          <cell r="P183">
            <v>12</v>
          </cell>
          <cell r="Q183">
            <v>12</v>
          </cell>
          <cell r="R183">
            <v>0</v>
          </cell>
        </row>
        <row r="184">
          <cell r="A184" t="str">
            <v>3AWPOPBJB01DKTP3X6</v>
          </cell>
          <cell r="B184" t="str">
            <v>Q1-23</v>
          </cell>
          <cell r="C184" t="str">
            <v>Europe Operations OU</v>
          </cell>
          <cell r="D184">
            <v>2674345</v>
          </cell>
          <cell r="E184" t="str">
            <v>Amazon EU SARL, succursale Italiana</v>
          </cell>
          <cell r="F184" t="str">
            <v>3AWPOPBJ</v>
          </cell>
          <cell r="G184" t="str">
            <v>B01DKTP3X6</v>
          </cell>
          <cell r="H184" t="str">
            <v>943-000094</v>
          </cell>
          <cell r="I184" t="str">
            <v>OE INVOICES</v>
          </cell>
          <cell r="J184">
            <v>44421963812</v>
          </cell>
          <cell r="K184">
            <v>44691</v>
          </cell>
          <cell r="L184">
            <v>9</v>
          </cell>
          <cell r="M184" t="str">
            <v>EUR</v>
          </cell>
          <cell r="N184">
            <v>126.6</v>
          </cell>
          <cell r="O184">
            <v>10.55</v>
          </cell>
          <cell r="P184">
            <v>12</v>
          </cell>
          <cell r="Q184">
            <v>12</v>
          </cell>
          <cell r="R184">
            <v>0</v>
          </cell>
        </row>
        <row r="185">
          <cell r="A185" t="str">
            <v>3AWPOPBJB01M3TTXMY</v>
          </cell>
          <cell r="B185" t="str">
            <v>Q1-23</v>
          </cell>
          <cell r="C185" t="str">
            <v>Europe Operations OU</v>
          </cell>
          <cell r="D185">
            <v>2674345</v>
          </cell>
          <cell r="E185" t="str">
            <v>Amazon EU SARL, succursale Italiana</v>
          </cell>
          <cell r="F185" t="str">
            <v>3AWPOPBJ</v>
          </cell>
          <cell r="G185" t="str">
            <v>B01M3TTXMY</v>
          </cell>
          <cell r="H185" t="str">
            <v>945-000008</v>
          </cell>
          <cell r="I185" t="str">
            <v>OE INVOICES</v>
          </cell>
          <cell r="J185">
            <v>44421963812</v>
          </cell>
          <cell r="K185">
            <v>44691</v>
          </cell>
          <cell r="L185">
            <v>10</v>
          </cell>
          <cell r="M185" t="str">
            <v>EUR</v>
          </cell>
          <cell r="N185">
            <v>1257.92</v>
          </cell>
          <cell r="O185">
            <v>78.62</v>
          </cell>
          <cell r="P185">
            <v>16</v>
          </cell>
          <cell r="Q185">
            <v>16</v>
          </cell>
          <cell r="R185">
            <v>0</v>
          </cell>
        </row>
        <row r="186">
          <cell r="A186" t="str">
            <v>3AWPOPBJB0766JZ8Q3</v>
          </cell>
          <cell r="B186" t="str">
            <v>Q1-23</v>
          </cell>
          <cell r="C186" t="str">
            <v>Europe Operations OU</v>
          </cell>
          <cell r="D186">
            <v>2674345</v>
          </cell>
          <cell r="E186" t="str">
            <v>Amazon EU SARL, succursale Italiana</v>
          </cell>
          <cell r="F186" t="str">
            <v>3AWPOPBJ</v>
          </cell>
          <cell r="G186" t="str">
            <v>B0766JZ8Q3</v>
          </cell>
          <cell r="H186" t="str">
            <v>943-000118</v>
          </cell>
          <cell r="I186" t="str">
            <v>OE INVOICES</v>
          </cell>
          <cell r="J186">
            <v>44421963812</v>
          </cell>
          <cell r="K186">
            <v>44691</v>
          </cell>
          <cell r="L186">
            <v>11</v>
          </cell>
          <cell r="M186" t="str">
            <v>EUR</v>
          </cell>
          <cell r="N186">
            <v>1687.68</v>
          </cell>
          <cell r="O186">
            <v>26.37</v>
          </cell>
          <cell r="P186">
            <v>64</v>
          </cell>
          <cell r="Q186">
            <v>64</v>
          </cell>
          <cell r="R186">
            <v>0</v>
          </cell>
        </row>
        <row r="187">
          <cell r="A187" t="str">
            <v>3AWPOPBJB076NFYGFP</v>
          </cell>
          <cell r="B187" t="str">
            <v>Q1-23</v>
          </cell>
          <cell r="C187" t="str">
            <v>Europe Operations OU</v>
          </cell>
          <cell r="D187">
            <v>2674345</v>
          </cell>
          <cell r="E187" t="str">
            <v>Amazon EU SARL, succursale Italiana</v>
          </cell>
          <cell r="F187" t="str">
            <v>3AWPOPBJ</v>
          </cell>
          <cell r="G187" t="str">
            <v>B076NFYGFP</v>
          </cell>
          <cell r="H187" t="str">
            <v>943-000119</v>
          </cell>
          <cell r="I187" t="str">
            <v>OE INVOICES</v>
          </cell>
          <cell r="J187">
            <v>44421963812</v>
          </cell>
          <cell r="K187">
            <v>44691</v>
          </cell>
          <cell r="L187">
            <v>12</v>
          </cell>
          <cell r="M187" t="str">
            <v>EUR</v>
          </cell>
          <cell r="N187">
            <v>949.32</v>
          </cell>
          <cell r="O187">
            <v>26.37</v>
          </cell>
          <cell r="P187">
            <v>36</v>
          </cell>
          <cell r="Q187">
            <v>36</v>
          </cell>
          <cell r="R187">
            <v>0</v>
          </cell>
        </row>
        <row r="188">
          <cell r="A188" t="str">
            <v>3AWPOPBJB07FNHV4MW</v>
          </cell>
          <cell r="B188" t="str">
            <v>Q1-23</v>
          </cell>
          <cell r="C188" t="str">
            <v>Europe Operations OU</v>
          </cell>
          <cell r="D188">
            <v>2674345</v>
          </cell>
          <cell r="E188" t="str">
            <v>Amazon EU SARL, succursale Italiana</v>
          </cell>
          <cell r="F188" t="str">
            <v>3AWPOPBJ</v>
          </cell>
          <cell r="G188" t="str">
            <v>B07FNHV4MW</v>
          </cell>
          <cell r="H188" t="str">
            <v>910-005448</v>
          </cell>
          <cell r="I188" t="str">
            <v>OE INVOICES</v>
          </cell>
          <cell r="J188">
            <v>44421963812</v>
          </cell>
          <cell r="K188">
            <v>44691</v>
          </cell>
          <cell r="L188">
            <v>13</v>
          </cell>
          <cell r="M188" t="str">
            <v>EUR</v>
          </cell>
          <cell r="N188">
            <v>835.32</v>
          </cell>
          <cell r="O188">
            <v>69.61</v>
          </cell>
          <cell r="P188">
            <v>12</v>
          </cell>
          <cell r="Q188">
            <v>12</v>
          </cell>
          <cell r="R188">
            <v>0</v>
          </cell>
        </row>
        <row r="189">
          <cell r="A189" t="str">
            <v>3AWPOPBJB07GS6ZB7T</v>
          </cell>
          <cell r="B189" t="str">
            <v>Q1-23</v>
          </cell>
          <cell r="C189" t="str">
            <v>Europe Operations OU</v>
          </cell>
          <cell r="D189">
            <v>2674345</v>
          </cell>
          <cell r="E189" t="str">
            <v>Amazon EU SARL, succursale Italiana</v>
          </cell>
          <cell r="F189" t="str">
            <v>3AWPOPBJ</v>
          </cell>
          <cell r="G189" t="str">
            <v>B07GS6ZB7T</v>
          </cell>
          <cell r="H189" t="str">
            <v>910-005471</v>
          </cell>
          <cell r="I189" t="str">
            <v>OE INVOICES</v>
          </cell>
          <cell r="J189">
            <v>44421963812</v>
          </cell>
          <cell r="K189">
            <v>44691</v>
          </cell>
          <cell r="L189">
            <v>14</v>
          </cell>
          <cell r="M189" t="str">
            <v>EUR</v>
          </cell>
          <cell r="N189">
            <v>189.92</v>
          </cell>
          <cell r="O189">
            <v>47.48</v>
          </cell>
          <cell r="P189">
            <v>4</v>
          </cell>
          <cell r="Q189">
            <v>4</v>
          </cell>
          <cell r="R189">
            <v>0</v>
          </cell>
        </row>
        <row r="190">
          <cell r="A190" t="str">
            <v>3AWPOPBJB07MM4V7NR</v>
          </cell>
          <cell r="B190" t="str">
            <v>Q1-23</v>
          </cell>
          <cell r="C190" t="str">
            <v>Europe Operations OU</v>
          </cell>
          <cell r="D190">
            <v>2674345</v>
          </cell>
          <cell r="E190" t="str">
            <v>Amazon EU SARL, succursale Italiana</v>
          </cell>
          <cell r="F190" t="str">
            <v>3AWPOPBJ</v>
          </cell>
          <cell r="G190" t="str">
            <v>B07MM4V7NR</v>
          </cell>
          <cell r="H190" t="str">
            <v>960-001252</v>
          </cell>
          <cell r="I190" t="str">
            <v>OE INVOICES</v>
          </cell>
          <cell r="J190">
            <v>44421963812</v>
          </cell>
          <cell r="K190">
            <v>44691</v>
          </cell>
          <cell r="L190">
            <v>15</v>
          </cell>
          <cell r="M190" t="str">
            <v>EUR</v>
          </cell>
          <cell r="N190">
            <v>31552</v>
          </cell>
          <cell r="O190">
            <v>58</v>
          </cell>
          <cell r="P190">
            <v>544</v>
          </cell>
          <cell r="Q190">
            <v>544</v>
          </cell>
          <cell r="R190">
            <v>0</v>
          </cell>
        </row>
        <row r="191">
          <cell r="A191" t="str">
            <v>3AWPOPBJB07MTWHWZ1</v>
          </cell>
          <cell r="B191" t="str">
            <v>Q1-23</v>
          </cell>
          <cell r="C191" t="str">
            <v>Europe Operations OU</v>
          </cell>
          <cell r="D191">
            <v>2674345</v>
          </cell>
          <cell r="E191" t="str">
            <v>Amazon EU SARL, succursale Italiana</v>
          </cell>
          <cell r="F191" t="str">
            <v>3AWPOPBJ</v>
          </cell>
          <cell r="G191" t="str">
            <v>B07MTWHWZ1</v>
          </cell>
          <cell r="H191" t="str">
            <v>981-000757</v>
          </cell>
          <cell r="I191" t="str">
            <v>OE INVOICES</v>
          </cell>
          <cell r="J191">
            <v>44421963812</v>
          </cell>
          <cell r="K191">
            <v>44691</v>
          </cell>
          <cell r="L191">
            <v>16</v>
          </cell>
          <cell r="M191" t="str">
            <v>EUR</v>
          </cell>
          <cell r="N191">
            <v>253.2</v>
          </cell>
          <cell r="O191">
            <v>31.65</v>
          </cell>
          <cell r="P191">
            <v>8</v>
          </cell>
          <cell r="Q191">
            <v>8</v>
          </cell>
          <cell r="R191">
            <v>0</v>
          </cell>
        </row>
        <row r="192">
          <cell r="A192" t="str">
            <v>3AWPOPBJB07MTY5HH8</v>
          </cell>
          <cell r="B192" t="str">
            <v>Q1-23</v>
          </cell>
          <cell r="C192" t="str">
            <v>Europe Operations OU</v>
          </cell>
          <cell r="D192">
            <v>2674345</v>
          </cell>
          <cell r="E192" t="str">
            <v>Amazon EU SARL, succursale Italiana</v>
          </cell>
          <cell r="F192" t="str">
            <v>3AWPOPBJ</v>
          </cell>
          <cell r="G192" t="str">
            <v>B07MTY5HH8</v>
          </cell>
          <cell r="H192" t="str">
            <v>981-000750</v>
          </cell>
          <cell r="I192" t="str">
            <v>OE INVOICES</v>
          </cell>
          <cell r="J192">
            <v>44421963812</v>
          </cell>
          <cell r="K192">
            <v>44691</v>
          </cell>
          <cell r="L192">
            <v>17</v>
          </cell>
          <cell r="M192" t="str">
            <v>EUR</v>
          </cell>
          <cell r="N192">
            <v>628.96</v>
          </cell>
          <cell r="O192">
            <v>78.62</v>
          </cell>
          <cell r="P192">
            <v>8</v>
          </cell>
          <cell r="Q192">
            <v>8</v>
          </cell>
          <cell r="R192">
            <v>0</v>
          </cell>
        </row>
        <row r="193">
          <cell r="A193" t="str">
            <v>3AWPOPBJB07W4DHNBF</v>
          </cell>
          <cell r="B193" t="str">
            <v>Q1-23</v>
          </cell>
          <cell r="C193" t="str">
            <v>Europe Operations OU</v>
          </cell>
          <cell r="D193">
            <v>2674345</v>
          </cell>
          <cell r="E193" t="str">
            <v>Amazon EU SARL, succursale Italiana</v>
          </cell>
          <cell r="F193" t="str">
            <v>3AWPOPBJ</v>
          </cell>
          <cell r="G193" t="str">
            <v>B07W4DHNBF</v>
          </cell>
          <cell r="H193" t="str">
            <v>960-001281</v>
          </cell>
          <cell r="I193" t="str">
            <v>OE INVOICES</v>
          </cell>
          <cell r="J193">
            <v>44421963812</v>
          </cell>
          <cell r="K193">
            <v>44691</v>
          </cell>
          <cell r="L193">
            <v>18</v>
          </cell>
          <cell r="M193" t="str">
            <v>EUR</v>
          </cell>
          <cell r="N193">
            <v>8117.12</v>
          </cell>
          <cell r="O193">
            <v>92.24</v>
          </cell>
          <cell r="P193">
            <v>88</v>
          </cell>
          <cell r="Q193">
            <v>88</v>
          </cell>
          <cell r="R193">
            <v>0</v>
          </cell>
        </row>
        <row r="194">
          <cell r="A194" t="str">
            <v>3AWPOPBJB07W6H4R4D</v>
          </cell>
          <cell r="B194" t="str">
            <v>Q1-23</v>
          </cell>
          <cell r="C194" t="str">
            <v>Europe Operations OU</v>
          </cell>
          <cell r="D194">
            <v>2674345</v>
          </cell>
          <cell r="E194" t="str">
            <v>Amazon EU SARL, succursale Italiana</v>
          </cell>
          <cell r="F194" t="str">
            <v>3AWPOPBJ</v>
          </cell>
          <cell r="G194" t="str">
            <v>B07W6H4R4D</v>
          </cell>
          <cell r="H194" t="str">
            <v>920-009962</v>
          </cell>
          <cell r="I194" t="str">
            <v>OE INVOICES</v>
          </cell>
          <cell r="J194">
            <v>44421963812</v>
          </cell>
          <cell r="K194">
            <v>44691</v>
          </cell>
          <cell r="L194">
            <v>19</v>
          </cell>
          <cell r="M194" t="str">
            <v>EUR</v>
          </cell>
          <cell r="N194">
            <v>2213.7600000000002</v>
          </cell>
          <cell r="O194">
            <v>92.24</v>
          </cell>
          <cell r="P194">
            <v>24</v>
          </cell>
          <cell r="Q194">
            <v>24</v>
          </cell>
          <cell r="R194">
            <v>0</v>
          </cell>
        </row>
        <row r="195">
          <cell r="A195" t="str">
            <v>3AWPOPBJB07W6HDNPF</v>
          </cell>
          <cell r="B195" t="str">
            <v>Q1-23</v>
          </cell>
          <cell r="C195" t="str">
            <v>Europe Operations OU</v>
          </cell>
          <cell r="D195">
            <v>2674345</v>
          </cell>
          <cell r="E195" t="str">
            <v>Amazon EU SARL, succursale Italiana</v>
          </cell>
          <cell r="F195" t="str">
            <v>3AWPOPBJ</v>
          </cell>
          <cell r="G195" t="str">
            <v>B07W6HDNPF</v>
          </cell>
          <cell r="H195" t="str">
            <v>939-002047</v>
          </cell>
          <cell r="I195" t="str">
            <v>OE INVOICES</v>
          </cell>
          <cell r="J195">
            <v>44421963812</v>
          </cell>
          <cell r="K195">
            <v>44691</v>
          </cell>
          <cell r="L195">
            <v>20</v>
          </cell>
          <cell r="M195" t="str">
            <v>EUR</v>
          </cell>
          <cell r="N195">
            <v>331.92</v>
          </cell>
          <cell r="O195">
            <v>41.49</v>
          </cell>
          <cell r="P195">
            <v>8</v>
          </cell>
          <cell r="Q195">
            <v>8</v>
          </cell>
          <cell r="R195">
            <v>0</v>
          </cell>
        </row>
        <row r="196">
          <cell r="A196" t="str">
            <v>3AWPOPBJB07W6HDNPG</v>
          </cell>
          <cell r="B196" t="str">
            <v>Q1-23</v>
          </cell>
          <cell r="C196" t="str">
            <v>Europe Operations OU</v>
          </cell>
          <cell r="D196">
            <v>2674345</v>
          </cell>
          <cell r="E196" t="str">
            <v>Amazon EU SARL, succursale Italiana</v>
          </cell>
          <cell r="F196" t="str">
            <v>3AWPOPBJ</v>
          </cell>
          <cell r="G196" t="str">
            <v>B07W6HDNPG</v>
          </cell>
          <cell r="H196" t="str">
            <v>939-002057</v>
          </cell>
          <cell r="I196" t="str">
            <v>OE INVOICES</v>
          </cell>
          <cell r="J196">
            <v>44421963812</v>
          </cell>
          <cell r="K196">
            <v>44691</v>
          </cell>
          <cell r="L196">
            <v>21</v>
          </cell>
          <cell r="M196" t="str">
            <v>EUR</v>
          </cell>
          <cell r="N196">
            <v>497.88</v>
          </cell>
          <cell r="O196">
            <v>41.49</v>
          </cell>
          <cell r="P196">
            <v>12</v>
          </cell>
          <cell r="Q196">
            <v>12</v>
          </cell>
          <cell r="R196">
            <v>0</v>
          </cell>
        </row>
        <row r="197">
          <cell r="A197" t="str">
            <v>3AWPOPBJB07W6HK7ZC</v>
          </cell>
          <cell r="B197" t="str">
            <v>Q1-23</v>
          </cell>
          <cell r="C197" t="str">
            <v>Europe Operations OU</v>
          </cell>
          <cell r="D197">
            <v>2674345</v>
          </cell>
          <cell r="E197" t="str">
            <v>Amazon EU SARL, succursale Italiana</v>
          </cell>
          <cell r="F197" t="str">
            <v>3AWPOPBJ</v>
          </cell>
          <cell r="G197" t="str">
            <v>B07W6HK7ZC</v>
          </cell>
          <cell r="H197" t="str">
            <v>943-000715</v>
          </cell>
          <cell r="I197" t="str">
            <v>OE INVOICES</v>
          </cell>
          <cell r="J197">
            <v>44421963812</v>
          </cell>
          <cell r="K197">
            <v>44691</v>
          </cell>
          <cell r="L197">
            <v>22</v>
          </cell>
          <cell r="M197" t="str">
            <v>EUR</v>
          </cell>
          <cell r="N197">
            <v>210.96</v>
          </cell>
          <cell r="O197">
            <v>26.37</v>
          </cell>
          <cell r="P197">
            <v>8</v>
          </cell>
          <cell r="Q197">
            <v>8</v>
          </cell>
          <cell r="R197">
            <v>0</v>
          </cell>
        </row>
        <row r="198">
          <cell r="A198" t="str">
            <v>3AWPOPBJB07W6HLN9H</v>
          </cell>
          <cell r="B198" t="str">
            <v>Q1-23</v>
          </cell>
          <cell r="C198" t="str">
            <v>Europe Operations OU</v>
          </cell>
          <cell r="D198">
            <v>2674345</v>
          </cell>
          <cell r="E198" t="str">
            <v>Amazon EU SARL, succursale Italiana</v>
          </cell>
          <cell r="F198" t="str">
            <v>3AWPOPBJ</v>
          </cell>
          <cell r="G198" t="str">
            <v>B07W6HLN9H</v>
          </cell>
          <cell r="H198" t="str">
            <v>939-002078</v>
          </cell>
          <cell r="I198" t="str">
            <v>OE INVOICES</v>
          </cell>
          <cell r="J198">
            <v>44421963812</v>
          </cell>
          <cell r="K198">
            <v>44691</v>
          </cell>
          <cell r="L198">
            <v>23</v>
          </cell>
          <cell r="M198" t="str">
            <v>EUR</v>
          </cell>
          <cell r="N198">
            <v>165.96</v>
          </cell>
          <cell r="O198">
            <v>41.49</v>
          </cell>
          <cell r="P198">
            <v>4</v>
          </cell>
          <cell r="Q198">
            <v>4</v>
          </cell>
          <cell r="R198">
            <v>0</v>
          </cell>
        </row>
        <row r="199">
          <cell r="A199" t="str">
            <v>3AWPOPBJB07W6J6TG5</v>
          </cell>
          <cell r="B199" t="str">
            <v>Q1-23</v>
          </cell>
          <cell r="C199" t="str">
            <v>Europe Operations OU</v>
          </cell>
          <cell r="D199">
            <v>2674345</v>
          </cell>
          <cell r="E199" t="str">
            <v>Amazon EU SARL, succursale Italiana</v>
          </cell>
          <cell r="F199" t="str">
            <v>3AWPOPBJ</v>
          </cell>
          <cell r="G199" t="str">
            <v>B07W6J6TG5</v>
          </cell>
          <cell r="H199" t="str">
            <v>981-000978</v>
          </cell>
          <cell r="I199" t="str">
            <v>OE INVOICES</v>
          </cell>
          <cell r="J199">
            <v>44421963812</v>
          </cell>
          <cell r="K199">
            <v>44691</v>
          </cell>
          <cell r="L199">
            <v>24</v>
          </cell>
          <cell r="M199" t="str">
            <v>EUR</v>
          </cell>
          <cell r="N199">
            <v>5465.64</v>
          </cell>
          <cell r="O199">
            <v>36.93</v>
          </cell>
          <cell r="P199">
            <v>148</v>
          </cell>
          <cell r="Q199">
            <v>148</v>
          </cell>
          <cell r="R199">
            <v>0</v>
          </cell>
        </row>
        <row r="200">
          <cell r="A200" t="str">
            <v>3AWPOPBJB07W6JG6Z7</v>
          </cell>
          <cell r="B200" t="str">
            <v>Q1-23</v>
          </cell>
          <cell r="C200" t="str">
            <v>Europe Operations OU</v>
          </cell>
          <cell r="D200">
            <v>2674345</v>
          </cell>
          <cell r="E200" t="str">
            <v>Amazon EU SARL, succursale Italiana</v>
          </cell>
          <cell r="F200" t="str">
            <v>3AWPOPBJ</v>
          </cell>
          <cell r="G200" t="str">
            <v>B07W6JG6Z7</v>
          </cell>
          <cell r="H200" t="str">
            <v>910-005694</v>
          </cell>
          <cell r="I200" t="str">
            <v>OE INVOICES</v>
          </cell>
          <cell r="J200">
            <v>44421963812</v>
          </cell>
          <cell r="K200">
            <v>44691</v>
          </cell>
          <cell r="L200">
            <v>25</v>
          </cell>
          <cell r="M200" t="str">
            <v>EUR</v>
          </cell>
          <cell r="N200">
            <v>32577.119999999999</v>
          </cell>
          <cell r="O200">
            <v>75.41</v>
          </cell>
          <cell r="P200">
            <v>432</v>
          </cell>
          <cell r="Q200">
            <v>432</v>
          </cell>
          <cell r="R200">
            <v>0</v>
          </cell>
        </row>
        <row r="201">
          <cell r="A201" t="str">
            <v>3AWPOPBJB07W6JNK1Z</v>
          </cell>
          <cell r="B201" t="str">
            <v>Q1-23</v>
          </cell>
          <cell r="C201" t="str">
            <v>Europe Operations OU</v>
          </cell>
          <cell r="D201">
            <v>2674345</v>
          </cell>
          <cell r="E201" t="str">
            <v>Amazon EU SARL, succursale Italiana</v>
          </cell>
          <cell r="F201" t="str">
            <v>3AWPOPBJ</v>
          </cell>
          <cell r="G201" t="str">
            <v>B07W6JNK1Z</v>
          </cell>
          <cell r="H201" t="str">
            <v>981-001018</v>
          </cell>
          <cell r="I201" t="str">
            <v>OE INVOICES</v>
          </cell>
          <cell r="J201">
            <v>44421963812</v>
          </cell>
          <cell r="K201">
            <v>44691</v>
          </cell>
          <cell r="L201">
            <v>26</v>
          </cell>
          <cell r="M201" t="str">
            <v>EUR</v>
          </cell>
          <cell r="N201">
            <v>147.72</v>
          </cell>
          <cell r="O201">
            <v>36.93</v>
          </cell>
          <cell r="P201">
            <v>4</v>
          </cell>
          <cell r="Q201">
            <v>4</v>
          </cell>
          <cell r="R201">
            <v>0</v>
          </cell>
        </row>
        <row r="202">
          <cell r="A202" t="str">
            <v>3B2Q175VB00YUIM2J0</v>
          </cell>
          <cell r="B202" t="str">
            <v>Q1-23</v>
          </cell>
          <cell r="C202" t="str">
            <v>Europe Operations OU</v>
          </cell>
          <cell r="D202">
            <v>2674345</v>
          </cell>
          <cell r="E202" t="str">
            <v>Amazon EU SARL, succursale Italiana</v>
          </cell>
          <cell r="F202" t="str">
            <v>3B2Q175V</v>
          </cell>
          <cell r="G202" t="str">
            <v>B00YUIM2J0</v>
          </cell>
          <cell r="H202" t="str">
            <v>941-000112</v>
          </cell>
          <cell r="I202" t="str">
            <v>OE INVOICES</v>
          </cell>
          <cell r="J202">
            <v>44421963815</v>
          </cell>
          <cell r="K202">
            <v>44691</v>
          </cell>
          <cell r="L202">
            <v>1</v>
          </cell>
          <cell r="M202" t="str">
            <v>EUR</v>
          </cell>
          <cell r="N202">
            <v>29683.32</v>
          </cell>
          <cell r="O202">
            <v>210.52</v>
          </cell>
          <cell r="P202">
            <v>141</v>
          </cell>
          <cell r="Q202">
            <v>141</v>
          </cell>
          <cell r="R202">
            <v>0</v>
          </cell>
        </row>
        <row r="203">
          <cell r="A203" t="str">
            <v>3B2Q175VB011N78DMA</v>
          </cell>
          <cell r="B203" t="str">
            <v>Q1-23</v>
          </cell>
          <cell r="C203" t="str">
            <v>Europe Operations OU</v>
          </cell>
          <cell r="D203">
            <v>2674345</v>
          </cell>
          <cell r="E203" t="str">
            <v>Amazon EU SARL, succursale Italiana</v>
          </cell>
          <cell r="F203" t="str">
            <v>3B2Q175V</v>
          </cell>
          <cell r="G203" t="str">
            <v>B011N78DMA</v>
          </cell>
          <cell r="H203" t="str">
            <v>941-000123</v>
          </cell>
          <cell r="I203" t="str">
            <v>OE INVOICES</v>
          </cell>
          <cell r="J203">
            <v>44421961194</v>
          </cell>
          <cell r="K203">
            <v>44687</v>
          </cell>
          <cell r="L203">
            <v>1</v>
          </cell>
          <cell r="M203" t="str">
            <v>EUR</v>
          </cell>
          <cell r="N203">
            <v>9052.36</v>
          </cell>
          <cell r="O203">
            <v>210.52</v>
          </cell>
          <cell r="P203">
            <v>43</v>
          </cell>
          <cell r="Q203">
            <v>43</v>
          </cell>
          <cell r="R203">
            <v>0</v>
          </cell>
        </row>
        <row r="204">
          <cell r="A204" t="str">
            <v>3B2Q175VB01C47ZFLK</v>
          </cell>
          <cell r="B204" t="str">
            <v>Q1-23</v>
          </cell>
          <cell r="C204" t="str">
            <v>Europe Operations OU</v>
          </cell>
          <cell r="D204">
            <v>2674345</v>
          </cell>
          <cell r="E204" t="str">
            <v>Amazon EU SARL, succursale Italiana</v>
          </cell>
          <cell r="F204" t="str">
            <v>3B2Q175V</v>
          </cell>
          <cell r="G204" t="str">
            <v>B01C47ZFLK</v>
          </cell>
          <cell r="H204" t="str">
            <v>920-007913</v>
          </cell>
          <cell r="I204" t="str">
            <v>OE INVOICES</v>
          </cell>
          <cell r="J204">
            <v>44421961194</v>
          </cell>
          <cell r="K204">
            <v>44687</v>
          </cell>
          <cell r="L204">
            <v>2</v>
          </cell>
          <cell r="M204" t="str">
            <v>EUR</v>
          </cell>
          <cell r="N204">
            <v>328</v>
          </cell>
          <cell r="O204">
            <v>20.5</v>
          </cell>
          <cell r="P204">
            <v>16</v>
          </cell>
          <cell r="Q204">
            <v>16</v>
          </cell>
          <cell r="R204">
            <v>0</v>
          </cell>
        </row>
        <row r="205">
          <cell r="A205" t="str">
            <v>3B2Q175VB01N6NGNQ8</v>
          </cell>
          <cell r="B205" t="str">
            <v>Q1-23</v>
          </cell>
          <cell r="C205" t="str">
            <v>Europe Operations OU</v>
          </cell>
          <cell r="D205">
            <v>2674345</v>
          </cell>
          <cell r="E205" t="str">
            <v>Amazon EU SARL, succursale Italiana</v>
          </cell>
          <cell r="F205" t="str">
            <v>3B2Q175V</v>
          </cell>
          <cell r="G205" t="str">
            <v>B01N6NGNQ8</v>
          </cell>
          <cell r="H205" t="str">
            <v>920-008227</v>
          </cell>
          <cell r="I205" t="str">
            <v>OE INVOICES</v>
          </cell>
          <cell r="J205">
            <v>44421961194</v>
          </cell>
          <cell r="K205">
            <v>44687</v>
          </cell>
          <cell r="L205">
            <v>3</v>
          </cell>
          <cell r="M205" t="str">
            <v>EUR</v>
          </cell>
          <cell r="N205">
            <v>301.64</v>
          </cell>
          <cell r="O205">
            <v>75.41</v>
          </cell>
          <cell r="P205">
            <v>4</v>
          </cell>
          <cell r="Q205">
            <v>4</v>
          </cell>
          <cell r="R205">
            <v>0</v>
          </cell>
        </row>
        <row r="206">
          <cell r="A206" t="str">
            <v>3B2Q175VB071XW5FW8</v>
          </cell>
          <cell r="B206" t="str">
            <v>Q1-23</v>
          </cell>
          <cell r="C206" t="str">
            <v>Europe Operations OU</v>
          </cell>
          <cell r="D206">
            <v>2674345</v>
          </cell>
          <cell r="E206" t="str">
            <v>Amazon EU SARL, succursale Italiana</v>
          </cell>
          <cell r="F206" t="str">
            <v>3B2Q175V</v>
          </cell>
          <cell r="G206" t="str">
            <v>B071XW5FW8</v>
          </cell>
          <cell r="H206" t="str">
            <v>920-008530</v>
          </cell>
          <cell r="I206" t="str">
            <v>OE INVOICES</v>
          </cell>
          <cell r="J206">
            <v>44421961194</v>
          </cell>
          <cell r="K206">
            <v>44687</v>
          </cell>
          <cell r="L206">
            <v>4</v>
          </cell>
          <cell r="M206" t="str">
            <v>EUR</v>
          </cell>
          <cell r="N206">
            <v>211.04</v>
          </cell>
          <cell r="O206">
            <v>52.76</v>
          </cell>
          <cell r="P206">
            <v>4</v>
          </cell>
          <cell r="Q206">
            <v>4</v>
          </cell>
          <cell r="R206">
            <v>0</v>
          </cell>
        </row>
        <row r="207">
          <cell r="A207" t="str">
            <v>3B2Q175VB07W5JK4LF</v>
          </cell>
          <cell r="B207" t="str">
            <v>Q1-23</v>
          </cell>
          <cell r="C207" t="str">
            <v>Europe Operations OU</v>
          </cell>
          <cell r="D207">
            <v>2674345</v>
          </cell>
          <cell r="E207" t="str">
            <v>Amazon EU SARL, succursale Italiana</v>
          </cell>
          <cell r="F207" t="str">
            <v>3B2Q175V</v>
          </cell>
          <cell r="G207" t="str">
            <v>B07W5JK4LF</v>
          </cell>
          <cell r="H207" t="str">
            <v>920-009797</v>
          </cell>
          <cell r="I207" t="str">
            <v>OE INVOICES</v>
          </cell>
          <cell r="J207">
            <v>44421963815</v>
          </cell>
          <cell r="K207">
            <v>44691</v>
          </cell>
          <cell r="L207">
            <v>2</v>
          </cell>
          <cell r="M207" t="str">
            <v>EUR</v>
          </cell>
          <cell r="N207">
            <v>16564.8</v>
          </cell>
          <cell r="O207">
            <v>20.3</v>
          </cell>
          <cell r="P207">
            <v>816</v>
          </cell>
          <cell r="Q207">
            <v>816</v>
          </cell>
          <cell r="R207">
            <v>0</v>
          </cell>
        </row>
        <row r="208">
          <cell r="A208" t="str">
            <v>3B2Q175VB07W5JKFQC</v>
          </cell>
          <cell r="B208" t="str">
            <v>Q1-23</v>
          </cell>
          <cell r="C208" t="str">
            <v>Europe Operations OU</v>
          </cell>
          <cell r="D208">
            <v>2674345</v>
          </cell>
          <cell r="E208" t="str">
            <v>Amazon EU SARL, succursale Italiana</v>
          </cell>
          <cell r="F208" t="str">
            <v>3B2Q175V</v>
          </cell>
          <cell r="G208" t="str">
            <v>B07W5JKFQC</v>
          </cell>
          <cell r="H208" t="str">
            <v>910-005796</v>
          </cell>
          <cell r="I208" t="str">
            <v>OE INVOICES</v>
          </cell>
          <cell r="J208">
            <v>44421961194</v>
          </cell>
          <cell r="K208">
            <v>44687</v>
          </cell>
          <cell r="L208">
            <v>5</v>
          </cell>
          <cell r="M208" t="str">
            <v>EUR</v>
          </cell>
          <cell r="N208">
            <v>11816</v>
          </cell>
          <cell r="O208">
            <v>21.1</v>
          </cell>
          <cell r="P208">
            <v>560</v>
          </cell>
          <cell r="Q208">
            <v>560</v>
          </cell>
          <cell r="R208">
            <v>0</v>
          </cell>
        </row>
        <row r="209">
          <cell r="A209" t="str">
            <v>3B2Q175VB07W6JNQ82</v>
          </cell>
          <cell r="B209" t="str">
            <v>Q1-23</v>
          </cell>
          <cell r="C209" t="str">
            <v>Europe Operations OU</v>
          </cell>
          <cell r="D209">
            <v>2674345</v>
          </cell>
          <cell r="E209" t="str">
            <v>Amazon EU SARL, succursale Italiana</v>
          </cell>
          <cell r="F209" t="str">
            <v>3B2Q175V</v>
          </cell>
          <cell r="G209" t="str">
            <v>B07W6JNQ82</v>
          </cell>
          <cell r="H209" t="str">
            <v>920-009392</v>
          </cell>
          <cell r="I209" t="str">
            <v>OE INVOICES</v>
          </cell>
          <cell r="J209">
            <v>44421961194</v>
          </cell>
          <cell r="K209">
            <v>44687</v>
          </cell>
          <cell r="L209">
            <v>6</v>
          </cell>
          <cell r="M209" t="str">
            <v>EUR</v>
          </cell>
          <cell r="N209">
            <v>10345.120000000001</v>
          </cell>
          <cell r="O209">
            <v>68.06</v>
          </cell>
          <cell r="P209">
            <v>152</v>
          </cell>
          <cell r="Q209">
            <v>152</v>
          </cell>
          <cell r="R209">
            <v>0</v>
          </cell>
        </row>
        <row r="210">
          <cell r="A210" t="str">
            <v>3C9KY3UKB00EUUXFFS</v>
          </cell>
          <cell r="B210" t="str">
            <v>Q1-23</v>
          </cell>
          <cell r="C210" t="str">
            <v>Europe Operations OU</v>
          </cell>
          <cell r="D210">
            <v>2674345</v>
          </cell>
          <cell r="E210" t="str">
            <v>Amazon EU SARL, succursale Italiana</v>
          </cell>
          <cell r="F210" t="str">
            <v>3C9KY3UK</v>
          </cell>
          <cell r="G210" t="str">
            <v>B00EUUXFFS</v>
          </cell>
          <cell r="H210" t="str">
            <v>980-000814</v>
          </cell>
          <cell r="I210" t="str">
            <v>OE INVOICES</v>
          </cell>
          <cell r="J210">
            <v>44421951827</v>
          </cell>
          <cell r="K210">
            <v>44672</v>
          </cell>
          <cell r="L210">
            <v>1</v>
          </cell>
          <cell r="M210" t="str">
            <v>EUR</v>
          </cell>
          <cell r="N210">
            <v>738</v>
          </cell>
          <cell r="O210">
            <v>20.5</v>
          </cell>
          <cell r="P210">
            <v>36</v>
          </cell>
          <cell r="Q210">
            <v>36</v>
          </cell>
          <cell r="R210">
            <v>0</v>
          </cell>
        </row>
        <row r="211">
          <cell r="A211" t="str">
            <v>3C9KY3UKB00RCVCJ3Q</v>
          </cell>
          <cell r="B211" t="str">
            <v>Q1-23</v>
          </cell>
          <cell r="C211" t="str">
            <v>Europe Operations OU</v>
          </cell>
          <cell r="D211">
            <v>2674345</v>
          </cell>
          <cell r="E211" t="str">
            <v>Amazon EU SARL, succursale Italiana</v>
          </cell>
          <cell r="F211" t="str">
            <v>3C9KY3UK</v>
          </cell>
          <cell r="G211" t="str">
            <v>B00RCVCJ3Q</v>
          </cell>
          <cell r="H211" t="str">
            <v>910-003986</v>
          </cell>
          <cell r="I211" t="str">
            <v>OE INVOICES</v>
          </cell>
          <cell r="J211">
            <v>44421951827</v>
          </cell>
          <cell r="K211">
            <v>44672</v>
          </cell>
          <cell r="L211">
            <v>2</v>
          </cell>
          <cell r="M211" t="str">
            <v>EUR</v>
          </cell>
          <cell r="N211">
            <v>1230</v>
          </cell>
          <cell r="O211">
            <v>20.5</v>
          </cell>
          <cell r="P211">
            <v>60</v>
          </cell>
          <cell r="Q211">
            <v>60</v>
          </cell>
          <cell r="R211">
            <v>0</v>
          </cell>
        </row>
        <row r="212">
          <cell r="A212" t="str">
            <v>3E6XIIZZB0013N474I</v>
          </cell>
          <cell r="B212" t="str">
            <v>Q1-23</v>
          </cell>
          <cell r="C212" t="str">
            <v>Europe Operations OU</v>
          </cell>
          <cell r="D212">
            <v>2674345</v>
          </cell>
          <cell r="E212" t="str">
            <v>Amazon EU SARL, succursale Italiana</v>
          </cell>
          <cell r="F212" t="str">
            <v>3E6XIIZZ</v>
          </cell>
          <cell r="G212" t="str">
            <v>B0013N474I</v>
          </cell>
          <cell r="H212" t="str">
            <v>981-000100</v>
          </cell>
          <cell r="I212" t="str">
            <v>OE INVOICES</v>
          </cell>
          <cell r="J212">
            <v>44421947143</v>
          </cell>
          <cell r="K212">
            <v>44663</v>
          </cell>
          <cell r="L212">
            <v>1</v>
          </cell>
          <cell r="M212" t="str">
            <v>EUR</v>
          </cell>
          <cell r="N212">
            <v>702.4</v>
          </cell>
          <cell r="O212">
            <v>17.559999999999999</v>
          </cell>
          <cell r="P212">
            <v>40</v>
          </cell>
          <cell r="Q212">
            <v>40</v>
          </cell>
          <cell r="R212">
            <v>0</v>
          </cell>
        </row>
        <row r="213">
          <cell r="A213" t="str">
            <v>3E6XIIZZB003STDR1E</v>
          </cell>
          <cell r="B213" t="str">
            <v>Q1-23</v>
          </cell>
          <cell r="C213" t="str">
            <v>Europe Operations OU</v>
          </cell>
          <cell r="D213">
            <v>2674345</v>
          </cell>
          <cell r="E213" t="str">
            <v>Amazon EU SARL, succursale Italiana</v>
          </cell>
          <cell r="F213" t="str">
            <v>3E6XIIZZ</v>
          </cell>
          <cell r="G213" t="str">
            <v>B003STDR1E</v>
          </cell>
          <cell r="H213" t="str">
            <v>910-001949</v>
          </cell>
          <cell r="I213" t="str">
            <v>OE INVOICES</v>
          </cell>
          <cell r="J213">
            <v>44421947143</v>
          </cell>
          <cell r="K213">
            <v>44663</v>
          </cell>
          <cell r="L213">
            <v>2</v>
          </cell>
          <cell r="M213" t="str">
            <v>EUR</v>
          </cell>
          <cell r="N213">
            <v>39528</v>
          </cell>
          <cell r="O213">
            <v>29.28</v>
          </cell>
          <cell r="P213">
            <v>1350</v>
          </cell>
          <cell r="Q213">
            <v>1350</v>
          </cell>
          <cell r="R213">
            <v>0</v>
          </cell>
        </row>
        <row r="214">
          <cell r="A214" t="str">
            <v>3E6XIIZZB004VPLVI0</v>
          </cell>
          <cell r="B214" t="str">
            <v>Q1-23</v>
          </cell>
          <cell r="C214" t="str">
            <v>Europe Operations OU</v>
          </cell>
          <cell r="D214">
            <v>2674345</v>
          </cell>
          <cell r="E214" t="str">
            <v>Amazon EU SARL, succursale Italiana</v>
          </cell>
          <cell r="F214" t="str">
            <v>3E6XIIZZ</v>
          </cell>
          <cell r="G214" t="str">
            <v>B004VPLVI0</v>
          </cell>
          <cell r="H214" t="str">
            <v>910-002142</v>
          </cell>
          <cell r="I214" t="str">
            <v>OE INVOICES</v>
          </cell>
          <cell r="J214">
            <v>44421948517</v>
          </cell>
          <cell r="K214">
            <v>44666</v>
          </cell>
          <cell r="L214">
            <v>1</v>
          </cell>
          <cell r="M214" t="str">
            <v>EUR</v>
          </cell>
          <cell r="N214">
            <v>1873.6</v>
          </cell>
          <cell r="O214">
            <v>23.42</v>
          </cell>
          <cell r="P214">
            <v>80</v>
          </cell>
          <cell r="Q214">
            <v>80</v>
          </cell>
          <cell r="R214">
            <v>0</v>
          </cell>
        </row>
        <row r="215">
          <cell r="A215" t="str">
            <v>3E6XIIZZB004ZH0RHK</v>
          </cell>
          <cell r="B215" t="str">
            <v>Q1-23</v>
          </cell>
          <cell r="C215" t="str">
            <v>Europe Operations OU</v>
          </cell>
          <cell r="D215">
            <v>2674345</v>
          </cell>
          <cell r="E215" t="str">
            <v>Amazon EU SARL, succursale Italiana</v>
          </cell>
          <cell r="F215" t="str">
            <v>3E6XIIZZ</v>
          </cell>
          <cell r="G215" t="str">
            <v>B004ZH0RHK</v>
          </cell>
          <cell r="H215" t="str">
            <v>920-003056</v>
          </cell>
          <cell r="I215" t="str">
            <v>OE INVOICES</v>
          </cell>
          <cell r="J215">
            <v>44421947143</v>
          </cell>
          <cell r="K215">
            <v>44663</v>
          </cell>
          <cell r="L215">
            <v>3</v>
          </cell>
          <cell r="M215" t="str">
            <v>EUR</v>
          </cell>
          <cell r="N215">
            <v>3794.4</v>
          </cell>
          <cell r="O215">
            <v>26.35</v>
          </cell>
          <cell r="P215">
            <v>144</v>
          </cell>
          <cell r="Q215">
            <v>144</v>
          </cell>
          <cell r="R215">
            <v>0</v>
          </cell>
        </row>
        <row r="216">
          <cell r="A216" t="str">
            <v>3E6XIIZZB0055JDM06</v>
          </cell>
          <cell r="B216" t="str">
            <v>Q1-23</v>
          </cell>
          <cell r="C216" t="str">
            <v>Europe Operations OU</v>
          </cell>
          <cell r="D216">
            <v>2674345</v>
          </cell>
          <cell r="E216" t="str">
            <v>Amazon EU SARL, succursale Italiana</v>
          </cell>
          <cell r="F216" t="str">
            <v>3E6XIIZZ</v>
          </cell>
          <cell r="G216" t="str">
            <v>B0055JDM06</v>
          </cell>
          <cell r="H216" t="str">
            <v>920-003082</v>
          </cell>
          <cell r="I216" t="str">
            <v>OE INVOICES</v>
          </cell>
          <cell r="J216">
            <v>44421947143</v>
          </cell>
          <cell r="K216">
            <v>44663</v>
          </cell>
          <cell r="L216">
            <v>4</v>
          </cell>
          <cell r="M216" t="str">
            <v>EUR</v>
          </cell>
          <cell r="N216">
            <v>316.2</v>
          </cell>
          <cell r="O216">
            <v>26.35</v>
          </cell>
          <cell r="P216">
            <v>12</v>
          </cell>
          <cell r="Q216">
            <v>12</v>
          </cell>
          <cell r="R216">
            <v>0</v>
          </cell>
        </row>
        <row r="217">
          <cell r="A217" t="str">
            <v>3E6XIIZZB00CJ5FP2C</v>
          </cell>
          <cell r="B217" t="str">
            <v>Q1-23</v>
          </cell>
          <cell r="C217" t="str">
            <v>Europe Operations OU</v>
          </cell>
          <cell r="D217">
            <v>2674345</v>
          </cell>
          <cell r="E217" t="str">
            <v>Amazon EU SARL, succursale Italiana</v>
          </cell>
          <cell r="F217" t="str">
            <v>3E6XIIZZ</v>
          </cell>
          <cell r="G217" t="str">
            <v>B00CJ5FP2C</v>
          </cell>
          <cell r="H217" t="str">
            <v>940-000145</v>
          </cell>
          <cell r="I217" t="str">
            <v>OE INVOICES</v>
          </cell>
          <cell r="J217">
            <v>44421947143</v>
          </cell>
          <cell r="K217">
            <v>44663</v>
          </cell>
          <cell r="L217">
            <v>5</v>
          </cell>
          <cell r="M217" t="str">
            <v>EUR</v>
          </cell>
          <cell r="N217">
            <v>1054.8</v>
          </cell>
          <cell r="O217">
            <v>26.37</v>
          </cell>
          <cell r="P217">
            <v>40</v>
          </cell>
          <cell r="Q217">
            <v>40</v>
          </cell>
          <cell r="R217">
            <v>0</v>
          </cell>
        </row>
        <row r="218">
          <cell r="A218" t="str">
            <v>3E6XIIZZB00CJAEX5M</v>
          </cell>
          <cell r="B218" t="str">
            <v>Q1-23</v>
          </cell>
          <cell r="C218" t="str">
            <v>Europe Operations OU</v>
          </cell>
          <cell r="D218">
            <v>2674345</v>
          </cell>
          <cell r="E218" t="str">
            <v>Amazon EU SARL, succursale Italiana</v>
          </cell>
          <cell r="F218" t="str">
            <v>3E6XIIZZ</v>
          </cell>
          <cell r="G218" t="str">
            <v>B00CJAEX5M</v>
          </cell>
          <cell r="H218" t="str">
            <v>940-000142</v>
          </cell>
          <cell r="I218" t="str">
            <v>OE INVOICES</v>
          </cell>
          <cell r="J218">
            <v>44421947143</v>
          </cell>
          <cell r="K218">
            <v>44663</v>
          </cell>
          <cell r="L218">
            <v>6</v>
          </cell>
          <cell r="M218" t="str">
            <v>EUR</v>
          </cell>
          <cell r="N218">
            <v>210.96</v>
          </cell>
          <cell r="O218">
            <v>26.37</v>
          </cell>
          <cell r="P218">
            <v>8</v>
          </cell>
          <cell r="Q218">
            <v>8</v>
          </cell>
          <cell r="R218">
            <v>0</v>
          </cell>
        </row>
        <row r="219">
          <cell r="A219" t="str">
            <v>3E6XIIZZB00EUUX59O</v>
          </cell>
          <cell r="B219" t="str">
            <v>Q1-23</v>
          </cell>
          <cell r="C219" t="str">
            <v>Europe Operations OU</v>
          </cell>
          <cell r="D219">
            <v>2674345</v>
          </cell>
          <cell r="E219" t="str">
            <v>Amazon EU SARL, succursale Italiana</v>
          </cell>
          <cell r="F219" t="str">
            <v>3E6XIIZZ</v>
          </cell>
          <cell r="G219" t="str">
            <v>B00EUUX59O</v>
          </cell>
          <cell r="H219" t="str">
            <v>980-000811</v>
          </cell>
          <cell r="I219" t="str">
            <v>OE INVOICES</v>
          </cell>
          <cell r="J219">
            <v>44421947143</v>
          </cell>
          <cell r="K219">
            <v>44663</v>
          </cell>
          <cell r="L219">
            <v>7</v>
          </cell>
          <cell r="M219" t="str">
            <v>EUR</v>
          </cell>
          <cell r="N219">
            <v>234.24</v>
          </cell>
          <cell r="O219">
            <v>29.28</v>
          </cell>
          <cell r="P219">
            <v>8</v>
          </cell>
          <cell r="Q219">
            <v>8</v>
          </cell>
          <cell r="R219">
            <v>0</v>
          </cell>
        </row>
        <row r="220">
          <cell r="A220" t="str">
            <v>3E6XIIZZB00EUUXFFS</v>
          </cell>
          <cell r="B220" t="str">
            <v>Q1-23</v>
          </cell>
          <cell r="C220" t="str">
            <v>Europe Operations OU</v>
          </cell>
          <cell r="D220">
            <v>2674345</v>
          </cell>
          <cell r="E220" t="str">
            <v>Amazon EU SARL, succursale Italiana</v>
          </cell>
          <cell r="F220" t="str">
            <v>3E6XIIZZ</v>
          </cell>
          <cell r="G220" t="str">
            <v>B00EUUXFFS</v>
          </cell>
          <cell r="H220" t="str">
            <v>980-000814</v>
          </cell>
          <cell r="I220" t="str">
            <v>OE INVOICES</v>
          </cell>
          <cell r="J220">
            <v>44421947143</v>
          </cell>
          <cell r="K220">
            <v>44663</v>
          </cell>
          <cell r="L220">
            <v>8</v>
          </cell>
          <cell r="M220" t="str">
            <v>EUR</v>
          </cell>
          <cell r="N220">
            <v>492</v>
          </cell>
          <cell r="O220">
            <v>20.5</v>
          </cell>
          <cell r="P220">
            <v>24</v>
          </cell>
          <cell r="Q220">
            <v>24</v>
          </cell>
          <cell r="R220">
            <v>0</v>
          </cell>
        </row>
        <row r="221">
          <cell r="A221" t="str">
            <v>3E6XIIZZB00FSF2OSS</v>
          </cell>
          <cell r="B221" t="str">
            <v>Q1-23</v>
          </cell>
          <cell r="C221" t="str">
            <v>Europe Operations OU</v>
          </cell>
          <cell r="D221">
            <v>2674345</v>
          </cell>
          <cell r="E221" t="str">
            <v>Amazon EU SARL, succursale Italiana</v>
          </cell>
          <cell r="F221" t="str">
            <v>3E6XIIZZ</v>
          </cell>
          <cell r="G221" t="str">
            <v>B00FSF2OSS</v>
          </cell>
          <cell r="H221" t="str">
            <v>980-000812</v>
          </cell>
          <cell r="I221" t="str">
            <v>OE INVOICES</v>
          </cell>
          <cell r="J221">
            <v>44421948517</v>
          </cell>
          <cell r="K221">
            <v>44666</v>
          </cell>
          <cell r="L221">
            <v>2</v>
          </cell>
          <cell r="M221" t="str">
            <v>EUR</v>
          </cell>
          <cell r="N221">
            <v>117.12</v>
          </cell>
          <cell r="O221">
            <v>29.28</v>
          </cell>
          <cell r="P221">
            <v>4</v>
          </cell>
          <cell r="Q221">
            <v>4</v>
          </cell>
          <cell r="R221">
            <v>0</v>
          </cell>
        </row>
        <row r="222">
          <cell r="A222" t="str">
            <v>3E6XIIZZB00IOIJQ46</v>
          </cell>
          <cell r="B222" t="str">
            <v>Q1-23</v>
          </cell>
          <cell r="C222" t="str">
            <v>Europe Operations OU</v>
          </cell>
          <cell r="D222">
            <v>2674345</v>
          </cell>
          <cell r="E222" t="str">
            <v>Amazon EU SARL, succursale Italiana</v>
          </cell>
          <cell r="F222" t="str">
            <v>3E6XIIZZ</v>
          </cell>
          <cell r="G222" t="str">
            <v>B00IOIJQ46</v>
          </cell>
          <cell r="H222" t="str">
            <v>920-003169</v>
          </cell>
          <cell r="I222" t="str">
            <v>OE INVOICES</v>
          </cell>
          <cell r="J222">
            <v>44421947143</v>
          </cell>
          <cell r="K222">
            <v>44663</v>
          </cell>
          <cell r="L222">
            <v>9</v>
          </cell>
          <cell r="M222" t="str">
            <v>EUR</v>
          </cell>
          <cell r="N222">
            <v>280.95999999999998</v>
          </cell>
          <cell r="O222">
            <v>17.559999999999999</v>
          </cell>
          <cell r="P222">
            <v>16</v>
          </cell>
          <cell r="Q222">
            <v>16</v>
          </cell>
          <cell r="R222">
            <v>0</v>
          </cell>
        </row>
        <row r="223">
          <cell r="A223" t="str">
            <v>3E6XIIZZB00M6S9O9C</v>
          </cell>
          <cell r="B223" t="str">
            <v>Q1-23</v>
          </cell>
          <cell r="C223" t="str">
            <v>Europe Operations OU</v>
          </cell>
          <cell r="D223">
            <v>2674345</v>
          </cell>
          <cell r="E223" t="str">
            <v>Amazon EU SARL, succursale Italiana</v>
          </cell>
          <cell r="F223" t="str">
            <v>3E6XIIZZ</v>
          </cell>
          <cell r="G223" t="str">
            <v>B00M6S9O9C</v>
          </cell>
          <cell r="H223" t="str">
            <v>981-000571</v>
          </cell>
          <cell r="I223" t="str">
            <v>OE INVOICES</v>
          </cell>
          <cell r="J223">
            <v>44421947143</v>
          </cell>
          <cell r="K223">
            <v>44663</v>
          </cell>
          <cell r="L223">
            <v>10</v>
          </cell>
          <cell r="M223" t="str">
            <v>EUR</v>
          </cell>
          <cell r="N223">
            <v>359.88</v>
          </cell>
          <cell r="O223">
            <v>29.99</v>
          </cell>
          <cell r="P223">
            <v>12</v>
          </cell>
          <cell r="Q223">
            <v>12</v>
          </cell>
          <cell r="R223">
            <v>0</v>
          </cell>
        </row>
        <row r="224">
          <cell r="A224" t="str">
            <v>3E6XIIZZB00YR92VMA</v>
          </cell>
          <cell r="B224" t="str">
            <v>Q1-23</v>
          </cell>
          <cell r="C224" t="str">
            <v>Europe Operations OU</v>
          </cell>
          <cell r="D224">
            <v>2674345</v>
          </cell>
          <cell r="E224" t="str">
            <v>Amazon EU SARL, succursale Italiana</v>
          </cell>
          <cell r="F224" t="str">
            <v>3E6XIIZZ</v>
          </cell>
          <cell r="G224" t="str">
            <v>B00YR92VMA</v>
          </cell>
          <cell r="H224" t="str">
            <v>980-001201</v>
          </cell>
          <cell r="I224" t="str">
            <v>OE INVOICES</v>
          </cell>
          <cell r="J224">
            <v>44421947143</v>
          </cell>
          <cell r="K224">
            <v>44663</v>
          </cell>
          <cell r="L224">
            <v>11</v>
          </cell>
          <cell r="M224" t="str">
            <v>EUR</v>
          </cell>
          <cell r="N224">
            <v>93.7</v>
          </cell>
          <cell r="O224">
            <v>46.85</v>
          </cell>
          <cell r="P224">
            <v>2</v>
          </cell>
          <cell r="Q224">
            <v>2</v>
          </cell>
          <cell r="R224">
            <v>0</v>
          </cell>
        </row>
        <row r="225">
          <cell r="A225" t="str">
            <v>3E6XIIZZB0118K7K4O</v>
          </cell>
          <cell r="B225" t="str">
            <v>Q1-23</v>
          </cell>
          <cell r="C225" t="str">
            <v>Europe Operations OU</v>
          </cell>
          <cell r="D225">
            <v>2674345</v>
          </cell>
          <cell r="E225" t="str">
            <v>Amazon EU SARL, succursale Italiana</v>
          </cell>
          <cell r="F225" t="str">
            <v>3E6XIIZZ</v>
          </cell>
          <cell r="G225" t="str">
            <v>B0118K7K4O</v>
          </cell>
          <cell r="H225" t="str">
            <v>910-002236</v>
          </cell>
          <cell r="I225" t="str">
            <v>OE INVOICES</v>
          </cell>
          <cell r="J225">
            <v>44421947143</v>
          </cell>
          <cell r="K225">
            <v>44663</v>
          </cell>
          <cell r="L225">
            <v>12</v>
          </cell>
          <cell r="M225" t="str">
            <v>EUR</v>
          </cell>
          <cell r="N225">
            <v>1890.5</v>
          </cell>
          <cell r="O225">
            <v>9.9499999999999993</v>
          </cell>
          <cell r="P225">
            <v>190</v>
          </cell>
          <cell r="Q225">
            <v>190</v>
          </cell>
          <cell r="R225">
            <v>0</v>
          </cell>
        </row>
        <row r="226">
          <cell r="A226" t="str">
            <v>3E6XIIZZB016KFOCQ6</v>
          </cell>
          <cell r="B226" t="str">
            <v>Q1-23</v>
          </cell>
          <cell r="C226" t="str">
            <v>Europe Operations OU</v>
          </cell>
          <cell r="D226">
            <v>2674345</v>
          </cell>
          <cell r="E226" t="str">
            <v>Amazon EU SARL, succursale Italiana</v>
          </cell>
          <cell r="F226" t="str">
            <v>3E6XIIZZ</v>
          </cell>
          <cell r="G226" t="str">
            <v>B016KFOCQ6</v>
          </cell>
          <cell r="H226" t="str">
            <v>920-007582</v>
          </cell>
          <cell r="I226" t="str">
            <v>OE INVOICES</v>
          </cell>
          <cell r="J226">
            <v>44421947143</v>
          </cell>
          <cell r="K226">
            <v>44663</v>
          </cell>
          <cell r="L226">
            <v>13</v>
          </cell>
          <cell r="M226" t="str">
            <v>EUR</v>
          </cell>
          <cell r="N226">
            <v>234.24</v>
          </cell>
          <cell r="O226">
            <v>29.28</v>
          </cell>
          <cell r="P226">
            <v>8</v>
          </cell>
          <cell r="Q226">
            <v>8</v>
          </cell>
          <cell r="R226">
            <v>0</v>
          </cell>
        </row>
        <row r="227">
          <cell r="A227" t="str">
            <v>3E6XIIZZB01DIJIE1Q</v>
          </cell>
          <cell r="B227" t="str">
            <v>Q1-23</v>
          </cell>
          <cell r="C227" t="str">
            <v>Europe Operations OU</v>
          </cell>
          <cell r="D227">
            <v>2674345</v>
          </cell>
          <cell r="E227" t="str">
            <v>Amazon EU SARL, succursale Italiana</v>
          </cell>
          <cell r="F227" t="str">
            <v>3E6XIIZZ</v>
          </cell>
          <cell r="G227" t="str">
            <v>B01DIJIE1Q</v>
          </cell>
          <cell r="H227" t="str">
            <v>943-000100</v>
          </cell>
          <cell r="I227" t="str">
            <v>OE INVOICES</v>
          </cell>
          <cell r="J227">
            <v>44421947143</v>
          </cell>
          <cell r="K227">
            <v>44663</v>
          </cell>
          <cell r="L227">
            <v>14</v>
          </cell>
          <cell r="M227" t="str">
            <v>EUR</v>
          </cell>
          <cell r="N227">
            <v>126.56</v>
          </cell>
          <cell r="O227">
            <v>15.82</v>
          </cell>
          <cell r="P227">
            <v>8</v>
          </cell>
          <cell r="Q227">
            <v>8</v>
          </cell>
          <cell r="R227">
            <v>0</v>
          </cell>
        </row>
        <row r="228">
          <cell r="A228" t="str">
            <v>3E6XIIZZB01DKTP30O</v>
          </cell>
          <cell r="B228" t="str">
            <v>Q1-23</v>
          </cell>
          <cell r="C228" t="str">
            <v>Europe Operations OU</v>
          </cell>
          <cell r="D228">
            <v>2674345</v>
          </cell>
          <cell r="E228" t="str">
            <v>Amazon EU SARL, succursale Italiana</v>
          </cell>
          <cell r="F228" t="str">
            <v>3E6XIIZZ</v>
          </cell>
          <cell r="G228" t="str">
            <v>B01DKTP30O</v>
          </cell>
          <cell r="H228" t="str">
            <v>943-000089</v>
          </cell>
          <cell r="I228" t="str">
            <v>OE INVOICES</v>
          </cell>
          <cell r="J228">
            <v>44421947143</v>
          </cell>
          <cell r="K228">
            <v>44663</v>
          </cell>
          <cell r="L228">
            <v>15</v>
          </cell>
          <cell r="M228" t="str">
            <v>EUR</v>
          </cell>
          <cell r="N228">
            <v>928.4</v>
          </cell>
          <cell r="O228">
            <v>21.1</v>
          </cell>
          <cell r="P228">
            <v>44</v>
          </cell>
          <cell r="Q228">
            <v>44</v>
          </cell>
          <cell r="R228">
            <v>0</v>
          </cell>
        </row>
        <row r="229">
          <cell r="A229" t="str">
            <v>3E6XIIZZB01GNP4Y70</v>
          </cell>
          <cell r="B229" t="str">
            <v>Q1-23</v>
          </cell>
          <cell r="C229" t="str">
            <v>Europe Operations OU</v>
          </cell>
          <cell r="D229">
            <v>2674345</v>
          </cell>
          <cell r="E229" t="str">
            <v>Amazon EU SARL, succursale Italiana</v>
          </cell>
          <cell r="F229" t="str">
            <v>3E6XIIZZ</v>
          </cell>
          <cell r="G229" t="str">
            <v>B01GNP4Y70</v>
          </cell>
          <cell r="H229" t="str">
            <v>920-008034</v>
          </cell>
          <cell r="I229" t="str">
            <v>OE INVOICES</v>
          </cell>
          <cell r="J229">
            <v>44421947143</v>
          </cell>
          <cell r="K229">
            <v>44663</v>
          </cell>
          <cell r="L229">
            <v>16</v>
          </cell>
          <cell r="M229" t="str">
            <v>EUR</v>
          </cell>
          <cell r="N229">
            <v>1113.76</v>
          </cell>
          <cell r="O229">
            <v>69.61</v>
          </cell>
          <cell r="P229">
            <v>16</v>
          </cell>
          <cell r="Q229">
            <v>16</v>
          </cell>
          <cell r="R229">
            <v>0</v>
          </cell>
        </row>
        <row r="230">
          <cell r="A230" t="str">
            <v>3E6XIIZZB01K7GEAFC</v>
          </cell>
          <cell r="B230" t="str">
            <v>Q1-23</v>
          </cell>
          <cell r="C230" t="str">
            <v>Europe Operations OU</v>
          </cell>
          <cell r="D230">
            <v>2674345</v>
          </cell>
          <cell r="E230" t="str">
            <v>Amazon EU SARL, succursale Italiana</v>
          </cell>
          <cell r="F230" t="str">
            <v>3E6XIIZZ</v>
          </cell>
          <cell r="G230" t="str">
            <v>B01K7GEAFC</v>
          </cell>
          <cell r="H230" t="str">
            <v>910-004909</v>
          </cell>
          <cell r="I230" t="str">
            <v>OE INVOICES</v>
          </cell>
          <cell r="J230">
            <v>44421947143</v>
          </cell>
          <cell r="K230">
            <v>44663</v>
          </cell>
          <cell r="L230">
            <v>17</v>
          </cell>
          <cell r="M230" t="str">
            <v>EUR</v>
          </cell>
          <cell r="N230">
            <v>14052</v>
          </cell>
          <cell r="O230">
            <v>23.42</v>
          </cell>
          <cell r="P230">
            <v>600</v>
          </cell>
          <cell r="Q230">
            <v>600</v>
          </cell>
          <cell r="R230">
            <v>0</v>
          </cell>
        </row>
        <row r="231">
          <cell r="A231" t="str">
            <v>3E6XIIZZB0748NCPN5</v>
          </cell>
          <cell r="B231" t="str">
            <v>Q1-23</v>
          </cell>
          <cell r="C231" t="str">
            <v>Europe Operations OU</v>
          </cell>
          <cell r="D231">
            <v>2674345</v>
          </cell>
          <cell r="E231" t="str">
            <v>Amazon EU SARL, succursale Italiana</v>
          </cell>
          <cell r="F231" t="str">
            <v>3E6XIIZZ</v>
          </cell>
          <cell r="G231" t="str">
            <v>B0748NCPN5</v>
          </cell>
          <cell r="H231" t="str">
            <v>960-001194</v>
          </cell>
          <cell r="I231" t="str">
            <v>OE INVOICES</v>
          </cell>
          <cell r="J231">
            <v>44421947143</v>
          </cell>
          <cell r="K231">
            <v>44663</v>
          </cell>
          <cell r="L231">
            <v>18</v>
          </cell>
          <cell r="M231" t="str">
            <v>EUR</v>
          </cell>
          <cell r="N231">
            <v>2311.1999999999998</v>
          </cell>
          <cell r="O231">
            <v>144.44999999999999</v>
          </cell>
          <cell r="P231">
            <v>16</v>
          </cell>
          <cell r="Q231">
            <v>16</v>
          </cell>
          <cell r="R231">
            <v>0</v>
          </cell>
        </row>
        <row r="232">
          <cell r="A232" t="str">
            <v>3E6XIIZZB074W227RK</v>
          </cell>
          <cell r="B232" t="str">
            <v>Q1-23</v>
          </cell>
          <cell r="C232" t="str">
            <v>Europe Operations OU</v>
          </cell>
          <cell r="D232">
            <v>2674345</v>
          </cell>
          <cell r="E232" t="str">
            <v>Amazon EU SARL, succursale Italiana</v>
          </cell>
          <cell r="F232" t="str">
            <v>3E6XIIZZ</v>
          </cell>
          <cell r="G232" t="str">
            <v>B074W227RK</v>
          </cell>
          <cell r="H232" t="str">
            <v>910-005179</v>
          </cell>
          <cell r="I232" t="str">
            <v>OE INVOICES</v>
          </cell>
          <cell r="J232">
            <v>44421947143</v>
          </cell>
          <cell r="K232">
            <v>44663</v>
          </cell>
          <cell r="L232">
            <v>19</v>
          </cell>
          <cell r="M232" t="str">
            <v>EUR</v>
          </cell>
          <cell r="N232">
            <v>5847.24</v>
          </cell>
          <cell r="O232">
            <v>69.61</v>
          </cell>
          <cell r="P232">
            <v>84</v>
          </cell>
          <cell r="Q232">
            <v>84</v>
          </cell>
          <cell r="R232">
            <v>0</v>
          </cell>
        </row>
        <row r="233">
          <cell r="A233" t="str">
            <v>3E6XIIZZB07G5XJLWK</v>
          </cell>
          <cell r="B233" t="str">
            <v>Q1-23</v>
          </cell>
          <cell r="C233" t="str">
            <v>Europe Operations OU</v>
          </cell>
          <cell r="D233">
            <v>2674345</v>
          </cell>
          <cell r="E233" t="str">
            <v>Amazon EU SARL, succursale Italiana</v>
          </cell>
          <cell r="F233" t="str">
            <v>3E6XIIZZ</v>
          </cell>
          <cell r="G233" t="str">
            <v>B07G5XJLWK</v>
          </cell>
          <cell r="H233" t="str">
            <v>910-005273</v>
          </cell>
          <cell r="I233" t="str">
            <v>OE INVOICES</v>
          </cell>
          <cell r="J233">
            <v>44421947143</v>
          </cell>
          <cell r="K233">
            <v>44663</v>
          </cell>
          <cell r="L233">
            <v>20</v>
          </cell>
          <cell r="M233" t="str">
            <v>EUR</v>
          </cell>
          <cell r="N233">
            <v>31307.599999999999</v>
          </cell>
          <cell r="O233">
            <v>68.06</v>
          </cell>
          <cell r="P233">
            <v>460</v>
          </cell>
          <cell r="Q233">
            <v>460</v>
          </cell>
          <cell r="R233">
            <v>0</v>
          </cell>
        </row>
        <row r="234">
          <cell r="A234" t="str">
            <v>3E6XIIZZB07G6MYMKD</v>
          </cell>
          <cell r="B234" t="str">
            <v>Q1-23</v>
          </cell>
          <cell r="C234" t="str">
            <v>Europe Operations OU</v>
          </cell>
          <cell r="D234">
            <v>2674345</v>
          </cell>
          <cell r="E234" t="str">
            <v>Amazon EU SARL, succursale Italiana</v>
          </cell>
          <cell r="F234" t="str">
            <v>3E6XIIZZ</v>
          </cell>
          <cell r="G234" t="str">
            <v>B07G6MYMKD</v>
          </cell>
          <cell r="H234" t="str">
            <v>984-001402</v>
          </cell>
          <cell r="I234" t="str">
            <v>OE INVOICES</v>
          </cell>
          <cell r="J234">
            <v>44421948517</v>
          </cell>
          <cell r="K234">
            <v>44666</v>
          </cell>
          <cell r="L234">
            <v>3</v>
          </cell>
          <cell r="M234" t="str">
            <v>EUR</v>
          </cell>
          <cell r="N234">
            <v>2768.74</v>
          </cell>
          <cell r="O234">
            <v>106.49</v>
          </cell>
          <cell r="P234">
            <v>26</v>
          </cell>
          <cell r="Q234">
            <v>26</v>
          </cell>
          <cell r="R234">
            <v>0</v>
          </cell>
        </row>
        <row r="235">
          <cell r="A235" t="str">
            <v>3E6XIIZZB07GDYYN38</v>
          </cell>
          <cell r="B235" t="str">
            <v>Q1-23</v>
          </cell>
          <cell r="C235" t="str">
            <v>Europe Operations OU</v>
          </cell>
          <cell r="D235">
            <v>2674345</v>
          </cell>
          <cell r="E235" t="str">
            <v>Amazon EU SARL, succursale Italiana</v>
          </cell>
          <cell r="F235" t="str">
            <v>3E6XIIZZ</v>
          </cell>
          <cell r="G235" t="str">
            <v>B07GDYYN38</v>
          </cell>
          <cell r="H235" t="str">
            <v>910-005489</v>
          </cell>
          <cell r="I235" t="str">
            <v>OE INVOICES</v>
          </cell>
          <cell r="J235">
            <v>44421947143</v>
          </cell>
          <cell r="K235">
            <v>44663</v>
          </cell>
          <cell r="L235">
            <v>21</v>
          </cell>
          <cell r="M235" t="str">
            <v>EUR</v>
          </cell>
          <cell r="N235">
            <v>175.6</v>
          </cell>
          <cell r="O235">
            <v>8.7799999999999994</v>
          </cell>
          <cell r="P235">
            <v>20</v>
          </cell>
          <cell r="Q235">
            <v>20</v>
          </cell>
          <cell r="R235">
            <v>0</v>
          </cell>
        </row>
        <row r="236">
          <cell r="A236" t="str">
            <v>3E6XIIZZB07GS6ZB7T</v>
          </cell>
          <cell r="B236" t="str">
            <v>Q1-23</v>
          </cell>
          <cell r="C236" t="str">
            <v>Europe Operations OU</v>
          </cell>
          <cell r="D236">
            <v>2674345</v>
          </cell>
          <cell r="E236" t="str">
            <v>Amazon EU SARL, succursale Italiana</v>
          </cell>
          <cell r="F236" t="str">
            <v>3E6XIIZZ</v>
          </cell>
          <cell r="G236" t="str">
            <v>B07GS6ZB7T</v>
          </cell>
          <cell r="H236" t="str">
            <v>910-005471</v>
          </cell>
          <cell r="I236" t="str">
            <v>OE INVOICES</v>
          </cell>
          <cell r="J236">
            <v>44421947143</v>
          </cell>
          <cell r="K236">
            <v>44663</v>
          </cell>
          <cell r="L236">
            <v>22</v>
          </cell>
          <cell r="M236" t="str">
            <v>EUR</v>
          </cell>
          <cell r="N236">
            <v>20701.28</v>
          </cell>
          <cell r="O236">
            <v>47.48</v>
          </cell>
          <cell r="P236">
            <v>436</v>
          </cell>
          <cell r="Q236">
            <v>436</v>
          </cell>
          <cell r="R236">
            <v>0</v>
          </cell>
        </row>
        <row r="237">
          <cell r="A237" t="str">
            <v>3E6XIIZZB07PNJ533Y</v>
          </cell>
          <cell r="B237" t="str">
            <v>Q1-23</v>
          </cell>
          <cell r="C237" t="str">
            <v>Europe Operations OU</v>
          </cell>
          <cell r="D237">
            <v>2674345</v>
          </cell>
          <cell r="E237" t="str">
            <v>Amazon EU SARL, succursale Italiana</v>
          </cell>
          <cell r="F237" t="str">
            <v>3E6XIIZZ</v>
          </cell>
          <cell r="G237" t="str">
            <v>B07PNJ533Y</v>
          </cell>
          <cell r="H237" t="str">
            <v>939-001730</v>
          </cell>
          <cell r="I237" t="str">
            <v>OE INVOICES</v>
          </cell>
          <cell r="J237">
            <v>44421947143</v>
          </cell>
          <cell r="K237">
            <v>44663</v>
          </cell>
          <cell r="L237">
            <v>23</v>
          </cell>
          <cell r="M237" t="str">
            <v>EUR</v>
          </cell>
          <cell r="N237">
            <v>769.12</v>
          </cell>
          <cell r="O237">
            <v>96.14</v>
          </cell>
          <cell r="P237">
            <v>8</v>
          </cell>
          <cell r="Q237">
            <v>8</v>
          </cell>
          <cell r="R237">
            <v>0</v>
          </cell>
        </row>
        <row r="238">
          <cell r="A238" t="str">
            <v>3E6XIIZZB07TQ6G276</v>
          </cell>
          <cell r="B238" t="str">
            <v>Q1-23</v>
          </cell>
          <cell r="C238" t="str">
            <v>Europe Operations OU</v>
          </cell>
          <cell r="D238">
            <v>2674345</v>
          </cell>
          <cell r="E238" t="str">
            <v>Amazon EU SARL, succursale Italiana</v>
          </cell>
          <cell r="F238" t="str">
            <v>3E6XIIZZ</v>
          </cell>
          <cell r="G238" t="str">
            <v>B07TQ6G276</v>
          </cell>
          <cell r="H238" t="str">
            <v>981-000812</v>
          </cell>
          <cell r="I238" t="str">
            <v>OE INVOICES</v>
          </cell>
          <cell r="J238">
            <v>44421947143</v>
          </cell>
          <cell r="K238">
            <v>44663</v>
          </cell>
          <cell r="L238">
            <v>24</v>
          </cell>
          <cell r="M238" t="str">
            <v>EUR</v>
          </cell>
          <cell r="N238">
            <v>211.04</v>
          </cell>
          <cell r="O238">
            <v>52.76</v>
          </cell>
          <cell r="P238">
            <v>4</v>
          </cell>
          <cell r="Q238">
            <v>4</v>
          </cell>
          <cell r="R238">
            <v>0</v>
          </cell>
        </row>
        <row r="239">
          <cell r="A239" t="str">
            <v>3E6XIIZZB07VFJT9NM</v>
          </cell>
          <cell r="B239" t="str">
            <v>Q1-23</v>
          </cell>
          <cell r="C239" t="str">
            <v>Europe Operations OU</v>
          </cell>
          <cell r="D239">
            <v>2674345</v>
          </cell>
          <cell r="E239" t="str">
            <v>Amazon EU SARL, succursale Italiana</v>
          </cell>
          <cell r="F239" t="str">
            <v>3E6XIIZZ</v>
          </cell>
          <cell r="G239" t="str">
            <v>B07VFJT9NM</v>
          </cell>
          <cell r="H239" t="str">
            <v>910-005716</v>
          </cell>
          <cell r="I239" t="str">
            <v>OE INVOICES</v>
          </cell>
          <cell r="J239">
            <v>44421948517</v>
          </cell>
          <cell r="K239">
            <v>44666</v>
          </cell>
          <cell r="L239">
            <v>4</v>
          </cell>
          <cell r="M239" t="str">
            <v>EUR</v>
          </cell>
          <cell r="N239">
            <v>4099.2</v>
          </cell>
          <cell r="O239">
            <v>14.64</v>
          </cell>
          <cell r="P239">
            <v>280</v>
          </cell>
          <cell r="Q239">
            <v>280</v>
          </cell>
          <cell r="R239">
            <v>0</v>
          </cell>
        </row>
        <row r="240">
          <cell r="A240" t="str">
            <v>3E6XIIZZB07VFVRZ6Y</v>
          </cell>
          <cell r="B240" t="str">
            <v>Q1-23</v>
          </cell>
          <cell r="C240" t="str">
            <v>Europe Operations OU</v>
          </cell>
          <cell r="D240">
            <v>2674345</v>
          </cell>
          <cell r="E240" t="str">
            <v>Amazon EU SARL, succursale Italiana</v>
          </cell>
          <cell r="F240" t="str">
            <v>3E6XIIZZ</v>
          </cell>
          <cell r="G240" t="str">
            <v>B07VFVRZ6Y</v>
          </cell>
          <cell r="H240" t="str">
            <v>920-009202</v>
          </cell>
          <cell r="I240" t="str">
            <v>OE INVOICES</v>
          </cell>
          <cell r="J240">
            <v>44421947143</v>
          </cell>
          <cell r="K240">
            <v>44663</v>
          </cell>
          <cell r="L240">
            <v>25</v>
          </cell>
          <cell r="M240" t="str">
            <v>EUR</v>
          </cell>
          <cell r="N240">
            <v>702.6</v>
          </cell>
          <cell r="O240">
            <v>35.130000000000003</v>
          </cell>
          <cell r="P240">
            <v>20</v>
          </cell>
          <cell r="Q240">
            <v>20</v>
          </cell>
          <cell r="R240">
            <v>0</v>
          </cell>
        </row>
        <row r="241">
          <cell r="A241" t="str">
            <v>3E6XIIZZB07W4DGCMV</v>
          </cell>
          <cell r="B241" t="str">
            <v>Q1-23</v>
          </cell>
          <cell r="C241" t="str">
            <v>Europe Operations OU</v>
          </cell>
          <cell r="D241">
            <v>2674345</v>
          </cell>
          <cell r="E241" t="str">
            <v>Amazon EU SARL, succursale Italiana</v>
          </cell>
          <cell r="F241" t="str">
            <v>3E6XIIZZ</v>
          </cell>
          <cell r="G241" t="str">
            <v>B07W4DGCMV</v>
          </cell>
          <cell r="H241" t="str">
            <v>920-009865</v>
          </cell>
          <cell r="I241" t="str">
            <v>OE INVOICES</v>
          </cell>
          <cell r="J241">
            <v>44421947143</v>
          </cell>
          <cell r="K241">
            <v>44663</v>
          </cell>
          <cell r="L241">
            <v>26</v>
          </cell>
          <cell r="M241" t="str">
            <v>EUR</v>
          </cell>
          <cell r="N241">
            <v>234.24</v>
          </cell>
          <cell r="O241">
            <v>29.28</v>
          </cell>
          <cell r="P241">
            <v>8</v>
          </cell>
          <cell r="Q241">
            <v>8</v>
          </cell>
          <cell r="R241">
            <v>0</v>
          </cell>
        </row>
        <row r="242">
          <cell r="A242" t="str">
            <v>3E6XIIZZB07W4DGVQF</v>
          </cell>
          <cell r="B242" t="str">
            <v>Q1-23</v>
          </cell>
          <cell r="C242" t="str">
            <v>Europe Operations OU</v>
          </cell>
          <cell r="D242">
            <v>2674345</v>
          </cell>
          <cell r="E242" t="str">
            <v>Amazon EU SARL, succursale Italiana</v>
          </cell>
          <cell r="F242" t="str">
            <v>3E6XIIZZ</v>
          </cell>
          <cell r="G242" t="str">
            <v>B07W4DGVQF</v>
          </cell>
          <cell r="H242" t="str">
            <v>910-005966</v>
          </cell>
          <cell r="I242" t="str">
            <v>OE INVOICES</v>
          </cell>
          <cell r="J242">
            <v>44421947143</v>
          </cell>
          <cell r="K242">
            <v>44663</v>
          </cell>
          <cell r="L242">
            <v>27</v>
          </cell>
          <cell r="M242" t="str">
            <v>EUR</v>
          </cell>
          <cell r="N242">
            <v>33872</v>
          </cell>
          <cell r="O242">
            <v>58</v>
          </cell>
          <cell r="P242">
            <v>584</v>
          </cell>
          <cell r="Q242">
            <v>584</v>
          </cell>
          <cell r="R242">
            <v>0</v>
          </cell>
        </row>
        <row r="243">
          <cell r="A243" t="str">
            <v>3E6XIIZZB07W4DHJ91</v>
          </cell>
          <cell r="B243" t="str">
            <v>Q1-23</v>
          </cell>
          <cell r="C243" t="str">
            <v>Europe Operations OU</v>
          </cell>
          <cell r="D243">
            <v>2674345</v>
          </cell>
          <cell r="E243" t="str">
            <v>Amazon EU SARL, succursale Italiana</v>
          </cell>
          <cell r="F243" t="str">
            <v>3E6XIIZZ</v>
          </cell>
          <cell r="G243" t="str">
            <v>B07W4DHJ91</v>
          </cell>
          <cell r="H243" t="str">
            <v>910-005990</v>
          </cell>
          <cell r="I243" t="str">
            <v>OE INVOICES</v>
          </cell>
          <cell r="J243">
            <v>44421947143</v>
          </cell>
          <cell r="K243">
            <v>44663</v>
          </cell>
          <cell r="L243">
            <v>28</v>
          </cell>
          <cell r="M243" t="str">
            <v>EUR</v>
          </cell>
          <cell r="N243">
            <v>580</v>
          </cell>
          <cell r="O243">
            <v>58</v>
          </cell>
          <cell r="P243">
            <v>10</v>
          </cell>
          <cell r="Q243">
            <v>10</v>
          </cell>
          <cell r="R243">
            <v>0</v>
          </cell>
        </row>
        <row r="244">
          <cell r="A244" t="str">
            <v>3E6XIIZZB07W5JHF5D</v>
          </cell>
          <cell r="B244" t="str">
            <v>Q1-23</v>
          </cell>
          <cell r="C244" t="str">
            <v>Europe Operations OU</v>
          </cell>
          <cell r="D244">
            <v>2674345</v>
          </cell>
          <cell r="E244" t="str">
            <v>Amazon EU SARL, succursale Italiana</v>
          </cell>
          <cell r="F244" t="str">
            <v>3E6XIIZZ</v>
          </cell>
          <cell r="G244" t="str">
            <v>B07W5JHF5D</v>
          </cell>
          <cell r="H244" t="str">
            <v>920-009866</v>
          </cell>
          <cell r="I244" t="str">
            <v>OE INVOICES</v>
          </cell>
          <cell r="J244">
            <v>44421947143</v>
          </cell>
          <cell r="K244">
            <v>44663</v>
          </cell>
          <cell r="L244">
            <v>29</v>
          </cell>
          <cell r="M244" t="str">
            <v>EUR</v>
          </cell>
          <cell r="N244">
            <v>936.96</v>
          </cell>
          <cell r="O244">
            <v>29.28</v>
          </cell>
          <cell r="P244">
            <v>32</v>
          </cell>
          <cell r="Q244">
            <v>32</v>
          </cell>
          <cell r="R244">
            <v>0</v>
          </cell>
        </row>
        <row r="245">
          <cell r="A245" t="str">
            <v>3E6XIIZZB07W5JHM12</v>
          </cell>
          <cell r="B245" t="str">
            <v>Q1-23</v>
          </cell>
          <cell r="C245" t="str">
            <v>Europe Operations OU</v>
          </cell>
          <cell r="D245">
            <v>2674345</v>
          </cell>
          <cell r="E245" t="str">
            <v>Amazon EU SARL, succursale Italiana</v>
          </cell>
          <cell r="F245" t="str">
            <v>3E6XIIZZ</v>
          </cell>
          <cell r="G245" t="str">
            <v>B07W5JHM12</v>
          </cell>
          <cell r="H245" t="str">
            <v>910-006236</v>
          </cell>
          <cell r="I245" t="str">
            <v>OE INVOICES</v>
          </cell>
          <cell r="J245">
            <v>44421947143</v>
          </cell>
          <cell r="K245">
            <v>44663</v>
          </cell>
          <cell r="L245">
            <v>30</v>
          </cell>
          <cell r="M245" t="str">
            <v>EUR</v>
          </cell>
          <cell r="N245">
            <v>4216</v>
          </cell>
          <cell r="O245">
            <v>26.35</v>
          </cell>
          <cell r="P245">
            <v>160</v>
          </cell>
          <cell r="Q245">
            <v>160</v>
          </cell>
          <cell r="R245">
            <v>0</v>
          </cell>
        </row>
        <row r="246">
          <cell r="A246" t="str">
            <v>3E6XIIZZB07W5JJP7R</v>
          </cell>
          <cell r="B246" t="str">
            <v>Q1-23</v>
          </cell>
          <cell r="C246" t="str">
            <v>Europe Operations OU</v>
          </cell>
          <cell r="D246">
            <v>2674345</v>
          </cell>
          <cell r="E246" t="str">
            <v>Amazon EU SARL, succursale Italiana</v>
          </cell>
          <cell r="F246" t="str">
            <v>3E6XIIZZ</v>
          </cell>
          <cell r="G246" t="str">
            <v>B07W5JJP7R</v>
          </cell>
          <cell r="H246" t="str">
            <v>920-009626</v>
          </cell>
          <cell r="I246" t="str">
            <v>OE INVOICES</v>
          </cell>
          <cell r="J246">
            <v>44421947143</v>
          </cell>
          <cell r="K246">
            <v>44663</v>
          </cell>
          <cell r="L246">
            <v>31</v>
          </cell>
          <cell r="M246" t="str">
            <v>EUR</v>
          </cell>
          <cell r="N246">
            <v>2087.7600000000002</v>
          </cell>
          <cell r="O246">
            <v>86.99</v>
          </cell>
          <cell r="P246">
            <v>24</v>
          </cell>
          <cell r="Q246">
            <v>24</v>
          </cell>
          <cell r="R246">
            <v>0</v>
          </cell>
        </row>
        <row r="247">
          <cell r="A247" t="str">
            <v>3E6XIIZZB07W5JJR4H</v>
          </cell>
          <cell r="B247" t="str">
            <v>Q1-23</v>
          </cell>
          <cell r="C247" t="str">
            <v>Europe Operations OU</v>
          </cell>
          <cell r="D247">
            <v>2674345</v>
          </cell>
          <cell r="E247" t="str">
            <v>Amazon EU SARL, succursale Italiana</v>
          </cell>
          <cell r="F247" t="str">
            <v>3E6XIIZZ</v>
          </cell>
          <cell r="G247" t="str">
            <v>B07W5JJR4H</v>
          </cell>
          <cell r="H247" t="str">
            <v>910-006211</v>
          </cell>
          <cell r="I247" t="str">
            <v>OE INVOICES</v>
          </cell>
          <cell r="J247">
            <v>44421947143</v>
          </cell>
          <cell r="K247">
            <v>44663</v>
          </cell>
          <cell r="L247">
            <v>32</v>
          </cell>
          <cell r="M247" t="str">
            <v>EUR</v>
          </cell>
          <cell r="N247">
            <v>4698</v>
          </cell>
          <cell r="O247">
            <v>52.2</v>
          </cell>
          <cell r="P247">
            <v>90</v>
          </cell>
          <cell r="Q247">
            <v>90</v>
          </cell>
          <cell r="R247">
            <v>0</v>
          </cell>
        </row>
        <row r="248">
          <cell r="A248" t="str">
            <v>3E6XIIZZB07W5JK2S4</v>
          </cell>
          <cell r="B248" t="str">
            <v>Q1-23</v>
          </cell>
          <cell r="C248" t="str">
            <v>Europe Operations OU</v>
          </cell>
          <cell r="D248">
            <v>2674345</v>
          </cell>
          <cell r="E248" t="str">
            <v>Amazon EU SARL, succursale Italiana</v>
          </cell>
          <cell r="F248" t="str">
            <v>3E6XIIZZ</v>
          </cell>
          <cell r="G248" t="str">
            <v>B07W5JK2S4</v>
          </cell>
          <cell r="H248" t="str">
            <v>920-010812</v>
          </cell>
          <cell r="I248" t="str">
            <v>OE INVOICES</v>
          </cell>
          <cell r="J248">
            <v>44421947143</v>
          </cell>
          <cell r="K248">
            <v>44663</v>
          </cell>
          <cell r="L248">
            <v>33</v>
          </cell>
          <cell r="M248" t="str">
            <v>EUR</v>
          </cell>
          <cell r="N248">
            <v>255.24</v>
          </cell>
          <cell r="O248">
            <v>63.81</v>
          </cell>
          <cell r="P248">
            <v>4</v>
          </cell>
          <cell r="Q248">
            <v>4</v>
          </cell>
          <cell r="R248">
            <v>0</v>
          </cell>
        </row>
        <row r="249">
          <cell r="A249" t="str">
            <v>3E6XIIZZB07W5JKPJY</v>
          </cell>
          <cell r="B249" t="str">
            <v>Q1-23</v>
          </cell>
          <cell r="C249" t="str">
            <v>Europe Operations OU</v>
          </cell>
          <cell r="D249">
            <v>2674345</v>
          </cell>
          <cell r="E249" t="str">
            <v>Amazon EU SARL, succursale Italiana</v>
          </cell>
          <cell r="F249" t="str">
            <v>3E6XIIZZ</v>
          </cell>
          <cell r="G249" t="str">
            <v>B07W5JKPJY</v>
          </cell>
          <cell r="H249" t="str">
            <v>910-006348</v>
          </cell>
          <cell r="I249" t="str">
            <v>OE INVOICES</v>
          </cell>
          <cell r="J249">
            <v>44421947143</v>
          </cell>
          <cell r="K249">
            <v>44663</v>
          </cell>
          <cell r="L249">
            <v>34</v>
          </cell>
          <cell r="M249" t="str">
            <v>EUR</v>
          </cell>
          <cell r="N249">
            <v>275</v>
          </cell>
          <cell r="O249">
            <v>27.5</v>
          </cell>
          <cell r="P249">
            <v>10</v>
          </cell>
          <cell r="Q249">
            <v>10</v>
          </cell>
          <cell r="R249">
            <v>0</v>
          </cell>
        </row>
        <row r="250">
          <cell r="A250" t="str">
            <v>3E6XIIZZB07W6GFKXS</v>
          </cell>
          <cell r="B250" t="str">
            <v>Q1-23</v>
          </cell>
          <cell r="C250" t="str">
            <v>Europe Operations OU</v>
          </cell>
          <cell r="D250">
            <v>2674345</v>
          </cell>
          <cell r="E250" t="str">
            <v>Amazon EU SARL, succursale Italiana</v>
          </cell>
          <cell r="F250" t="str">
            <v>3E6XIIZZ</v>
          </cell>
          <cell r="G250" t="str">
            <v>B07W6GFKXS</v>
          </cell>
          <cell r="H250" t="str">
            <v>910-005853</v>
          </cell>
          <cell r="I250" t="str">
            <v>OE INVOICES</v>
          </cell>
          <cell r="J250">
            <v>44421948517</v>
          </cell>
          <cell r="K250">
            <v>44666</v>
          </cell>
          <cell r="L250">
            <v>5</v>
          </cell>
          <cell r="M250" t="str">
            <v>EUR</v>
          </cell>
          <cell r="N250">
            <v>84.4</v>
          </cell>
          <cell r="O250">
            <v>21.1</v>
          </cell>
          <cell r="P250">
            <v>4</v>
          </cell>
          <cell r="Q250">
            <v>4</v>
          </cell>
          <cell r="R250">
            <v>0</v>
          </cell>
        </row>
        <row r="251">
          <cell r="A251" t="str">
            <v>3E6XIIZZB07W6J52LN</v>
          </cell>
          <cell r="B251" t="str">
            <v>Q1-23</v>
          </cell>
          <cell r="C251" t="str">
            <v>Europe Operations OU</v>
          </cell>
          <cell r="D251">
            <v>2674345</v>
          </cell>
          <cell r="E251" t="str">
            <v>Amazon EU SARL, succursale Italiana</v>
          </cell>
          <cell r="F251" t="str">
            <v>3E6XIIZZ</v>
          </cell>
          <cell r="G251" t="str">
            <v>B07W6J52LN</v>
          </cell>
          <cell r="H251" t="str">
            <v>910-006054</v>
          </cell>
          <cell r="I251" t="str">
            <v>OE INVOICES</v>
          </cell>
          <cell r="J251">
            <v>44421947143</v>
          </cell>
          <cell r="K251">
            <v>44663</v>
          </cell>
          <cell r="L251">
            <v>35</v>
          </cell>
          <cell r="M251" t="str">
            <v>EUR</v>
          </cell>
          <cell r="N251">
            <v>126.6</v>
          </cell>
          <cell r="O251">
            <v>31.65</v>
          </cell>
          <cell r="P251">
            <v>4</v>
          </cell>
          <cell r="Q251">
            <v>4</v>
          </cell>
          <cell r="R251">
            <v>0</v>
          </cell>
        </row>
        <row r="252">
          <cell r="A252" t="str">
            <v>3E6XIIZZB07W6JDL3Z</v>
          </cell>
          <cell r="B252" t="str">
            <v>Q1-23</v>
          </cell>
          <cell r="C252" t="str">
            <v>Europe Operations OU</v>
          </cell>
          <cell r="D252">
            <v>2674345</v>
          </cell>
          <cell r="E252" t="str">
            <v>Amazon EU SARL, succursale Italiana</v>
          </cell>
          <cell r="F252" t="str">
            <v>3E6XIIZZ</v>
          </cell>
          <cell r="G252" t="str">
            <v>B07W6JDL3Z</v>
          </cell>
          <cell r="H252" t="str">
            <v>980-001348</v>
          </cell>
          <cell r="I252" t="str">
            <v>OE INVOICES</v>
          </cell>
          <cell r="J252">
            <v>44421947143</v>
          </cell>
          <cell r="K252">
            <v>44663</v>
          </cell>
          <cell r="L252">
            <v>36</v>
          </cell>
          <cell r="M252" t="str">
            <v>EUR</v>
          </cell>
          <cell r="N252">
            <v>4176.6000000000004</v>
          </cell>
          <cell r="O252">
            <v>69.61</v>
          </cell>
          <cell r="P252">
            <v>60</v>
          </cell>
          <cell r="Q252">
            <v>60</v>
          </cell>
          <cell r="R252">
            <v>0</v>
          </cell>
        </row>
        <row r="253">
          <cell r="A253" t="str">
            <v>3E6XIIZZB07W6JG6Z7</v>
          </cell>
          <cell r="B253" t="str">
            <v>Q1-23</v>
          </cell>
          <cell r="C253" t="str">
            <v>Europe Operations OU</v>
          </cell>
          <cell r="D253">
            <v>2674345</v>
          </cell>
          <cell r="E253" t="str">
            <v>Amazon EU SARL, succursale Italiana</v>
          </cell>
          <cell r="F253" t="str">
            <v>3E6XIIZZ</v>
          </cell>
          <cell r="G253" t="str">
            <v>B07W6JG6Z7</v>
          </cell>
          <cell r="H253" t="str">
            <v>910-005694</v>
          </cell>
          <cell r="I253" t="str">
            <v>OE INVOICES</v>
          </cell>
          <cell r="J253">
            <v>44421947143</v>
          </cell>
          <cell r="K253">
            <v>44663</v>
          </cell>
          <cell r="L253">
            <v>37</v>
          </cell>
          <cell r="M253" t="str">
            <v>EUR</v>
          </cell>
          <cell r="N253">
            <v>301.64</v>
          </cell>
          <cell r="O253">
            <v>75.41</v>
          </cell>
          <cell r="P253">
            <v>4</v>
          </cell>
          <cell r="Q253">
            <v>4</v>
          </cell>
          <cell r="R253">
            <v>0</v>
          </cell>
        </row>
        <row r="254">
          <cell r="A254" t="str">
            <v>3E6XIIZZB07W6JKL78</v>
          </cell>
          <cell r="B254" t="str">
            <v>Q1-23</v>
          </cell>
          <cell r="C254" t="str">
            <v>Europe Operations OU</v>
          </cell>
          <cell r="D254">
            <v>2674345</v>
          </cell>
          <cell r="E254" t="str">
            <v>Amazon EU SARL, succursale Italiana</v>
          </cell>
          <cell r="F254" t="str">
            <v>3E6XIIZZ</v>
          </cell>
          <cell r="G254" t="str">
            <v>B07W6JKL78</v>
          </cell>
          <cell r="H254" t="str">
            <v>910-005650</v>
          </cell>
          <cell r="I254" t="str">
            <v>OE INVOICES</v>
          </cell>
          <cell r="J254">
            <v>44421947143</v>
          </cell>
          <cell r="K254">
            <v>44663</v>
          </cell>
          <cell r="L254">
            <v>38</v>
          </cell>
          <cell r="M254" t="str">
            <v>EUR</v>
          </cell>
          <cell r="N254">
            <v>2743.52</v>
          </cell>
          <cell r="O254">
            <v>52.76</v>
          </cell>
          <cell r="P254">
            <v>52</v>
          </cell>
          <cell r="Q254">
            <v>52</v>
          </cell>
          <cell r="R254">
            <v>0</v>
          </cell>
        </row>
        <row r="255">
          <cell r="A255" t="str">
            <v>3E6XIIZZB07W6JNF81</v>
          </cell>
          <cell r="B255" t="str">
            <v>Q1-23</v>
          </cell>
          <cell r="C255" t="str">
            <v>Europe Operations OU</v>
          </cell>
          <cell r="D255">
            <v>2674345</v>
          </cell>
          <cell r="E255" t="str">
            <v>Amazon EU SARL, succursale Italiana</v>
          </cell>
          <cell r="F255" t="str">
            <v>3E6XIIZZ</v>
          </cell>
          <cell r="G255" t="str">
            <v>B07W6JNF81</v>
          </cell>
          <cell r="H255" t="str">
            <v>920-010212</v>
          </cell>
          <cell r="I255" t="str">
            <v>OE INVOICES</v>
          </cell>
          <cell r="J255">
            <v>44421947143</v>
          </cell>
          <cell r="K255">
            <v>44663</v>
          </cell>
          <cell r="L255">
            <v>39</v>
          </cell>
          <cell r="M255" t="str">
            <v>EUR</v>
          </cell>
          <cell r="N255">
            <v>1067.3599999999999</v>
          </cell>
          <cell r="O255">
            <v>133.41999999999999</v>
          </cell>
          <cell r="P255">
            <v>8</v>
          </cell>
          <cell r="Q255">
            <v>8</v>
          </cell>
          <cell r="R255">
            <v>0</v>
          </cell>
        </row>
        <row r="256">
          <cell r="A256" t="str">
            <v>3E6XIIZZB07W7JR6BZ</v>
          </cell>
          <cell r="B256" t="str">
            <v>Q1-23</v>
          </cell>
          <cell r="C256" t="str">
            <v>Europe Operations OU</v>
          </cell>
          <cell r="D256">
            <v>2674345</v>
          </cell>
          <cell r="E256" t="str">
            <v>Amazon EU SARL, succursale Italiana</v>
          </cell>
          <cell r="F256" t="str">
            <v>3E6XIIZZ</v>
          </cell>
          <cell r="G256" t="str">
            <v>B07W7JR6BZ</v>
          </cell>
          <cell r="H256" t="str">
            <v>910-006255</v>
          </cell>
          <cell r="I256" t="str">
            <v>OE INVOICES</v>
          </cell>
          <cell r="J256">
            <v>44421947143</v>
          </cell>
          <cell r="K256">
            <v>44663</v>
          </cell>
          <cell r="L256">
            <v>40</v>
          </cell>
          <cell r="M256" t="str">
            <v>EUR</v>
          </cell>
          <cell r="N256">
            <v>263.5</v>
          </cell>
          <cell r="O256">
            <v>26.35</v>
          </cell>
          <cell r="P256">
            <v>10</v>
          </cell>
          <cell r="Q256">
            <v>10</v>
          </cell>
          <cell r="R256">
            <v>0</v>
          </cell>
        </row>
        <row r="257">
          <cell r="A257" t="str">
            <v>3E6XIIZZB07W7KCF3W</v>
          </cell>
          <cell r="B257" t="str">
            <v>Q1-23</v>
          </cell>
          <cell r="C257" t="str">
            <v>Europe Operations OU</v>
          </cell>
          <cell r="D257">
            <v>2674345</v>
          </cell>
          <cell r="E257" t="str">
            <v>Amazon EU SARL, succursale Italiana</v>
          </cell>
          <cell r="F257" t="str">
            <v>3E6XIIZZ</v>
          </cell>
          <cell r="G257" t="str">
            <v>B07W7KCF3W</v>
          </cell>
          <cell r="H257" t="str">
            <v>910-005989</v>
          </cell>
          <cell r="I257" t="str">
            <v>OE INVOICES</v>
          </cell>
          <cell r="J257">
            <v>44421947143</v>
          </cell>
          <cell r="K257">
            <v>44663</v>
          </cell>
          <cell r="L257">
            <v>41</v>
          </cell>
          <cell r="M257" t="str">
            <v>EUR</v>
          </cell>
          <cell r="N257">
            <v>580</v>
          </cell>
          <cell r="O257">
            <v>58</v>
          </cell>
          <cell r="P257">
            <v>10</v>
          </cell>
          <cell r="Q257">
            <v>10</v>
          </cell>
          <cell r="R257">
            <v>0</v>
          </cell>
        </row>
        <row r="258">
          <cell r="A258" t="str">
            <v>3E6XIIZZB07W7L62FX</v>
          </cell>
          <cell r="B258" t="str">
            <v>Q1-23</v>
          </cell>
          <cell r="C258" t="str">
            <v>Europe Operations OU</v>
          </cell>
          <cell r="D258">
            <v>2674345</v>
          </cell>
          <cell r="E258" t="str">
            <v>Amazon EU SARL, succursale Italiana</v>
          </cell>
          <cell r="F258" t="str">
            <v>3E6XIIZZ</v>
          </cell>
          <cell r="G258" t="str">
            <v>B07W7L62FX</v>
          </cell>
          <cell r="H258" t="str">
            <v>920-010220</v>
          </cell>
          <cell r="I258" t="str">
            <v>OE INVOICES</v>
          </cell>
          <cell r="J258">
            <v>44421947143</v>
          </cell>
          <cell r="K258">
            <v>44663</v>
          </cell>
          <cell r="L258">
            <v>42</v>
          </cell>
          <cell r="M258" t="str">
            <v>EUR</v>
          </cell>
          <cell r="N258">
            <v>1067.3599999999999</v>
          </cell>
          <cell r="O258">
            <v>133.41999999999999</v>
          </cell>
          <cell r="P258">
            <v>8</v>
          </cell>
          <cell r="Q258">
            <v>8</v>
          </cell>
          <cell r="R258">
            <v>0</v>
          </cell>
        </row>
        <row r="259">
          <cell r="A259" t="str">
            <v>3ED4D7ZNB0100055LI</v>
          </cell>
          <cell r="B259" t="str">
            <v>Q1-23</v>
          </cell>
          <cell r="C259" t="str">
            <v>Europe Operations OU</v>
          </cell>
          <cell r="D259">
            <v>2674345</v>
          </cell>
          <cell r="E259" t="str">
            <v>Amazon EU SARL, succursale Italiana</v>
          </cell>
          <cell r="F259" t="str">
            <v>3ED4D7ZN</v>
          </cell>
          <cell r="G259" t="str">
            <v>B0100055LI</v>
          </cell>
          <cell r="H259" t="str">
            <v>980-001054</v>
          </cell>
          <cell r="I259" t="str">
            <v>OE INVOICES</v>
          </cell>
          <cell r="J259">
            <v>44421958341</v>
          </cell>
          <cell r="K259">
            <v>44684</v>
          </cell>
          <cell r="L259">
            <v>1</v>
          </cell>
          <cell r="M259" t="str">
            <v>EUR</v>
          </cell>
          <cell r="N259">
            <v>761.3</v>
          </cell>
          <cell r="O259">
            <v>76.13</v>
          </cell>
          <cell r="P259">
            <v>10</v>
          </cell>
          <cell r="Q259">
            <v>10</v>
          </cell>
          <cell r="R259">
            <v>0</v>
          </cell>
        </row>
        <row r="260">
          <cell r="A260" t="str">
            <v>3ED4D7ZNB07W6FQ65D</v>
          </cell>
          <cell r="B260" t="str">
            <v>Q1-23</v>
          </cell>
          <cell r="C260" t="str">
            <v>Europe Operations OU</v>
          </cell>
          <cell r="D260">
            <v>2674345</v>
          </cell>
          <cell r="E260" t="str">
            <v>Amazon EU SARL, succursale Italiana</v>
          </cell>
          <cell r="F260" t="str">
            <v>3ED4D7ZN</v>
          </cell>
          <cell r="G260" t="str">
            <v>B07W6FQ65D</v>
          </cell>
          <cell r="H260" t="str">
            <v>961-000490</v>
          </cell>
          <cell r="I260" t="str">
            <v>OE INVOICES</v>
          </cell>
          <cell r="J260">
            <v>44421954912</v>
          </cell>
          <cell r="K260">
            <v>44677</v>
          </cell>
          <cell r="L260">
            <v>1</v>
          </cell>
          <cell r="M260" t="str">
            <v>EUR</v>
          </cell>
          <cell r="N260">
            <v>835.28</v>
          </cell>
          <cell r="O260">
            <v>104.41</v>
          </cell>
          <cell r="P260">
            <v>8</v>
          </cell>
          <cell r="Q260">
            <v>8</v>
          </cell>
          <cell r="R260">
            <v>0</v>
          </cell>
        </row>
        <row r="261">
          <cell r="A261" t="str">
            <v>3G5UZVPKB00AZKNPZC</v>
          </cell>
          <cell r="B261" t="str">
            <v>Q1-23</v>
          </cell>
          <cell r="C261" t="str">
            <v>Europe Operations OU</v>
          </cell>
          <cell r="D261">
            <v>2674345</v>
          </cell>
          <cell r="E261" t="str">
            <v>Amazon EU SARL, succursale Italiana</v>
          </cell>
          <cell r="F261" t="str">
            <v>3G5UZVPK</v>
          </cell>
          <cell r="G261" t="str">
            <v>B00AZKNPZC</v>
          </cell>
          <cell r="H261" t="str">
            <v>910-003357</v>
          </cell>
          <cell r="I261" t="str">
            <v>OE INVOICES</v>
          </cell>
          <cell r="J261">
            <v>44421963431</v>
          </cell>
          <cell r="K261">
            <v>44691</v>
          </cell>
          <cell r="L261">
            <v>1</v>
          </cell>
          <cell r="M261" t="str">
            <v>EUR</v>
          </cell>
          <cell r="N261">
            <v>4628.8</v>
          </cell>
          <cell r="O261">
            <v>5.26</v>
          </cell>
          <cell r="P261">
            <v>880</v>
          </cell>
          <cell r="Q261">
            <v>880</v>
          </cell>
          <cell r="R261">
            <v>0</v>
          </cell>
        </row>
        <row r="262">
          <cell r="A262" t="str">
            <v>3O2Z95HBB004LAWLPW</v>
          </cell>
          <cell r="B262" t="str">
            <v>Q1-23</v>
          </cell>
          <cell r="C262" t="str">
            <v>Europe Operations OU</v>
          </cell>
          <cell r="D262">
            <v>2674345</v>
          </cell>
          <cell r="E262" t="str">
            <v>Amazon EU SARL, succursale Italiana</v>
          </cell>
          <cell r="F262" t="str">
            <v>3O2Z95HB</v>
          </cell>
          <cell r="G262" t="str">
            <v>B004LAWLPW</v>
          </cell>
          <cell r="H262" t="str">
            <v>920-002479</v>
          </cell>
          <cell r="I262" t="str">
            <v>OE INVOICES</v>
          </cell>
          <cell r="J262">
            <v>44421976419</v>
          </cell>
          <cell r="K262">
            <v>44704</v>
          </cell>
          <cell r="L262">
            <v>1</v>
          </cell>
          <cell r="M262" t="str">
            <v>EUR</v>
          </cell>
          <cell r="N262">
            <v>82</v>
          </cell>
          <cell r="O262">
            <v>8.1999999999999993</v>
          </cell>
          <cell r="P262">
            <v>10</v>
          </cell>
          <cell r="Q262">
            <v>10</v>
          </cell>
          <cell r="R262">
            <v>0</v>
          </cell>
        </row>
        <row r="263">
          <cell r="A263" t="str">
            <v>3O2Z95HBB01MQ0N57Q</v>
          </cell>
          <cell r="B263" t="str">
            <v>Q1-23</v>
          </cell>
          <cell r="C263" t="str">
            <v>Europe Operations OU</v>
          </cell>
          <cell r="D263">
            <v>2674345</v>
          </cell>
          <cell r="E263" t="str">
            <v>Amazon EU SARL, succursale Italiana</v>
          </cell>
          <cell r="F263" t="str">
            <v>3O2Z95HB</v>
          </cell>
          <cell r="G263" t="str">
            <v>B01MQ0N57Q</v>
          </cell>
          <cell r="H263" t="str">
            <v>945-000005</v>
          </cell>
          <cell r="I263" t="str">
            <v>OE INVOICES</v>
          </cell>
          <cell r="J263">
            <v>44421976419</v>
          </cell>
          <cell r="K263">
            <v>44704</v>
          </cell>
          <cell r="L263">
            <v>2</v>
          </cell>
          <cell r="M263" t="str">
            <v>EUR</v>
          </cell>
          <cell r="N263">
            <v>1415.16</v>
          </cell>
          <cell r="O263">
            <v>78.62</v>
          </cell>
          <cell r="P263">
            <v>18</v>
          </cell>
          <cell r="Q263">
            <v>18</v>
          </cell>
          <cell r="R263">
            <v>0</v>
          </cell>
        </row>
        <row r="264">
          <cell r="A264" t="str">
            <v>3O2Z95HBB073399S1L</v>
          </cell>
          <cell r="B264" t="str">
            <v>Q1-23</v>
          </cell>
          <cell r="C264" t="str">
            <v>Europe Operations OU</v>
          </cell>
          <cell r="D264">
            <v>2674345</v>
          </cell>
          <cell r="E264" t="str">
            <v>Amazon EU SARL, succursale Italiana</v>
          </cell>
          <cell r="F264" t="str">
            <v>3O2Z95HB</v>
          </cell>
          <cell r="G264" t="str">
            <v>B073399S1L</v>
          </cell>
          <cell r="H264" t="str">
            <v>943-000110</v>
          </cell>
          <cell r="I264" t="str">
            <v>OE INVOICES</v>
          </cell>
          <cell r="J264">
            <v>44421976419</v>
          </cell>
          <cell r="K264">
            <v>44704</v>
          </cell>
          <cell r="L264">
            <v>3</v>
          </cell>
          <cell r="M264" t="str">
            <v>EUR</v>
          </cell>
          <cell r="N264">
            <v>1088.96</v>
          </cell>
          <cell r="O264">
            <v>68.06</v>
          </cell>
          <cell r="P264">
            <v>16</v>
          </cell>
          <cell r="Q264">
            <v>16</v>
          </cell>
          <cell r="R264">
            <v>0</v>
          </cell>
        </row>
        <row r="265">
          <cell r="A265" t="str">
            <v>3O2Z95HBB07JGCM9QM</v>
          </cell>
          <cell r="B265" t="str">
            <v>Q1-23</v>
          </cell>
          <cell r="C265" t="str">
            <v>Europe Operations OU</v>
          </cell>
          <cell r="D265">
            <v>2674345</v>
          </cell>
          <cell r="E265" t="str">
            <v>Amazon EU SARL, succursale Italiana</v>
          </cell>
          <cell r="F265" t="str">
            <v>3O2Z95HB</v>
          </cell>
          <cell r="G265" t="str">
            <v>B07JGCM9QM</v>
          </cell>
          <cell r="H265" t="str">
            <v>945-000062</v>
          </cell>
          <cell r="I265" t="str">
            <v>OE INVOICES</v>
          </cell>
          <cell r="J265">
            <v>44421976419</v>
          </cell>
          <cell r="K265">
            <v>44704</v>
          </cell>
          <cell r="L265">
            <v>4</v>
          </cell>
          <cell r="M265" t="str">
            <v>EUR</v>
          </cell>
          <cell r="N265">
            <v>1177.68</v>
          </cell>
          <cell r="O265">
            <v>147.21</v>
          </cell>
          <cell r="P265">
            <v>8</v>
          </cell>
          <cell r="Q265">
            <v>8</v>
          </cell>
          <cell r="R265">
            <v>0</v>
          </cell>
        </row>
        <row r="266">
          <cell r="A266" t="str">
            <v>3O2Z95HBB07VWFKTK7</v>
          </cell>
          <cell r="B266" t="str">
            <v>Q1-23</v>
          </cell>
          <cell r="C266" t="str">
            <v>Europe Operations OU</v>
          </cell>
          <cell r="D266">
            <v>2674345</v>
          </cell>
          <cell r="E266" t="str">
            <v>Amazon EU SARL, succursale Italiana</v>
          </cell>
          <cell r="F266" t="str">
            <v>3O2Z95HB</v>
          </cell>
          <cell r="G266" t="str">
            <v>B07VWFKTK7</v>
          </cell>
          <cell r="H266" t="str">
            <v>920-008992</v>
          </cell>
          <cell r="I266" t="str">
            <v>OE INVOICES</v>
          </cell>
          <cell r="J266">
            <v>44421976419</v>
          </cell>
          <cell r="K266">
            <v>44704</v>
          </cell>
          <cell r="L266">
            <v>5</v>
          </cell>
          <cell r="M266" t="str">
            <v>EUR</v>
          </cell>
          <cell r="N266">
            <v>420</v>
          </cell>
          <cell r="O266">
            <v>105</v>
          </cell>
          <cell r="P266">
            <v>4</v>
          </cell>
          <cell r="Q266">
            <v>4</v>
          </cell>
          <cell r="R266">
            <v>0</v>
          </cell>
        </row>
        <row r="267">
          <cell r="A267" t="str">
            <v>3QU2KQFPB06W547XN2</v>
          </cell>
          <cell r="B267" t="str">
            <v>Q1-23</v>
          </cell>
          <cell r="C267" t="str">
            <v>Europe Operations OU</v>
          </cell>
          <cell r="D267">
            <v>2674345</v>
          </cell>
          <cell r="E267" t="str">
            <v>Amazon EU SARL, succursale Italiana</v>
          </cell>
          <cell r="F267" t="str">
            <v>3QU2KQFP</v>
          </cell>
          <cell r="G267" t="str">
            <v>B06W547XN2</v>
          </cell>
          <cell r="H267" t="str">
            <v>920-008318</v>
          </cell>
          <cell r="I267" t="str">
            <v>OE INVOICES</v>
          </cell>
          <cell r="J267">
            <v>44421961035</v>
          </cell>
          <cell r="K267">
            <v>44687</v>
          </cell>
          <cell r="L267">
            <v>1</v>
          </cell>
          <cell r="M267" t="str">
            <v>EUR</v>
          </cell>
          <cell r="N267">
            <v>140.47999999999999</v>
          </cell>
          <cell r="O267">
            <v>17.559999999999999</v>
          </cell>
          <cell r="P267">
            <v>8</v>
          </cell>
          <cell r="Q267">
            <v>8</v>
          </cell>
          <cell r="R267">
            <v>0</v>
          </cell>
        </row>
        <row r="268">
          <cell r="A268" t="str">
            <v>3S7Y1OIVB002VA464S</v>
          </cell>
          <cell r="B268" t="str">
            <v>Q1-23</v>
          </cell>
          <cell r="C268" t="str">
            <v>Europe Operations OU</v>
          </cell>
          <cell r="D268">
            <v>2674345</v>
          </cell>
          <cell r="E268" t="str">
            <v>Amazon EU SARL, succursale Italiana</v>
          </cell>
          <cell r="F268" t="str">
            <v>3S7Y1OIV</v>
          </cell>
          <cell r="G268" t="str">
            <v>B002VA464S</v>
          </cell>
          <cell r="H268" t="str">
            <v>988-000238</v>
          </cell>
          <cell r="I268" t="str">
            <v>OE INVOICES</v>
          </cell>
          <cell r="J268">
            <v>44421973660</v>
          </cell>
          <cell r="K268">
            <v>44699</v>
          </cell>
          <cell r="L268">
            <v>1</v>
          </cell>
          <cell r="M268" t="str">
            <v>EUR</v>
          </cell>
          <cell r="N268">
            <v>1549.28</v>
          </cell>
          <cell r="O268">
            <v>96.83</v>
          </cell>
          <cell r="P268">
            <v>16</v>
          </cell>
          <cell r="Q268">
            <v>16</v>
          </cell>
          <cell r="R268">
            <v>0</v>
          </cell>
        </row>
        <row r="269">
          <cell r="A269" t="str">
            <v>3S7Y1OIVB00544XFHC</v>
          </cell>
          <cell r="B269" t="str">
            <v>Q1-23</v>
          </cell>
          <cell r="C269" t="str">
            <v>Europe Operations OU</v>
          </cell>
          <cell r="D269">
            <v>2674345</v>
          </cell>
          <cell r="E269" t="str">
            <v>Amazon EU SARL, succursale Italiana</v>
          </cell>
          <cell r="F269" t="str">
            <v>3S7Y1OIV</v>
          </cell>
          <cell r="G269" t="str">
            <v>B00544XFHC</v>
          </cell>
          <cell r="H269" t="str">
            <v>910-002240</v>
          </cell>
          <cell r="I269" t="str">
            <v>OE INVOICES</v>
          </cell>
          <cell r="J269">
            <v>44421973358</v>
          </cell>
          <cell r="K269">
            <v>44699</v>
          </cell>
          <cell r="L269">
            <v>1</v>
          </cell>
          <cell r="M269" t="str">
            <v>EUR</v>
          </cell>
          <cell r="N269">
            <v>298.5</v>
          </cell>
          <cell r="O269">
            <v>9.9499999999999993</v>
          </cell>
          <cell r="P269">
            <v>30</v>
          </cell>
          <cell r="Q269">
            <v>30</v>
          </cell>
          <cell r="R269">
            <v>0</v>
          </cell>
        </row>
        <row r="270">
          <cell r="A270" t="str">
            <v>3S7Y1OIVB00544XKK4</v>
          </cell>
          <cell r="B270" t="str">
            <v>Q1-23</v>
          </cell>
          <cell r="C270" t="str">
            <v>Europe Operations OU</v>
          </cell>
          <cell r="D270">
            <v>2674345</v>
          </cell>
          <cell r="E270" t="str">
            <v>Amazon EU SARL, succursale Italiana</v>
          </cell>
          <cell r="F270" t="str">
            <v>3S7Y1OIV</v>
          </cell>
          <cell r="G270" t="str">
            <v>B00544XKK4</v>
          </cell>
          <cell r="H270" t="str">
            <v>980-000513</v>
          </cell>
          <cell r="I270" t="str">
            <v>OE INVOICES</v>
          </cell>
          <cell r="J270">
            <v>44421973660</v>
          </cell>
          <cell r="K270">
            <v>44699</v>
          </cell>
          <cell r="L270">
            <v>2</v>
          </cell>
          <cell r="M270" t="str">
            <v>EUR</v>
          </cell>
          <cell r="N270">
            <v>281.04000000000002</v>
          </cell>
          <cell r="O270">
            <v>11.71</v>
          </cell>
          <cell r="P270">
            <v>24</v>
          </cell>
          <cell r="Q270">
            <v>24</v>
          </cell>
          <cell r="R270">
            <v>0</v>
          </cell>
        </row>
        <row r="271">
          <cell r="A271" t="str">
            <v>3S7Y1OIVB005BFCNYU</v>
          </cell>
          <cell r="B271" t="str">
            <v>Q1-23</v>
          </cell>
          <cell r="C271" t="str">
            <v>Europe Operations OU</v>
          </cell>
          <cell r="D271">
            <v>2674345</v>
          </cell>
          <cell r="E271" t="str">
            <v>Amazon EU SARL, succursale Italiana</v>
          </cell>
          <cell r="F271" t="str">
            <v>3S7Y1OIV</v>
          </cell>
          <cell r="G271" t="str">
            <v>B005BFCNYU</v>
          </cell>
          <cell r="H271" t="str">
            <v>981-000406</v>
          </cell>
          <cell r="I271" t="str">
            <v>OE INVOICES</v>
          </cell>
          <cell r="J271">
            <v>44421973660</v>
          </cell>
          <cell r="K271">
            <v>44699</v>
          </cell>
          <cell r="L271">
            <v>3</v>
          </cell>
          <cell r="M271" t="str">
            <v>EUR</v>
          </cell>
          <cell r="N271">
            <v>2108</v>
          </cell>
          <cell r="O271">
            <v>26.35</v>
          </cell>
          <cell r="P271">
            <v>80</v>
          </cell>
          <cell r="Q271">
            <v>80</v>
          </cell>
          <cell r="R271">
            <v>0</v>
          </cell>
        </row>
        <row r="272">
          <cell r="A272" t="str">
            <v>3S7Y1OIVB00C3VSZEW</v>
          </cell>
          <cell r="B272" t="str">
            <v>Q1-23</v>
          </cell>
          <cell r="C272" t="str">
            <v>Europe Operations OU</v>
          </cell>
          <cell r="D272">
            <v>2674345</v>
          </cell>
          <cell r="E272" t="str">
            <v>Amazon EU SARL, succursale Italiana</v>
          </cell>
          <cell r="F272" t="str">
            <v>3S7Y1OIV</v>
          </cell>
          <cell r="G272" t="str">
            <v>B00C3VSZEW</v>
          </cell>
          <cell r="H272" t="str">
            <v>981-000519</v>
          </cell>
          <cell r="I272" t="str">
            <v>OE INVOICES</v>
          </cell>
          <cell r="J272">
            <v>44421973660</v>
          </cell>
          <cell r="K272">
            <v>44699</v>
          </cell>
          <cell r="L272">
            <v>4</v>
          </cell>
          <cell r="M272" t="str">
            <v>EUR</v>
          </cell>
          <cell r="N272">
            <v>4199.3999999999996</v>
          </cell>
          <cell r="O272">
            <v>46.66</v>
          </cell>
          <cell r="P272">
            <v>90</v>
          </cell>
          <cell r="Q272">
            <v>90</v>
          </cell>
          <cell r="R272">
            <v>0</v>
          </cell>
        </row>
        <row r="273">
          <cell r="A273" t="str">
            <v>3S7Y1OIVB00CJ5FPTA</v>
          </cell>
          <cell r="B273" t="str">
            <v>Q1-23</v>
          </cell>
          <cell r="C273" t="str">
            <v>Europe Operations OU</v>
          </cell>
          <cell r="D273">
            <v>2674345</v>
          </cell>
          <cell r="E273" t="str">
            <v>Amazon EU SARL, succursale Italiana</v>
          </cell>
          <cell r="F273" t="str">
            <v>3S7Y1OIV</v>
          </cell>
          <cell r="G273" t="str">
            <v>B00CJ5FPTA</v>
          </cell>
          <cell r="H273" t="str">
            <v>942-000031</v>
          </cell>
          <cell r="I273" t="str">
            <v>OE INVOICES</v>
          </cell>
          <cell r="J273">
            <v>44421973660</v>
          </cell>
          <cell r="K273">
            <v>44699</v>
          </cell>
          <cell r="L273">
            <v>5</v>
          </cell>
          <cell r="M273" t="str">
            <v>EUR</v>
          </cell>
          <cell r="N273">
            <v>633</v>
          </cell>
          <cell r="O273">
            <v>31.65</v>
          </cell>
          <cell r="P273">
            <v>20</v>
          </cell>
          <cell r="Q273">
            <v>20</v>
          </cell>
          <cell r="R273">
            <v>0</v>
          </cell>
        </row>
        <row r="274">
          <cell r="A274" t="str">
            <v>3S7Y1OIVB00N1YPXW2</v>
          </cell>
          <cell r="B274" t="str">
            <v>Q1-23</v>
          </cell>
          <cell r="C274" t="str">
            <v>Europe Operations OU</v>
          </cell>
          <cell r="D274">
            <v>2674345</v>
          </cell>
          <cell r="E274" t="str">
            <v>Amazon EU SARL, succursale Italiana</v>
          </cell>
          <cell r="F274" t="str">
            <v>3S7Y1OIV</v>
          </cell>
          <cell r="G274" t="str">
            <v>B00N1YPXW2</v>
          </cell>
          <cell r="H274" t="str">
            <v>988-000229</v>
          </cell>
          <cell r="I274" t="str">
            <v>OE INVOICES</v>
          </cell>
          <cell r="J274">
            <v>44421973660</v>
          </cell>
          <cell r="K274">
            <v>44699</v>
          </cell>
          <cell r="L274">
            <v>6</v>
          </cell>
          <cell r="M274" t="str">
            <v>EUR</v>
          </cell>
          <cell r="N274">
            <v>2323.92</v>
          </cell>
          <cell r="O274">
            <v>96.83</v>
          </cell>
          <cell r="P274">
            <v>24</v>
          </cell>
          <cell r="Q274">
            <v>24</v>
          </cell>
          <cell r="R274">
            <v>0</v>
          </cell>
        </row>
        <row r="275">
          <cell r="A275" t="str">
            <v>3S7Y1OIVB00ZOOKDU4</v>
          </cell>
          <cell r="B275" t="str">
            <v>Q1-23</v>
          </cell>
          <cell r="C275" t="str">
            <v>Europe Operations OU</v>
          </cell>
          <cell r="D275">
            <v>2674345</v>
          </cell>
          <cell r="E275" t="str">
            <v>Amazon EU SARL, succursale Italiana</v>
          </cell>
          <cell r="F275" t="str">
            <v>3S7Y1OIV</v>
          </cell>
          <cell r="G275" t="str">
            <v>B00ZOOKDU4</v>
          </cell>
          <cell r="H275" t="str">
            <v>981-000589</v>
          </cell>
          <cell r="I275" t="str">
            <v>OE INVOICES</v>
          </cell>
          <cell r="J275">
            <v>44421973660</v>
          </cell>
          <cell r="K275">
            <v>44699</v>
          </cell>
          <cell r="L275">
            <v>7</v>
          </cell>
          <cell r="M275" t="str">
            <v>EUR</v>
          </cell>
          <cell r="N275">
            <v>351.36</v>
          </cell>
          <cell r="O275">
            <v>14.64</v>
          </cell>
          <cell r="P275">
            <v>24</v>
          </cell>
          <cell r="Q275">
            <v>24</v>
          </cell>
          <cell r="R275">
            <v>0</v>
          </cell>
        </row>
        <row r="276">
          <cell r="A276" t="str">
            <v>3S7Y1OIVB00ZWOUH4S</v>
          </cell>
          <cell r="B276" t="str">
            <v>Q1-23</v>
          </cell>
          <cell r="C276" t="str">
            <v>Europe Operations OU</v>
          </cell>
          <cell r="D276">
            <v>2674345</v>
          </cell>
          <cell r="E276" t="str">
            <v>Amazon EU SARL, succursale Italiana</v>
          </cell>
          <cell r="F276" t="str">
            <v>3S7Y1OIV</v>
          </cell>
          <cell r="G276" t="str">
            <v>B00ZWOUH4S</v>
          </cell>
          <cell r="H276" t="str">
            <v>941-000130</v>
          </cell>
          <cell r="I276" t="str">
            <v>OE INVOICES</v>
          </cell>
          <cell r="J276">
            <v>44421973660</v>
          </cell>
          <cell r="K276">
            <v>44699</v>
          </cell>
          <cell r="L276">
            <v>8</v>
          </cell>
          <cell r="M276" t="str">
            <v>EUR</v>
          </cell>
          <cell r="N276">
            <v>7754.25</v>
          </cell>
          <cell r="O276">
            <v>31.65</v>
          </cell>
          <cell r="P276">
            <v>245</v>
          </cell>
          <cell r="Q276">
            <v>245</v>
          </cell>
          <cell r="R276">
            <v>0</v>
          </cell>
        </row>
        <row r="277">
          <cell r="A277" t="str">
            <v>3S7Y1OIVB079Z3DSBK</v>
          </cell>
          <cell r="B277" t="str">
            <v>Q1-23</v>
          </cell>
          <cell r="C277" t="str">
            <v>Europe Operations OU</v>
          </cell>
          <cell r="D277">
            <v>2674345</v>
          </cell>
          <cell r="E277" t="str">
            <v>Amazon EU SARL, succursale Italiana</v>
          </cell>
          <cell r="F277" t="str">
            <v>3S7Y1OIV</v>
          </cell>
          <cell r="G277" t="str">
            <v>B079Z3DSBK</v>
          </cell>
          <cell r="H277" t="str">
            <v>945-000059</v>
          </cell>
          <cell r="I277" t="str">
            <v>OE INVOICES</v>
          </cell>
          <cell r="J277">
            <v>44421973660</v>
          </cell>
          <cell r="K277">
            <v>44699</v>
          </cell>
          <cell r="L277">
            <v>9</v>
          </cell>
          <cell r="M277" t="str">
            <v>EUR</v>
          </cell>
          <cell r="N277">
            <v>2696.67</v>
          </cell>
          <cell r="O277">
            <v>141.93</v>
          </cell>
          <cell r="P277">
            <v>19</v>
          </cell>
          <cell r="Q277">
            <v>19</v>
          </cell>
          <cell r="R277">
            <v>0</v>
          </cell>
        </row>
        <row r="278">
          <cell r="A278" t="str">
            <v>3S7Y1OIVB07FNHV4MW</v>
          </cell>
          <cell r="B278" t="str">
            <v>Q1-23</v>
          </cell>
          <cell r="C278" t="str">
            <v>Europe Operations OU</v>
          </cell>
          <cell r="D278">
            <v>2674345</v>
          </cell>
          <cell r="E278" t="str">
            <v>Amazon EU SARL, succursale Italiana</v>
          </cell>
          <cell r="F278" t="str">
            <v>3S7Y1OIV</v>
          </cell>
          <cell r="G278" t="str">
            <v>B07FNHV4MW</v>
          </cell>
          <cell r="H278" t="str">
            <v>910-005448</v>
          </cell>
          <cell r="I278" t="str">
            <v>OE INVOICES</v>
          </cell>
          <cell r="J278">
            <v>44421973660</v>
          </cell>
          <cell r="K278">
            <v>44699</v>
          </cell>
          <cell r="L278">
            <v>10</v>
          </cell>
          <cell r="M278" t="str">
            <v>EUR</v>
          </cell>
          <cell r="N278">
            <v>2227.52</v>
          </cell>
          <cell r="O278">
            <v>69.61</v>
          </cell>
          <cell r="P278">
            <v>32</v>
          </cell>
          <cell r="Q278">
            <v>32</v>
          </cell>
          <cell r="R278">
            <v>0</v>
          </cell>
        </row>
        <row r="279">
          <cell r="A279" t="str">
            <v>3S7Y1OIVB07GS6ZB7T</v>
          </cell>
          <cell r="B279" t="str">
            <v>Q1-23</v>
          </cell>
          <cell r="C279" t="str">
            <v>Europe Operations OU</v>
          </cell>
          <cell r="D279">
            <v>2674345</v>
          </cell>
          <cell r="E279" t="str">
            <v>Amazon EU SARL, succursale Italiana</v>
          </cell>
          <cell r="F279" t="str">
            <v>3S7Y1OIV</v>
          </cell>
          <cell r="G279" t="str">
            <v>B07GS6ZB7T</v>
          </cell>
          <cell r="H279" t="str">
            <v>910-005471</v>
          </cell>
          <cell r="I279" t="str">
            <v>OE INVOICES</v>
          </cell>
          <cell r="J279">
            <v>44421973660</v>
          </cell>
          <cell r="K279">
            <v>44699</v>
          </cell>
          <cell r="L279">
            <v>11</v>
          </cell>
          <cell r="M279" t="str">
            <v>EUR</v>
          </cell>
          <cell r="N279">
            <v>759.68</v>
          </cell>
          <cell r="O279">
            <v>47.48</v>
          </cell>
          <cell r="P279">
            <v>16</v>
          </cell>
          <cell r="Q279">
            <v>16</v>
          </cell>
          <cell r="R279">
            <v>0</v>
          </cell>
        </row>
        <row r="280">
          <cell r="A280" t="str">
            <v>3S7Y1OIVB07J9Q68CK</v>
          </cell>
          <cell r="B280" t="str">
            <v>Q1-23</v>
          </cell>
          <cell r="C280" t="str">
            <v>Europe Operations OU</v>
          </cell>
          <cell r="D280">
            <v>2674345</v>
          </cell>
          <cell r="E280" t="str">
            <v>Amazon EU SARL, succursale Italiana</v>
          </cell>
          <cell r="F280" t="str">
            <v>3S7Y1OIV</v>
          </cell>
          <cell r="G280" t="str">
            <v>B07J9Q68CK</v>
          </cell>
          <cell r="H280" t="str">
            <v>943-000125</v>
          </cell>
          <cell r="I280" t="str">
            <v>OE INVOICES</v>
          </cell>
          <cell r="J280">
            <v>44421973660</v>
          </cell>
          <cell r="K280">
            <v>44699</v>
          </cell>
          <cell r="L280">
            <v>12</v>
          </cell>
          <cell r="M280" t="str">
            <v>EUR</v>
          </cell>
          <cell r="N280">
            <v>165.92</v>
          </cell>
          <cell r="O280">
            <v>20.74</v>
          </cell>
          <cell r="P280">
            <v>8</v>
          </cell>
          <cell r="Q280">
            <v>8</v>
          </cell>
          <cell r="R280">
            <v>0</v>
          </cell>
        </row>
        <row r="281">
          <cell r="A281" t="str">
            <v>3S7Y1OIVB07MTXLFXV</v>
          </cell>
          <cell r="B281" t="str">
            <v>Q1-23</v>
          </cell>
          <cell r="C281" t="str">
            <v>Europe Operations OU</v>
          </cell>
          <cell r="D281">
            <v>2674345</v>
          </cell>
          <cell r="E281" t="str">
            <v>Amazon EU SARL, succursale Italiana</v>
          </cell>
          <cell r="F281" t="str">
            <v>3S7Y1OIV</v>
          </cell>
          <cell r="G281" t="str">
            <v>B07MTXLFXV</v>
          </cell>
          <cell r="H281" t="str">
            <v>981-000770</v>
          </cell>
          <cell r="I281" t="str">
            <v>OE INVOICES</v>
          </cell>
          <cell r="J281">
            <v>44421973358</v>
          </cell>
          <cell r="K281">
            <v>44699</v>
          </cell>
          <cell r="L281">
            <v>2</v>
          </cell>
          <cell r="M281" t="str">
            <v>EUR</v>
          </cell>
          <cell r="N281">
            <v>3207.2</v>
          </cell>
          <cell r="O281">
            <v>42.2</v>
          </cell>
          <cell r="P281">
            <v>76</v>
          </cell>
          <cell r="Q281">
            <v>76</v>
          </cell>
          <cell r="R281">
            <v>0</v>
          </cell>
        </row>
        <row r="282">
          <cell r="A282" t="str">
            <v>3S7Y1OIVB07W6JG6Z7</v>
          </cell>
          <cell r="B282" t="str">
            <v>Q1-23</v>
          </cell>
          <cell r="C282" t="str">
            <v>Europe Operations OU</v>
          </cell>
          <cell r="D282">
            <v>2674345</v>
          </cell>
          <cell r="E282" t="str">
            <v>Amazon EU SARL, succursale Italiana</v>
          </cell>
          <cell r="F282" t="str">
            <v>3S7Y1OIV</v>
          </cell>
          <cell r="G282" t="str">
            <v>B07W6JG6Z7</v>
          </cell>
          <cell r="H282" t="str">
            <v>910-005694</v>
          </cell>
          <cell r="I282" t="str">
            <v>OE INVOICES</v>
          </cell>
          <cell r="J282">
            <v>44421973660</v>
          </cell>
          <cell r="K282">
            <v>44699</v>
          </cell>
          <cell r="L282">
            <v>13</v>
          </cell>
          <cell r="M282" t="str">
            <v>EUR</v>
          </cell>
          <cell r="N282">
            <v>3619.68</v>
          </cell>
          <cell r="O282">
            <v>75.41</v>
          </cell>
          <cell r="P282">
            <v>48</v>
          </cell>
          <cell r="Q282">
            <v>48</v>
          </cell>
          <cell r="R282">
            <v>0</v>
          </cell>
        </row>
        <row r="283">
          <cell r="A283" t="str">
            <v>3S7Y1OIVB07W7M4MZP</v>
          </cell>
          <cell r="B283" t="str">
            <v>Q1-23</v>
          </cell>
          <cell r="C283" t="str">
            <v>Europe Operations OU</v>
          </cell>
          <cell r="D283">
            <v>2674345</v>
          </cell>
          <cell r="E283" t="str">
            <v>Amazon EU SARL, succursale Italiana</v>
          </cell>
          <cell r="F283" t="str">
            <v>3S7Y1OIV</v>
          </cell>
          <cell r="G283" t="str">
            <v>B07W7M4MZP</v>
          </cell>
          <cell r="H283" t="str">
            <v>920-010301</v>
          </cell>
          <cell r="I283" t="str">
            <v>OE INVOICES</v>
          </cell>
          <cell r="J283">
            <v>44421973660</v>
          </cell>
          <cell r="K283">
            <v>44699</v>
          </cell>
          <cell r="L283">
            <v>14</v>
          </cell>
          <cell r="M283" t="str">
            <v>EUR</v>
          </cell>
          <cell r="N283">
            <v>928.16</v>
          </cell>
          <cell r="O283">
            <v>116.02</v>
          </cell>
          <cell r="P283">
            <v>8</v>
          </cell>
          <cell r="Q283">
            <v>8</v>
          </cell>
          <cell r="R283">
            <v>0</v>
          </cell>
        </row>
        <row r="284">
          <cell r="A284" t="str">
            <v>3UTU3G8KB003PAMIA2</v>
          </cell>
          <cell r="B284" t="str">
            <v>Q1-23</v>
          </cell>
          <cell r="C284" t="str">
            <v>Europe Operations OU</v>
          </cell>
          <cell r="D284">
            <v>2674345</v>
          </cell>
          <cell r="E284" t="str">
            <v>Amazon EU SARL, succursale Italiana</v>
          </cell>
          <cell r="F284" t="str">
            <v>3UTU3G8K</v>
          </cell>
          <cell r="G284" t="str">
            <v>B003PAMIA2</v>
          </cell>
          <cell r="H284" t="str">
            <v>920-002489</v>
          </cell>
          <cell r="I284" t="str">
            <v>OE INVOICES</v>
          </cell>
          <cell r="J284">
            <v>44421963422</v>
          </cell>
          <cell r="K284">
            <v>44691</v>
          </cell>
          <cell r="L284">
            <v>1</v>
          </cell>
          <cell r="M284" t="str">
            <v>EUR</v>
          </cell>
          <cell r="N284">
            <v>99.5</v>
          </cell>
          <cell r="O284">
            <v>9.9499999999999993</v>
          </cell>
          <cell r="P284">
            <v>10</v>
          </cell>
          <cell r="Q284">
            <v>10</v>
          </cell>
          <cell r="R284">
            <v>0</v>
          </cell>
        </row>
        <row r="285">
          <cell r="A285" t="str">
            <v>3UTU3G8KB003V4A5VG</v>
          </cell>
          <cell r="B285" t="str">
            <v>Q1-23</v>
          </cell>
          <cell r="C285" t="str">
            <v>Europe Operations OU</v>
          </cell>
          <cell r="D285">
            <v>2674345</v>
          </cell>
          <cell r="E285" t="str">
            <v>Amazon EU SARL, succursale Italiana</v>
          </cell>
          <cell r="F285" t="str">
            <v>3UTU3G8K</v>
          </cell>
          <cell r="G285" t="str">
            <v>B003V4A5VG</v>
          </cell>
          <cell r="H285" t="str">
            <v>920-002488</v>
          </cell>
          <cell r="I285" t="str">
            <v>OE INVOICES</v>
          </cell>
          <cell r="J285">
            <v>44421963422</v>
          </cell>
          <cell r="K285">
            <v>44691</v>
          </cell>
          <cell r="L285">
            <v>2</v>
          </cell>
          <cell r="M285" t="str">
            <v>EUR</v>
          </cell>
          <cell r="N285">
            <v>99.5</v>
          </cell>
          <cell r="O285">
            <v>9.9499999999999993</v>
          </cell>
          <cell r="P285">
            <v>10</v>
          </cell>
          <cell r="Q285">
            <v>10</v>
          </cell>
          <cell r="R285">
            <v>0</v>
          </cell>
        </row>
        <row r="286">
          <cell r="A286" t="str">
            <v>3WIANGOBB004LAWLPW</v>
          </cell>
          <cell r="B286" t="str">
            <v>Q1-23</v>
          </cell>
          <cell r="C286" t="str">
            <v>Europe Operations OU</v>
          </cell>
          <cell r="D286">
            <v>2674345</v>
          </cell>
          <cell r="E286" t="str">
            <v>Amazon EU SARL, succursale Italiana</v>
          </cell>
          <cell r="F286" t="str">
            <v>3WIANGOB</v>
          </cell>
          <cell r="G286" t="str">
            <v>B004LAWLPW</v>
          </cell>
          <cell r="H286" t="str">
            <v>920-002479</v>
          </cell>
          <cell r="I286" t="str">
            <v>OE INVOICES</v>
          </cell>
          <cell r="J286">
            <v>44421961186</v>
          </cell>
          <cell r="K286">
            <v>44687</v>
          </cell>
          <cell r="L286">
            <v>1</v>
          </cell>
          <cell r="M286" t="str">
            <v>EUR</v>
          </cell>
          <cell r="N286">
            <v>82</v>
          </cell>
          <cell r="O286">
            <v>8.1999999999999993</v>
          </cell>
          <cell r="P286">
            <v>10</v>
          </cell>
          <cell r="Q286">
            <v>10</v>
          </cell>
          <cell r="R286">
            <v>0</v>
          </cell>
        </row>
        <row r="287">
          <cell r="A287" t="str">
            <v>3WIANGOBB01MCXJWD1</v>
          </cell>
          <cell r="B287" t="str">
            <v>Q1-23</v>
          </cell>
          <cell r="C287" t="str">
            <v>Europe Operations OU</v>
          </cell>
          <cell r="D287">
            <v>2674345</v>
          </cell>
          <cell r="E287" t="str">
            <v>Amazon EU SARL, succursale Italiana</v>
          </cell>
          <cell r="F287" t="str">
            <v>3WIANGOB</v>
          </cell>
          <cell r="G287" t="str">
            <v>B01MCXJWD1</v>
          </cell>
          <cell r="H287" t="str">
            <v>945-000004</v>
          </cell>
          <cell r="I287" t="str">
            <v>OE INVOICES</v>
          </cell>
          <cell r="J287">
            <v>44421961186</v>
          </cell>
          <cell r="K287">
            <v>44687</v>
          </cell>
          <cell r="L287">
            <v>2</v>
          </cell>
          <cell r="M287" t="str">
            <v>EUR</v>
          </cell>
          <cell r="N287">
            <v>503.34</v>
          </cell>
          <cell r="O287">
            <v>83.89</v>
          </cell>
          <cell r="P287">
            <v>6</v>
          </cell>
          <cell r="Q287">
            <v>6</v>
          </cell>
          <cell r="R287">
            <v>0</v>
          </cell>
        </row>
        <row r="288">
          <cell r="A288" t="str">
            <v>3WIANGOBB073399S1L</v>
          </cell>
          <cell r="B288" t="str">
            <v>Q1-23</v>
          </cell>
          <cell r="C288" t="str">
            <v>Europe Operations OU</v>
          </cell>
          <cell r="D288">
            <v>2674345</v>
          </cell>
          <cell r="E288" t="str">
            <v>Amazon EU SARL, succursale Italiana</v>
          </cell>
          <cell r="F288" t="str">
            <v>3WIANGOB</v>
          </cell>
          <cell r="G288" t="str">
            <v>B073399S1L</v>
          </cell>
          <cell r="H288" t="str">
            <v>943-000110</v>
          </cell>
          <cell r="I288" t="str">
            <v>OE INVOICES</v>
          </cell>
          <cell r="J288">
            <v>44421961186</v>
          </cell>
          <cell r="K288">
            <v>44687</v>
          </cell>
          <cell r="L288">
            <v>3</v>
          </cell>
          <cell r="M288" t="str">
            <v>EUR</v>
          </cell>
          <cell r="N288">
            <v>544.48</v>
          </cell>
          <cell r="O288">
            <v>68.06</v>
          </cell>
          <cell r="P288">
            <v>8</v>
          </cell>
          <cell r="Q288">
            <v>8</v>
          </cell>
          <cell r="R288">
            <v>0</v>
          </cell>
        </row>
        <row r="289">
          <cell r="A289" t="str">
            <v>3WIANGOBB076K126YZ</v>
          </cell>
          <cell r="B289" t="str">
            <v>Q1-23</v>
          </cell>
          <cell r="C289" t="str">
            <v>Europe Operations OU</v>
          </cell>
          <cell r="D289">
            <v>2674345</v>
          </cell>
          <cell r="E289" t="str">
            <v>Amazon EU SARL, succursale Italiana</v>
          </cell>
          <cell r="F289" t="str">
            <v>3WIANGOB</v>
          </cell>
          <cell r="G289" t="str">
            <v>B076K126YZ</v>
          </cell>
          <cell r="H289" t="str">
            <v>955-000008</v>
          </cell>
          <cell r="I289" t="str">
            <v>OE INVOICES</v>
          </cell>
          <cell r="J289">
            <v>44421961186</v>
          </cell>
          <cell r="K289">
            <v>44687</v>
          </cell>
          <cell r="L289">
            <v>4</v>
          </cell>
          <cell r="M289" t="str">
            <v>EUR</v>
          </cell>
          <cell r="N289">
            <v>127.66</v>
          </cell>
          <cell r="O289">
            <v>63.83</v>
          </cell>
          <cell r="P289">
            <v>2</v>
          </cell>
          <cell r="Q289">
            <v>2</v>
          </cell>
          <cell r="R289">
            <v>0</v>
          </cell>
        </row>
        <row r="290">
          <cell r="A290" t="str">
            <v>3WIANGOBB078MLBGRM</v>
          </cell>
          <cell r="B290" t="str">
            <v>Q1-23</v>
          </cell>
          <cell r="C290" t="str">
            <v>Europe Operations OU</v>
          </cell>
          <cell r="D290">
            <v>2674345</v>
          </cell>
          <cell r="E290" t="str">
            <v>Amazon EU SARL, succursale Italiana</v>
          </cell>
          <cell r="F290" t="str">
            <v>3WIANGOB</v>
          </cell>
          <cell r="G290" t="str">
            <v>B078MLBGRM</v>
          </cell>
          <cell r="H290" t="str">
            <v>989-000899</v>
          </cell>
          <cell r="I290" t="str">
            <v>OE INVOICES</v>
          </cell>
          <cell r="J290">
            <v>44421961186</v>
          </cell>
          <cell r="K290">
            <v>44687</v>
          </cell>
          <cell r="L290">
            <v>5</v>
          </cell>
          <cell r="M290" t="str">
            <v>EUR</v>
          </cell>
          <cell r="N290">
            <v>1438.72</v>
          </cell>
          <cell r="O290">
            <v>89.92</v>
          </cell>
          <cell r="P290">
            <v>16</v>
          </cell>
          <cell r="Q290">
            <v>16</v>
          </cell>
          <cell r="R290">
            <v>0</v>
          </cell>
        </row>
        <row r="291">
          <cell r="A291" t="str">
            <v>3WIANGOBB07JGCM9QM</v>
          </cell>
          <cell r="B291" t="str">
            <v>Q1-23</v>
          </cell>
          <cell r="C291" t="str">
            <v>Europe Operations OU</v>
          </cell>
          <cell r="D291">
            <v>2674345</v>
          </cell>
          <cell r="E291" t="str">
            <v>Amazon EU SARL, succursale Italiana</v>
          </cell>
          <cell r="F291" t="str">
            <v>3WIANGOB</v>
          </cell>
          <cell r="G291" t="str">
            <v>B07JGCM9QM</v>
          </cell>
          <cell r="H291" t="str">
            <v>945-000062</v>
          </cell>
          <cell r="I291" t="str">
            <v>OE INVOICES</v>
          </cell>
          <cell r="J291">
            <v>44421961186</v>
          </cell>
          <cell r="K291">
            <v>44687</v>
          </cell>
          <cell r="L291">
            <v>6</v>
          </cell>
          <cell r="M291" t="str">
            <v>EUR</v>
          </cell>
          <cell r="N291">
            <v>3238.62</v>
          </cell>
          <cell r="O291">
            <v>147.21</v>
          </cell>
          <cell r="P291">
            <v>22</v>
          </cell>
          <cell r="Q291">
            <v>22</v>
          </cell>
          <cell r="R291">
            <v>0</v>
          </cell>
        </row>
        <row r="292">
          <cell r="A292" t="str">
            <v>3XMQQXHMB005DVR56I</v>
          </cell>
          <cell r="B292" t="str">
            <v>Q1-23</v>
          </cell>
          <cell r="C292" t="str">
            <v>Europe Operations OU</v>
          </cell>
          <cell r="D292">
            <v>2674345</v>
          </cell>
          <cell r="E292" t="str">
            <v>Amazon EU SARL, succursale Italiana</v>
          </cell>
          <cell r="F292" t="str">
            <v>3XMQQXHM</v>
          </cell>
          <cell r="G292" t="str">
            <v>B005DVR56I</v>
          </cell>
          <cell r="H292" t="str">
            <v>981-000350</v>
          </cell>
          <cell r="I292" t="str">
            <v>OE INVOICES</v>
          </cell>
          <cell r="J292">
            <v>44421949611</v>
          </cell>
          <cell r="K292">
            <v>44670</v>
          </cell>
          <cell r="L292">
            <v>1</v>
          </cell>
          <cell r="M292" t="str">
            <v>EUR</v>
          </cell>
          <cell r="N292">
            <v>58.56</v>
          </cell>
          <cell r="O292">
            <v>14.64</v>
          </cell>
          <cell r="P292">
            <v>4</v>
          </cell>
          <cell r="Q292">
            <v>4</v>
          </cell>
          <cell r="R292">
            <v>0</v>
          </cell>
        </row>
        <row r="293">
          <cell r="A293" t="str">
            <v>3XMQQXHMB00CJ5FP04</v>
          </cell>
          <cell r="B293" t="str">
            <v>Q1-23</v>
          </cell>
          <cell r="C293" t="str">
            <v>Europe Operations OU</v>
          </cell>
          <cell r="D293">
            <v>2674345</v>
          </cell>
          <cell r="E293" t="str">
            <v>Amazon EU SARL, succursale Italiana</v>
          </cell>
          <cell r="F293" t="str">
            <v>3XMQQXHM</v>
          </cell>
          <cell r="G293" t="str">
            <v>B00CJ5FP04</v>
          </cell>
          <cell r="H293" t="str">
            <v>940-000135</v>
          </cell>
          <cell r="I293" t="str">
            <v>OE INVOICES</v>
          </cell>
          <cell r="J293">
            <v>44421949611</v>
          </cell>
          <cell r="K293">
            <v>44670</v>
          </cell>
          <cell r="L293">
            <v>2</v>
          </cell>
          <cell r="M293" t="str">
            <v>EUR</v>
          </cell>
          <cell r="N293">
            <v>443.04</v>
          </cell>
          <cell r="O293">
            <v>18.46</v>
          </cell>
          <cell r="P293">
            <v>24</v>
          </cell>
          <cell r="Q293">
            <v>24</v>
          </cell>
          <cell r="R293">
            <v>0</v>
          </cell>
        </row>
        <row r="294">
          <cell r="A294" t="str">
            <v>3XMQQXHMB00ZOZZM4U</v>
          </cell>
          <cell r="B294" t="str">
            <v>Q1-23</v>
          </cell>
          <cell r="C294" t="str">
            <v>Europe Operations OU</v>
          </cell>
          <cell r="D294">
            <v>2674345</v>
          </cell>
          <cell r="E294" t="str">
            <v>Amazon EU SARL, succursale Italiana</v>
          </cell>
          <cell r="F294" t="str">
            <v>3XMQQXHM</v>
          </cell>
          <cell r="G294" t="str">
            <v>B00ZOZZM4U</v>
          </cell>
          <cell r="H294" t="str">
            <v>981-000593</v>
          </cell>
          <cell r="I294" t="str">
            <v>OE INVOICES</v>
          </cell>
          <cell r="J294">
            <v>44421949611</v>
          </cell>
          <cell r="K294">
            <v>44670</v>
          </cell>
          <cell r="L294">
            <v>3</v>
          </cell>
          <cell r="M294" t="str">
            <v>EUR</v>
          </cell>
          <cell r="N294">
            <v>936.8</v>
          </cell>
          <cell r="O294">
            <v>11.71</v>
          </cell>
          <cell r="P294">
            <v>80</v>
          </cell>
          <cell r="Q294">
            <v>80</v>
          </cell>
          <cell r="R294">
            <v>0</v>
          </cell>
        </row>
        <row r="295">
          <cell r="A295" t="str">
            <v>3XMQQXHMB01DIJIDKI</v>
          </cell>
          <cell r="B295" t="str">
            <v>Q1-23</v>
          </cell>
          <cell r="C295" t="str">
            <v>Europe Operations OU</v>
          </cell>
          <cell r="D295">
            <v>2674345</v>
          </cell>
          <cell r="E295" t="str">
            <v>Amazon EU SARL, succursale Italiana</v>
          </cell>
          <cell r="F295" t="str">
            <v>3XMQQXHM</v>
          </cell>
          <cell r="G295" t="str">
            <v>B01DIJIDKI</v>
          </cell>
          <cell r="H295" t="str">
            <v>943-000095</v>
          </cell>
          <cell r="I295" t="str">
            <v>OE INVOICES</v>
          </cell>
          <cell r="J295">
            <v>44421949611</v>
          </cell>
          <cell r="K295">
            <v>44670</v>
          </cell>
          <cell r="L295">
            <v>4</v>
          </cell>
          <cell r="M295" t="str">
            <v>EUR</v>
          </cell>
          <cell r="N295">
            <v>84.4</v>
          </cell>
          <cell r="O295">
            <v>10.55</v>
          </cell>
          <cell r="P295">
            <v>8</v>
          </cell>
          <cell r="Q295">
            <v>8</v>
          </cell>
          <cell r="R295">
            <v>0</v>
          </cell>
        </row>
        <row r="296">
          <cell r="A296" t="str">
            <v>3XMQQXHMB01DKTP3PY</v>
          </cell>
          <cell r="B296" t="str">
            <v>Q1-23</v>
          </cell>
          <cell r="C296" t="str">
            <v>Europe Operations OU</v>
          </cell>
          <cell r="D296">
            <v>2674345</v>
          </cell>
          <cell r="E296" t="str">
            <v>Amazon EU SARL, succursale Italiana</v>
          </cell>
          <cell r="F296" t="str">
            <v>3XMQQXHM</v>
          </cell>
          <cell r="G296" t="str">
            <v>B01DKTP3PY</v>
          </cell>
          <cell r="H296" t="str">
            <v>943-000099</v>
          </cell>
          <cell r="I296" t="str">
            <v>OE INVOICES</v>
          </cell>
          <cell r="J296">
            <v>44421949611</v>
          </cell>
          <cell r="K296">
            <v>44670</v>
          </cell>
          <cell r="L296">
            <v>5</v>
          </cell>
          <cell r="M296" t="str">
            <v>EUR</v>
          </cell>
          <cell r="N296">
            <v>126.56</v>
          </cell>
          <cell r="O296">
            <v>15.82</v>
          </cell>
          <cell r="P296">
            <v>8</v>
          </cell>
          <cell r="Q296">
            <v>8</v>
          </cell>
          <cell r="R296">
            <v>0</v>
          </cell>
        </row>
        <row r="297">
          <cell r="A297" t="str">
            <v>3XMQQXHMB01DKTP3X6</v>
          </cell>
          <cell r="B297" t="str">
            <v>Q1-23</v>
          </cell>
          <cell r="C297" t="str">
            <v>Europe Operations OU</v>
          </cell>
          <cell r="D297">
            <v>2674345</v>
          </cell>
          <cell r="E297" t="str">
            <v>Amazon EU SARL, succursale Italiana</v>
          </cell>
          <cell r="F297" t="str">
            <v>3XMQQXHM</v>
          </cell>
          <cell r="G297" t="str">
            <v>B01DKTP3X6</v>
          </cell>
          <cell r="H297" t="str">
            <v>943-000094</v>
          </cell>
          <cell r="I297" t="str">
            <v>OE INVOICES</v>
          </cell>
          <cell r="J297">
            <v>44421951822</v>
          </cell>
          <cell r="K297">
            <v>44672</v>
          </cell>
          <cell r="L297">
            <v>1</v>
          </cell>
          <cell r="M297" t="str">
            <v>EUR</v>
          </cell>
          <cell r="N297">
            <v>379.8</v>
          </cell>
          <cell r="O297">
            <v>10.55</v>
          </cell>
          <cell r="P297">
            <v>36</v>
          </cell>
          <cell r="Q297">
            <v>36</v>
          </cell>
          <cell r="R297">
            <v>0</v>
          </cell>
        </row>
        <row r="298">
          <cell r="A298" t="str">
            <v>3XMQQXHMB01M3TTXMY</v>
          </cell>
          <cell r="B298" t="str">
            <v>Q1-23</v>
          </cell>
          <cell r="C298" t="str">
            <v>Europe Operations OU</v>
          </cell>
          <cell r="D298">
            <v>2674345</v>
          </cell>
          <cell r="E298" t="str">
            <v>Amazon EU SARL, succursale Italiana</v>
          </cell>
          <cell r="F298" t="str">
            <v>3XMQQXHM</v>
          </cell>
          <cell r="G298" t="str">
            <v>B01M3TTXMY</v>
          </cell>
          <cell r="H298" t="str">
            <v>945-000008</v>
          </cell>
          <cell r="I298" t="str">
            <v>OE INVOICES</v>
          </cell>
          <cell r="J298">
            <v>44421949611</v>
          </cell>
          <cell r="K298">
            <v>44670</v>
          </cell>
          <cell r="L298">
            <v>6</v>
          </cell>
          <cell r="M298" t="str">
            <v>EUR</v>
          </cell>
          <cell r="N298">
            <v>1572.4</v>
          </cell>
          <cell r="O298">
            <v>78.62</v>
          </cell>
          <cell r="P298">
            <v>20</v>
          </cell>
          <cell r="Q298">
            <v>20</v>
          </cell>
          <cell r="R298">
            <v>0</v>
          </cell>
        </row>
        <row r="299">
          <cell r="A299" t="str">
            <v>3XMQQXHMB01M5F8SB6</v>
          </cell>
          <cell r="B299" t="str">
            <v>Q1-23</v>
          </cell>
          <cell r="C299" t="str">
            <v>Europe Operations OU</v>
          </cell>
          <cell r="D299">
            <v>2674345</v>
          </cell>
          <cell r="E299" t="str">
            <v>Amazon EU SARL, succursale Italiana</v>
          </cell>
          <cell r="F299" t="str">
            <v>3XMQQXHM</v>
          </cell>
          <cell r="G299" t="str">
            <v>B01M5F8SB6</v>
          </cell>
          <cell r="H299" t="str">
            <v>945-000003</v>
          </cell>
          <cell r="I299" t="str">
            <v>OE INVOICES</v>
          </cell>
          <cell r="J299">
            <v>44421949611</v>
          </cell>
          <cell r="K299">
            <v>44670</v>
          </cell>
          <cell r="L299">
            <v>7</v>
          </cell>
          <cell r="M299" t="str">
            <v>EUR</v>
          </cell>
          <cell r="N299">
            <v>1933.28</v>
          </cell>
          <cell r="O299">
            <v>120.83</v>
          </cell>
          <cell r="P299">
            <v>16</v>
          </cell>
          <cell r="Q299">
            <v>16</v>
          </cell>
          <cell r="R299">
            <v>0</v>
          </cell>
        </row>
        <row r="300">
          <cell r="A300" t="str">
            <v>3XMQQXHMB01M9EWQ2W</v>
          </cell>
          <cell r="B300" t="str">
            <v>Q1-23</v>
          </cell>
          <cell r="C300" t="str">
            <v>Europe Operations OU</v>
          </cell>
          <cell r="D300">
            <v>2674345</v>
          </cell>
          <cell r="E300" t="str">
            <v>Amazon EU SARL, succursale Italiana</v>
          </cell>
          <cell r="F300" t="str">
            <v>3XMQQXHM</v>
          </cell>
          <cell r="G300" t="str">
            <v>B01M9EWQ2W</v>
          </cell>
          <cell r="H300" t="str">
            <v>945-000006</v>
          </cell>
          <cell r="I300" t="str">
            <v>OE INVOICES</v>
          </cell>
          <cell r="J300">
            <v>44421949611</v>
          </cell>
          <cell r="K300">
            <v>44670</v>
          </cell>
          <cell r="L300">
            <v>8</v>
          </cell>
          <cell r="M300" t="str">
            <v>EUR</v>
          </cell>
          <cell r="N300">
            <v>2266.56</v>
          </cell>
          <cell r="O300">
            <v>94.44</v>
          </cell>
          <cell r="P300">
            <v>24</v>
          </cell>
          <cell r="Q300">
            <v>24</v>
          </cell>
          <cell r="R300">
            <v>0</v>
          </cell>
        </row>
        <row r="301">
          <cell r="A301" t="str">
            <v>3XMQQXHMB07J9Q68CK</v>
          </cell>
          <cell r="B301" t="str">
            <v>Q1-23</v>
          </cell>
          <cell r="C301" t="str">
            <v>Europe Operations OU</v>
          </cell>
          <cell r="D301">
            <v>2674345</v>
          </cell>
          <cell r="E301" t="str">
            <v>Amazon EU SARL, succursale Italiana</v>
          </cell>
          <cell r="F301" t="str">
            <v>3XMQQXHM</v>
          </cell>
          <cell r="G301" t="str">
            <v>B07J9Q68CK</v>
          </cell>
          <cell r="H301" t="str">
            <v>943-000125</v>
          </cell>
          <cell r="I301" t="str">
            <v>OE INVOICES</v>
          </cell>
          <cell r="J301">
            <v>44421949611</v>
          </cell>
          <cell r="K301">
            <v>44670</v>
          </cell>
          <cell r="L301">
            <v>9</v>
          </cell>
          <cell r="M301" t="str">
            <v>EUR</v>
          </cell>
          <cell r="N301">
            <v>331.84</v>
          </cell>
          <cell r="O301">
            <v>20.74</v>
          </cell>
          <cell r="P301">
            <v>16</v>
          </cell>
          <cell r="Q301">
            <v>16</v>
          </cell>
          <cell r="R301">
            <v>0</v>
          </cell>
        </row>
        <row r="302">
          <cell r="A302" t="str">
            <v>3XMQQXHMB07TTB3SRB</v>
          </cell>
          <cell r="B302" t="str">
            <v>Q1-23</v>
          </cell>
          <cell r="C302" t="str">
            <v>Europe Operations OU</v>
          </cell>
          <cell r="D302">
            <v>2674345</v>
          </cell>
          <cell r="E302" t="str">
            <v>Amazon EU SARL, succursale Italiana</v>
          </cell>
          <cell r="F302" t="str">
            <v>3XMQQXHM</v>
          </cell>
          <cell r="G302" t="str">
            <v>B07TTB3SRB</v>
          </cell>
          <cell r="H302" t="str">
            <v>939-001682</v>
          </cell>
          <cell r="I302" t="str">
            <v>OE INVOICES</v>
          </cell>
          <cell r="J302">
            <v>44421949611</v>
          </cell>
          <cell r="K302">
            <v>44670</v>
          </cell>
          <cell r="L302">
            <v>10</v>
          </cell>
          <cell r="M302" t="str">
            <v>EUR</v>
          </cell>
          <cell r="N302">
            <v>882.56</v>
          </cell>
          <cell r="O302">
            <v>220.64</v>
          </cell>
          <cell r="P302">
            <v>4</v>
          </cell>
          <cell r="Q302">
            <v>4</v>
          </cell>
          <cell r="R302">
            <v>0</v>
          </cell>
        </row>
        <row r="303">
          <cell r="A303" t="str">
            <v>3XMQQXHMB07W6GVHD8</v>
          </cell>
          <cell r="B303" t="str">
            <v>Q1-23</v>
          </cell>
          <cell r="C303" t="str">
            <v>Europe Operations OU</v>
          </cell>
          <cell r="D303">
            <v>2674345</v>
          </cell>
          <cell r="E303" t="str">
            <v>Amazon EU SARL, succursale Italiana</v>
          </cell>
          <cell r="F303" t="str">
            <v>3XMQQXHM</v>
          </cell>
          <cell r="G303" t="str">
            <v>B07W6GVHD8</v>
          </cell>
          <cell r="H303" t="str">
            <v>920-009748</v>
          </cell>
          <cell r="I303" t="str">
            <v>OE INVOICES</v>
          </cell>
          <cell r="J303">
            <v>44421949611</v>
          </cell>
          <cell r="K303">
            <v>44670</v>
          </cell>
          <cell r="L303">
            <v>11</v>
          </cell>
          <cell r="M303" t="str">
            <v>EUR</v>
          </cell>
          <cell r="N303">
            <v>1475.84</v>
          </cell>
          <cell r="O303">
            <v>92.24</v>
          </cell>
          <cell r="P303">
            <v>16</v>
          </cell>
          <cell r="Q303">
            <v>16</v>
          </cell>
          <cell r="R303">
            <v>0</v>
          </cell>
        </row>
        <row r="304">
          <cell r="A304" t="str">
            <v>3XMQQXHMB07W6H4R4D</v>
          </cell>
          <cell r="B304" t="str">
            <v>Q1-23</v>
          </cell>
          <cell r="C304" t="str">
            <v>Europe Operations OU</v>
          </cell>
          <cell r="D304">
            <v>2674345</v>
          </cell>
          <cell r="E304" t="str">
            <v>Amazon EU SARL, succursale Italiana</v>
          </cell>
          <cell r="F304" t="str">
            <v>3XMQQXHM</v>
          </cell>
          <cell r="G304" t="str">
            <v>B07W6H4R4D</v>
          </cell>
          <cell r="H304" t="str">
            <v>920-009962</v>
          </cell>
          <cell r="I304" t="str">
            <v>OE INVOICES</v>
          </cell>
          <cell r="J304">
            <v>44421950710</v>
          </cell>
          <cell r="K304">
            <v>44670</v>
          </cell>
          <cell r="L304">
            <v>1</v>
          </cell>
          <cell r="M304" t="str">
            <v>EUR</v>
          </cell>
          <cell r="N304">
            <v>737.92</v>
          </cell>
          <cell r="O304">
            <v>92.24</v>
          </cell>
          <cell r="P304">
            <v>8</v>
          </cell>
          <cell r="Q304">
            <v>8</v>
          </cell>
          <cell r="R304">
            <v>0</v>
          </cell>
        </row>
        <row r="305">
          <cell r="A305" t="str">
            <v>3XMQQXHMB08GX3XFYH</v>
          </cell>
          <cell r="B305" t="str">
            <v>Q1-23</v>
          </cell>
          <cell r="C305" t="str">
            <v>Europe Operations OU</v>
          </cell>
          <cell r="D305">
            <v>2674345</v>
          </cell>
          <cell r="E305" t="str">
            <v>Amazon EU SARL, succursale Italiana</v>
          </cell>
          <cell r="F305" t="str">
            <v>3XMQQXHM</v>
          </cell>
          <cell r="G305" t="str">
            <v>B08GX3XFYH</v>
          </cell>
          <cell r="H305" t="str">
            <v>955-000006</v>
          </cell>
          <cell r="I305" t="str">
            <v>OE INVOICES</v>
          </cell>
          <cell r="J305">
            <v>44421949611</v>
          </cell>
          <cell r="K305">
            <v>44670</v>
          </cell>
          <cell r="L305">
            <v>12</v>
          </cell>
          <cell r="M305" t="str">
            <v>EUR</v>
          </cell>
          <cell r="N305">
            <v>382.98</v>
          </cell>
          <cell r="O305">
            <v>63.83</v>
          </cell>
          <cell r="P305">
            <v>6</v>
          </cell>
          <cell r="Q305">
            <v>6</v>
          </cell>
          <cell r="R305">
            <v>0</v>
          </cell>
        </row>
        <row r="306">
          <cell r="A306" t="str">
            <v>41N1XRBDB01DIJIDKI</v>
          </cell>
          <cell r="B306" t="str">
            <v>Q1-23</v>
          </cell>
          <cell r="C306" t="str">
            <v>Europe Operations OU</v>
          </cell>
          <cell r="D306">
            <v>2674345</v>
          </cell>
          <cell r="E306" t="str">
            <v>Amazon EU SARL, succursale Italiana</v>
          </cell>
          <cell r="F306" t="str">
            <v>41N1XRBD</v>
          </cell>
          <cell r="G306" t="str">
            <v>B01DIJIDKI</v>
          </cell>
          <cell r="H306" t="str">
            <v>943-000095</v>
          </cell>
          <cell r="I306" t="str">
            <v>OE INVOICES</v>
          </cell>
          <cell r="J306">
            <v>44421961815</v>
          </cell>
          <cell r="K306">
            <v>44687</v>
          </cell>
          <cell r="L306">
            <v>1</v>
          </cell>
          <cell r="M306" t="str">
            <v>EUR</v>
          </cell>
          <cell r="N306">
            <v>84.4</v>
          </cell>
          <cell r="O306">
            <v>10.55</v>
          </cell>
          <cell r="P306">
            <v>8</v>
          </cell>
          <cell r="Q306">
            <v>8</v>
          </cell>
          <cell r="R306">
            <v>0</v>
          </cell>
        </row>
        <row r="307">
          <cell r="A307" t="str">
            <v>4AY3K18CB004VPLVI0</v>
          </cell>
          <cell r="B307" t="str">
            <v>Q1-23</v>
          </cell>
          <cell r="C307" t="str">
            <v>Europe Operations OU</v>
          </cell>
          <cell r="D307">
            <v>2674345</v>
          </cell>
          <cell r="E307" t="str">
            <v>Amazon EU SARL, succursale Italiana</v>
          </cell>
          <cell r="F307" t="str">
            <v>4AY3K18C</v>
          </cell>
          <cell r="G307" t="str">
            <v>B004VPLVI0</v>
          </cell>
          <cell r="H307" t="str">
            <v>910-002142</v>
          </cell>
          <cell r="I307" t="str">
            <v>OE INVOICES</v>
          </cell>
          <cell r="J307">
            <v>44421961033</v>
          </cell>
          <cell r="K307">
            <v>44687</v>
          </cell>
          <cell r="L307">
            <v>1</v>
          </cell>
          <cell r="M307" t="str">
            <v>EUR</v>
          </cell>
          <cell r="N307">
            <v>234.2</v>
          </cell>
          <cell r="O307">
            <v>23.42</v>
          </cell>
          <cell r="P307">
            <v>10</v>
          </cell>
          <cell r="Q307">
            <v>10</v>
          </cell>
          <cell r="R307">
            <v>0</v>
          </cell>
        </row>
        <row r="308">
          <cell r="A308" t="str">
            <v>4AY3K18CB00EUUXBDE</v>
          </cell>
          <cell r="B308" t="str">
            <v>Q1-23</v>
          </cell>
          <cell r="C308" t="str">
            <v>Europe Operations OU</v>
          </cell>
          <cell r="D308">
            <v>2674345</v>
          </cell>
          <cell r="E308" t="str">
            <v>Amazon EU SARL, succursale Italiana</v>
          </cell>
          <cell r="F308" t="str">
            <v>4AY3K18C</v>
          </cell>
          <cell r="G308" t="str">
            <v>B00EUUXBDE</v>
          </cell>
          <cell r="H308" t="str">
            <v>980-000810</v>
          </cell>
          <cell r="I308" t="str">
            <v>OE INVOICES</v>
          </cell>
          <cell r="J308">
            <v>44421961033</v>
          </cell>
          <cell r="K308">
            <v>44687</v>
          </cell>
          <cell r="L308">
            <v>2</v>
          </cell>
          <cell r="M308" t="str">
            <v>EUR</v>
          </cell>
          <cell r="N308">
            <v>5270.4</v>
          </cell>
          <cell r="O308">
            <v>29.28</v>
          </cell>
          <cell r="P308">
            <v>180</v>
          </cell>
          <cell r="Q308">
            <v>180</v>
          </cell>
          <cell r="R308">
            <v>0</v>
          </cell>
        </row>
        <row r="309">
          <cell r="A309" t="str">
            <v>4AY3K18CB07G6DL332</v>
          </cell>
          <cell r="B309" t="str">
            <v>Q1-23</v>
          </cell>
          <cell r="C309" t="str">
            <v>Europe Operations OU</v>
          </cell>
          <cell r="D309">
            <v>2674345</v>
          </cell>
          <cell r="E309" t="str">
            <v>Amazon EU SARL, succursale Italiana</v>
          </cell>
          <cell r="F309" t="str">
            <v>4AY3K18C</v>
          </cell>
          <cell r="G309" t="str">
            <v>B07G6DL332</v>
          </cell>
          <cell r="H309" t="str">
            <v>984-001405</v>
          </cell>
          <cell r="I309" t="str">
            <v>OE INVOICES</v>
          </cell>
          <cell r="J309">
            <v>44421961033</v>
          </cell>
          <cell r="K309">
            <v>44687</v>
          </cell>
          <cell r="L309">
            <v>3</v>
          </cell>
          <cell r="M309" t="str">
            <v>EUR</v>
          </cell>
          <cell r="N309">
            <v>212.98</v>
          </cell>
          <cell r="O309">
            <v>106.49</v>
          </cell>
          <cell r="P309">
            <v>2</v>
          </cell>
          <cell r="Q309">
            <v>2</v>
          </cell>
          <cell r="R309">
            <v>0</v>
          </cell>
        </row>
        <row r="310">
          <cell r="A310" t="str">
            <v>4AY3K18CB07W6G822Y</v>
          </cell>
          <cell r="B310" t="str">
            <v>Q1-23</v>
          </cell>
          <cell r="C310" t="str">
            <v>Europe Operations OU</v>
          </cell>
          <cell r="D310">
            <v>2674345</v>
          </cell>
          <cell r="E310" t="str">
            <v>Amazon EU SARL, succursale Italiana</v>
          </cell>
          <cell r="F310" t="str">
            <v>4AY3K18C</v>
          </cell>
          <cell r="G310" t="str">
            <v>B07W6G822Y</v>
          </cell>
          <cell r="H310" t="str">
            <v>981-000984</v>
          </cell>
          <cell r="I310" t="str">
            <v>OE INVOICES</v>
          </cell>
          <cell r="J310">
            <v>44421961033</v>
          </cell>
          <cell r="K310">
            <v>44687</v>
          </cell>
          <cell r="L310">
            <v>4</v>
          </cell>
          <cell r="M310" t="str">
            <v>EUR</v>
          </cell>
          <cell r="N310">
            <v>263.7</v>
          </cell>
          <cell r="O310">
            <v>26.37</v>
          </cell>
          <cell r="P310">
            <v>10</v>
          </cell>
          <cell r="Q310">
            <v>10</v>
          </cell>
          <cell r="R310">
            <v>0</v>
          </cell>
        </row>
        <row r="311">
          <cell r="A311" t="str">
            <v>4FFLHW5MB003PAMIA2</v>
          </cell>
          <cell r="B311" t="str">
            <v>Q1-23</v>
          </cell>
          <cell r="C311" t="str">
            <v>Europe Operations OU</v>
          </cell>
          <cell r="D311">
            <v>2674345</v>
          </cell>
          <cell r="E311" t="str">
            <v>Amazon EU SARL, succursale Italiana</v>
          </cell>
          <cell r="F311" t="str">
            <v>4FFLHW5M</v>
          </cell>
          <cell r="G311" t="str">
            <v>B003PAMIA2</v>
          </cell>
          <cell r="H311" t="str">
            <v>920-002489</v>
          </cell>
          <cell r="I311" t="str">
            <v>OE INVOICES</v>
          </cell>
          <cell r="J311">
            <v>44421961185</v>
          </cell>
          <cell r="K311">
            <v>44687</v>
          </cell>
          <cell r="L311">
            <v>1</v>
          </cell>
          <cell r="M311" t="str">
            <v>EUR</v>
          </cell>
          <cell r="N311">
            <v>99.5</v>
          </cell>
          <cell r="O311">
            <v>9.9499999999999993</v>
          </cell>
          <cell r="P311">
            <v>10</v>
          </cell>
          <cell r="Q311">
            <v>10</v>
          </cell>
          <cell r="R311">
            <v>0</v>
          </cell>
        </row>
        <row r="312">
          <cell r="A312" t="str">
            <v>4FFLHW5MB003V4A5VG</v>
          </cell>
          <cell r="B312" t="str">
            <v>Q1-23</v>
          </cell>
          <cell r="C312" t="str">
            <v>Europe Operations OU</v>
          </cell>
          <cell r="D312">
            <v>2674345</v>
          </cell>
          <cell r="E312" t="str">
            <v>Amazon EU SARL, succursale Italiana</v>
          </cell>
          <cell r="F312" t="str">
            <v>4FFLHW5M</v>
          </cell>
          <cell r="G312" t="str">
            <v>B003V4A5VG</v>
          </cell>
          <cell r="H312" t="str">
            <v>920-002488</v>
          </cell>
          <cell r="I312" t="str">
            <v>OE INVOICES</v>
          </cell>
          <cell r="J312">
            <v>44421961185</v>
          </cell>
          <cell r="K312">
            <v>44687</v>
          </cell>
          <cell r="L312">
            <v>2</v>
          </cell>
          <cell r="M312" t="str">
            <v>EUR</v>
          </cell>
          <cell r="N312">
            <v>99.5</v>
          </cell>
          <cell r="O312">
            <v>9.9499999999999993</v>
          </cell>
          <cell r="P312">
            <v>10</v>
          </cell>
          <cell r="Q312">
            <v>10</v>
          </cell>
          <cell r="R312">
            <v>0</v>
          </cell>
        </row>
        <row r="313">
          <cell r="A313" t="str">
            <v>4FFLHW5MB0078M385M</v>
          </cell>
          <cell r="B313" t="str">
            <v>Q1-23</v>
          </cell>
          <cell r="C313" t="str">
            <v>Europe Operations OU</v>
          </cell>
          <cell r="D313">
            <v>2674345</v>
          </cell>
          <cell r="E313" t="str">
            <v>Amazon EU SARL, succursale Italiana</v>
          </cell>
          <cell r="F313" t="str">
            <v>4FFLHW5M</v>
          </cell>
          <cell r="G313" t="str">
            <v>B0078M385M</v>
          </cell>
          <cell r="H313" t="str">
            <v>920-003748</v>
          </cell>
          <cell r="I313" t="str">
            <v>OE INVOICES</v>
          </cell>
          <cell r="J313">
            <v>44421961185</v>
          </cell>
          <cell r="K313">
            <v>44687</v>
          </cell>
          <cell r="L313">
            <v>3</v>
          </cell>
          <cell r="M313" t="str">
            <v>EUR</v>
          </cell>
          <cell r="N313">
            <v>164</v>
          </cell>
          <cell r="O313">
            <v>20.5</v>
          </cell>
          <cell r="P313">
            <v>8</v>
          </cell>
          <cell r="Q313">
            <v>8</v>
          </cell>
          <cell r="R313">
            <v>0</v>
          </cell>
        </row>
        <row r="314">
          <cell r="A314" t="str">
            <v>4FFLHW5MB009L1UV94</v>
          </cell>
          <cell r="B314" t="str">
            <v>Q1-23</v>
          </cell>
          <cell r="C314" t="str">
            <v>Europe Operations OU</v>
          </cell>
          <cell r="D314">
            <v>2674345</v>
          </cell>
          <cell r="E314" t="str">
            <v>Amazon EU SARL, succursale Italiana</v>
          </cell>
          <cell r="F314" t="str">
            <v>4FFLHW5M</v>
          </cell>
          <cell r="G314" t="str">
            <v>B009L1UV94</v>
          </cell>
          <cell r="H314" t="str">
            <v>920-003738</v>
          </cell>
          <cell r="I314" t="str">
            <v>OE INVOICES</v>
          </cell>
          <cell r="J314">
            <v>44421961185</v>
          </cell>
          <cell r="K314">
            <v>44687</v>
          </cell>
          <cell r="L314">
            <v>4</v>
          </cell>
          <cell r="M314" t="str">
            <v>EUR</v>
          </cell>
          <cell r="N314">
            <v>82</v>
          </cell>
          <cell r="O314">
            <v>20.5</v>
          </cell>
          <cell r="P314">
            <v>4</v>
          </cell>
          <cell r="Q314">
            <v>4</v>
          </cell>
          <cell r="R314">
            <v>0</v>
          </cell>
        </row>
        <row r="315">
          <cell r="A315" t="str">
            <v>4FFLHW5MB00BF5QDZU</v>
          </cell>
          <cell r="B315" t="str">
            <v>Q1-23</v>
          </cell>
          <cell r="C315" t="str">
            <v>Europe Operations OU</v>
          </cell>
          <cell r="D315">
            <v>2674345</v>
          </cell>
          <cell r="E315" t="str">
            <v>Amazon EU SARL, succursale Italiana</v>
          </cell>
          <cell r="F315" t="str">
            <v>4FFLHW5M</v>
          </cell>
          <cell r="G315" t="str">
            <v>B00BF5QDZU</v>
          </cell>
          <cell r="H315" t="str">
            <v>920-004510</v>
          </cell>
          <cell r="I315" t="str">
            <v>OE INVOICES</v>
          </cell>
          <cell r="J315">
            <v>44421961185</v>
          </cell>
          <cell r="K315">
            <v>44687</v>
          </cell>
          <cell r="L315">
            <v>5</v>
          </cell>
          <cell r="M315" t="str">
            <v>EUR</v>
          </cell>
          <cell r="N315">
            <v>140.52000000000001</v>
          </cell>
          <cell r="O315">
            <v>23.42</v>
          </cell>
          <cell r="P315">
            <v>6</v>
          </cell>
          <cell r="Q315">
            <v>6</v>
          </cell>
          <cell r="R315">
            <v>0</v>
          </cell>
        </row>
        <row r="316">
          <cell r="A316" t="str">
            <v>4FFLHW5MB00BT8QIJ4</v>
          </cell>
          <cell r="B316" t="str">
            <v>Q1-23</v>
          </cell>
          <cell r="C316" t="str">
            <v>Europe Operations OU</v>
          </cell>
          <cell r="D316">
            <v>2674345</v>
          </cell>
          <cell r="E316" t="str">
            <v>Amazon EU SARL, succursale Italiana</v>
          </cell>
          <cell r="F316" t="str">
            <v>4FFLHW5M</v>
          </cell>
          <cell r="G316" t="str">
            <v>B00BT8QIJ4</v>
          </cell>
          <cell r="H316" t="str">
            <v>920-002522</v>
          </cell>
          <cell r="I316" t="str">
            <v>OE INVOICES</v>
          </cell>
          <cell r="J316">
            <v>44421961185</v>
          </cell>
          <cell r="K316">
            <v>44687</v>
          </cell>
          <cell r="L316">
            <v>6</v>
          </cell>
          <cell r="M316" t="str">
            <v>EUR</v>
          </cell>
          <cell r="N316">
            <v>164</v>
          </cell>
          <cell r="O316">
            <v>8.1999999999999993</v>
          </cell>
          <cell r="P316">
            <v>20</v>
          </cell>
          <cell r="Q316">
            <v>20</v>
          </cell>
          <cell r="R316">
            <v>0</v>
          </cell>
        </row>
        <row r="317">
          <cell r="A317" t="str">
            <v>4FFLHW5MB00EJ3RMDM</v>
          </cell>
          <cell r="B317" t="str">
            <v>Q1-23</v>
          </cell>
          <cell r="C317" t="str">
            <v>Europe Operations OU</v>
          </cell>
          <cell r="D317">
            <v>2674345</v>
          </cell>
          <cell r="E317" t="str">
            <v>Amazon EU SARL, succursale Italiana</v>
          </cell>
          <cell r="F317" t="str">
            <v>4FFLHW5M</v>
          </cell>
          <cell r="G317" t="str">
            <v>B00EJ3RMDM</v>
          </cell>
          <cell r="H317" t="str">
            <v>920-005210</v>
          </cell>
          <cell r="I317" t="str">
            <v>OE INVOICES</v>
          </cell>
          <cell r="J317">
            <v>44421961185</v>
          </cell>
          <cell r="K317">
            <v>44687</v>
          </cell>
          <cell r="L317">
            <v>7</v>
          </cell>
          <cell r="M317" t="str">
            <v>EUR</v>
          </cell>
          <cell r="N317">
            <v>146.4</v>
          </cell>
          <cell r="O317">
            <v>14.64</v>
          </cell>
          <cell r="P317">
            <v>10</v>
          </cell>
          <cell r="Q317">
            <v>10</v>
          </cell>
          <cell r="R317">
            <v>0</v>
          </cell>
        </row>
        <row r="318">
          <cell r="A318" t="str">
            <v>4FFLHW5MB00EJ3RN7C</v>
          </cell>
          <cell r="B318" t="str">
            <v>Q1-23</v>
          </cell>
          <cell r="C318" t="str">
            <v>Europe Operations OU</v>
          </cell>
          <cell r="D318">
            <v>2674345</v>
          </cell>
          <cell r="E318" t="str">
            <v>Amazon EU SARL, succursale Italiana</v>
          </cell>
          <cell r="F318" t="str">
            <v>4FFLHW5M</v>
          </cell>
          <cell r="G318" t="str">
            <v>B00EJ3RN7C</v>
          </cell>
          <cell r="H318" t="str">
            <v>920-005218</v>
          </cell>
          <cell r="I318" t="str">
            <v>OE INVOICES</v>
          </cell>
          <cell r="J318">
            <v>44421961185</v>
          </cell>
          <cell r="K318">
            <v>44687</v>
          </cell>
          <cell r="L318">
            <v>8</v>
          </cell>
          <cell r="M318" t="str">
            <v>EUR</v>
          </cell>
          <cell r="N318">
            <v>292.8</v>
          </cell>
          <cell r="O318">
            <v>14.64</v>
          </cell>
          <cell r="P318">
            <v>20</v>
          </cell>
          <cell r="Q318">
            <v>20</v>
          </cell>
          <cell r="R318">
            <v>0</v>
          </cell>
        </row>
        <row r="319">
          <cell r="A319" t="str">
            <v>4FFLHW5MB01C4HCSOC</v>
          </cell>
          <cell r="B319" t="str">
            <v>Q1-23</v>
          </cell>
          <cell r="C319" t="str">
            <v>Europe Operations OU</v>
          </cell>
          <cell r="D319">
            <v>2674345</v>
          </cell>
          <cell r="E319" t="str">
            <v>Amazon EU SARL, succursale Italiana</v>
          </cell>
          <cell r="F319" t="str">
            <v>4FFLHW5M</v>
          </cell>
          <cell r="G319" t="str">
            <v>B01C4HCSOC</v>
          </cell>
          <cell r="H319" t="str">
            <v>920-007907</v>
          </cell>
          <cell r="I319" t="str">
            <v>OE INVOICES</v>
          </cell>
          <cell r="J319">
            <v>44421961185</v>
          </cell>
          <cell r="K319">
            <v>44687</v>
          </cell>
          <cell r="L319">
            <v>9</v>
          </cell>
          <cell r="M319" t="str">
            <v>EUR</v>
          </cell>
          <cell r="N319">
            <v>164</v>
          </cell>
          <cell r="O319">
            <v>20.5</v>
          </cell>
          <cell r="P319">
            <v>8</v>
          </cell>
          <cell r="Q319">
            <v>8</v>
          </cell>
          <cell r="R319">
            <v>0</v>
          </cell>
        </row>
        <row r="320">
          <cell r="A320" t="str">
            <v>4FFLHW5MB01I252A34</v>
          </cell>
          <cell r="B320" t="str">
            <v>Q1-23</v>
          </cell>
          <cell r="C320" t="str">
            <v>Europe Operations OU</v>
          </cell>
          <cell r="D320">
            <v>2674345</v>
          </cell>
          <cell r="E320" t="str">
            <v>Amazon EU SARL, succursale Italiana</v>
          </cell>
          <cell r="F320" t="str">
            <v>4FFLHW5M</v>
          </cell>
          <cell r="G320" t="str">
            <v>B01I252A34</v>
          </cell>
          <cell r="H320" t="str">
            <v>920-005214</v>
          </cell>
          <cell r="I320" t="str">
            <v>OE INVOICES</v>
          </cell>
          <cell r="J320">
            <v>44421961185</v>
          </cell>
          <cell r="K320">
            <v>44687</v>
          </cell>
          <cell r="L320">
            <v>10</v>
          </cell>
          <cell r="M320" t="str">
            <v>EUR</v>
          </cell>
          <cell r="N320">
            <v>439.2</v>
          </cell>
          <cell r="O320">
            <v>14.64</v>
          </cell>
          <cell r="P320">
            <v>30</v>
          </cell>
          <cell r="Q320">
            <v>30</v>
          </cell>
          <cell r="R320">
            <v>0</v>
          </cell>
        </row>
        <row r="321">
          <cell r="A321" t="str">
            <v>4FFLHW5MB01L6L45ES</v>
          </cell>
          <cell r="B321" t="str">
            <v>Q1-23</v>
          </cell>
          <cell r="C321" t="str">
            <v>Europe Operations OU</v>
          </cell>
          <cell r="D321">
            <v>2674345</v>
          </cell>
          <cell r="E321" t="str">
            <v>Amazon EU SARL, succursale Italiana</v>
          </cell>
          <cell r="F321" t="str">
            <v>4FFLHW5M</v>
          </cell>
          <cell r="G321" t="str">
            <v>B01L6L45ES</v>
          </cell>
          <cell r="H321" t="str">
            <v>920-008088</v>
          </cell>
          <cell r="I321" t="str">
            <v>OE INVOICES</v>
          </cell>
          <cell r="J321">
            <v>44421961185</v>
          </cell>
          <cell r="K321">
            <v>44687</v>
          </cell>
          <cell r="L321">
            <v>11</v>
          </cell>
          <cell r="M321" t="str">
            <v>EUR</v>
          </cell>
          <cell r="N321">
            <v>2025.6</v>
          </cell>
          <cell r="O321">
            <v>42.2</v>
          </cell>
          <cell r="P321">
            <v>48</v>
          </cell>
          <cell r="Q321">
            <v>48</v>
          </cell>
          <cell r="R321">
            <v>0</v>
          </cell>
        </row>
        <row r="322">
          <cell r="A322" t="str">
            <v>4FFLHW5MB01MT5WMMG</v>
          </cell>
          <cell r="B322" t="str">
            <v>Q1-23</v>
          </cell>
          <cell r="C322" t="str">
            <v>Europe Operations OU</v>
          </cell>
          <cell r="D322">
            <v>2674345</v>
          </cell>
          <cell r="E322" t="str">
            <v>Amazon EU SARL, succursale Italiana</v>
          </cell>
          <cell r="F322" t="str">
            <v>4FFLHW5M</v>
          </cell>
          <cell r="G322" t="str">
            <v>B01MT5WMMG</v>
          </cell>
          <cell r="H322" t="str">
            <v>920-008221</v>
          </cell>
          <cell r="I322" t="str">
            <v>OE INVOICES</v>
          </cell>
          <cell r="J322">
            <v>44421961185</v>
          </cell>
          <cell r="K322">
            <v>44687</v>
          </cell>
          <cell r="L322">
            <v>12</v>
          </cell>
          <cell r="M322" t="str">
            <v>EUR</v>
          </cell>
          <cell r="N322">
            <v>603.28</v>
          </cell>
          <cell r="O322">
            <v>75.41</v>
          </cell>
          <cell r="P322">
            <v>8</v>
          </cell>
          <cell r="Q322">
            <v>8</v>
          </cell>
          <cell r="R322">
            <v>0</v>
          </cell>
        </row>
        <row r="323">
          <cell r="A323" t="str">
            <v>4FFLHW5MB06XPXRN4K</v>
          </cell>
          <cell r="B323" t="str">
            <v>Q1-23</v>
          </cell>
          <cell r="C323" t="str">
            <v>Europe Operations OU</v>
          </cell>
          <cell r="D323">
            <v>2674345</v>
          </cell>
          <cell r="E323" t="str">
            <v>Amazon EU SARL, succursale Italiana</v>
          </cell>
          <cell r="F323" t="str">
            <v>4FFLHW5M</v>
          </cell>
          <cell r="G323" t="str">
            <v>B06XPXRN4K</v>
          </cell>
          <cell r="H323" t="str">
            <v>920-008304</v>
          </cell>
          <cell r="I323" t="str">
            <v>OE INVOICES</v>
          </cell>
          <cell r="J323">
            <v>44421961185</v>
          </cell>
          <cell r="K323">
            <v>44687</v>
          </cell>
          <cell r="L323">
            <v>13</v>
          </cell>
          <cell r="M323" t="str">
            <v>EUR</v>
          </cell>
          <cell r="N323">
            <v>422.08</v>
          </cell>
          <cell r="O323">
            <v>52.76</v>
          </cell>
          <cell r="P323">
            <v>8</v>
          </cell>
          <cell r="Q323">
            <v>8</v>
          </cell>
          <cell r="R323">
            <v>0</v>
          </cell>
        </row>
        <row r="324">
          <cell r="A324" t="str">
            <v>4FFLHW5MB06XQ3V8G7</v>
          </cell>
          <cell r="B324" t="str">
            <v>Q1-23</v>
          </cell>
          <cell r="C324" t="str">
            <v>Europe Operations OU</v>
          </cell>
          <cell r="D324">
            <v>2674345</v>
          </cell>
          <cell r="E324" t="str">
            <v>Amazon EU SARL, succursale Italiana</v>
          </cell>
          <cell r="F324" t="str">
            <v>4FFLHW5M</v>
          </cell>
          <cell r="G324" t="str">
            <v>B06XQ3V8G7</v>
          </cell>
          <cell r="H324" t="str">
            <v>920-008305</v>
          </cell>
          <cell r="I324" t="str">
            <v>OE INVOICES</v>
          </cell>
          <cell r="J324">
            <v>44421961185</v>
          </cell>
          <cell r="K324">
            <v>44687</v>
          </cell>
          <cell r="L324">
            <v>14</v>
          </cell>
          <cell r="M324" t="str">
            <v>EUR</v>
          </cell>
          <cell r="N324">
            <v>211.04</v>
          </cell>
          <cell r="O324">
            <v>52.76</v>
          </cell>
          <cell r="P324">
            <v>4</v>
          </cell>
          <cell r="Q324">
            <v>4</v>
          </cell>
          <cell r="R324">
            <v>0</v>
          </cell>
        </row>
        <row r="325">
          <cell r="A325" t="str">
            <v>4FFLHW5MB074C9889M</v>
          </cell>
          <cell r="B325" t="str">
            <v>Q1-23</v>
          </cell>
          <cell r="C325" t="str">
            <v>Europe Operations OU</v>
          </cell>
          <cell r="D325">
            <v>2674345</v>
          </cell>
          <cell r="E325" t="str">
            <v>Amazon EU SARL, succursale Italiana</v>
          </cell>
          <cell r="F325" t="str">
            <v>4FFLHW5M</v>
          </cell>
          <cell r="G325" t="str">
            <v>B074C9889M</v>
          </cell>
          <cell r="H325" t="str">
            <v>920-008393</v>
          </cell>
          <cell r="I325" t="str">
            <v>OE INVOICES</v>
          </cell>
          <cell r="J325">
            <v>44421961185</v>
          </cell>
          <cell r="K325">
            <v>44687</v>
          </cell>
          <cell r="L325">
            <v>15</v>
          </cell>
          <cell r="M325" t="str">
            <v>EUR</v>
          </cell>
          <cell r="N325">
            <v>314.48</v>
          </cell>
          <cell r="O325">
            <v>78.62</v>
          </cell>
          <cell r="P325">
            <v>4</v>
          </cell>
          <cell r="Q325">
            <v>4</v>
          </cell>
          <cell r="R325">
            <v>0</v>
          </cell>
        </row>
        <row r="326">
          <cell r="A326" t="str">
            <v>4FFLHW5MB074C9LZVX</v>
          </cell>
          <cell r="B326" t="str">
            <v>Q1-23</v>
          </cell>
          <cell r="C326" t="str">
            <v>Europe Operations OU</v>
          </cell>
          <cell r="D326">
            <v>2674345</v>
          </cell>
          <cell r="E326" t="str">
            <v>Amazon EU SARL, succursale Italiana</v>
          </cell>
          <cell r="F326" t="str">
            <v>4FFLHW5M</v>
          </cell>
          <cell r="G326" t="str">
            <v>B074C9LZVX</v>
          </cell>
          <cell r="H326" t="str">
            <v>920-008389</v>
          </cell>
          <cell r="I326" t="str">
            <v>OE INVOICES</v>
          </cell>
          <cell r="J326">
            <v>44421961185</v>
          </cell>
          <cell r="K326">
            <v>44687</v>
          </cell>
          <cell r="L326">
            <v>16</v>
          </cell>
          <cell r="M326" t="str">
            <v>EUR</v>
          </cell>
          <cell r="N326">
            <v>628.96</v>
          </cell>
          <cell r="O326">
            <v>78.62</v>
          </cell>
          <cell r="P326">
            <v>8</v>
          </cell>
          <cell r="Q326">
            <v>8</v>
          </cell>
          <cell r="R326">
            <v>0</v>
          </cell>
        </row>
        <row r="327">
          <cell r="A327" t="str">
            <v>4FFLHW5MB074KGS5C3</v>
          </cell>
          <cell r="B327" t="str">
            <v>Q1-23</v>
          </cell>
          <cell r="C327" t="str">
            <v>Europe Operations OU</v>
          </cell>
          <cell r="D327">
            <v>2674345</v>
          </cell>
          <cell r="E327" t="str">
            <v>Amazon EU SARL, succursale Italiana</v>
          </cell>
          <cell r="F327" t="str">
            <v>4FFLHW5M</v>
          </cell>
          <cell r="G327" t="str">
            <v>B074KGS5C3</v>
          </cell>
          <cell r="H327" t="str">
            <v>920-008496</v>
          </cell>
          <cell r="I327" t="str">
            <v>OE INVOICES</v>
          </cell>
          <cell r="J327">
            <v>44421961185</v>
          </cell>
          <cell r="K327">
            <v>44687</v>
          </cell>
          <cell r="L327">
            <v>17</v>
          </cell>
          <cell r="M327" t="str">
            <v>EUR</v>
          </cell>
          <cell r="N327">
            <v>923.52</v>
          </cell>
          <cell r="O327">
            <v>115.44</v>
          </cell>
          <cell r="P327">
            <v>8</v>
          </cell>
          <cell r="Q327">
            <v>8</v>
          </cell>
          <cell r="R327">
            <v>0</v>
          </cell>
        </row>
        <row r="328">
          <cell r="A328" t="str">
            <v>4FFLHW5MB077BT728N</v>
          </cell>
          <cell r="B328" t="str">
            <v>Q1-23</v>
          </cell>
          <cell r="C328" t="str">
            <v>Europe Operations OU</v>
          </cell>
          <cell r="D328">
            <v>2674345</v>
          </cell>
          <cell r="E328" t="str">
            <v>Amazon EU SARL, succursale Italiana</v>
          </cell>
          <cell r="F328" t="str">
            <v>4FFLHW5M</v>
          </cell>
          <cell r="G328" t="str">
            <v>B077BT728N</v>
          </cell>
          <cell r="H328" t="str">
            <v>920-008669</v>
          </cell>
          <cell r="I328" t="str">
            <v>OE INVOICES</v>
          </cell>
          <cell r="J328">
            <v>44421961185</v>
          </cell>
          <cell r="K328">
            <v>44687</v>
          </cell>
          <cell r="L328">
            <v>18</v>
          </cell>
          <cell r="M328" t="str">
            <v>EUR</v>
          </cell>
          <cell r="N328">
            <v>2049.6</v>
          </cell>
          <cell r="O328">
            <v>14.64</v>
          </cell>
          <cell r="P328">
            <v>140</v>
          </cell>
          <cell r="Q328">
            <v>140</v>
          </cell>
          <cell r="R328">
            <v>0</v>
          </cell>
        </row>
        <row r="329">
          <cell r="A329" t="str">
            <v>4FFLHW5MB079YGFNC7</v>
          </cell>
          <cell r="B329" t="str">
            <v>Q1-23</v>
          </cell>
          <cell r="C329" t="str">
            <v>Europe Operations OU</v>
          </cell>
          <cell r="D329">
            <v>2674345</v>
          </cell>
          <cell r="E329" t="str">
            <v>Amazon EU SARL, succursale Italiana</v>
          </cell>
          <cell r="F329" t="str">
            <v>4FFLHW5M</v>
          </cell>
          <cell r="G329" t="str">
            <v>B079YGFNC7</v>
          </cell>
          <cell r="H329" t="str">
            <v>920-008677</v>
          </cell>
          <cell r="I329" t="str">
            <v>OE INVOICES</v>
          </cell>
          <cell r="J329">
            <v>44421961185</v>
          </cell>
          <cell r="K329">
            <v>44687</v>
          </cell>
          <cell r="L329">
            <v>19</v>
          </cell>
          <cell r="M329" t="str">
            <v>EUR</v>
          </cell>
          <cell r="N329">
            <v>327.92</v>
          </cell>
          <cell r="O329">
            <v>40.99</v>
          </cell>
          <cell r="P329">
            <v>8</v>
          </cell>
          <cell r="Q329">
            <v>8</v>
          </cell>
          <cell r="R329">
            <v>0</v>
          </cell>
        </row>
        <row r="330">
          <cell r="A330" t="str">
            <v>4FFLHW5MB07W5JJP7D</v>
          </cell>
          <cell r="B330" t="str">
            <v>Q1-23</v>
          </cell>
          <cell r="C330" t="str">
            <v>Europe Operations OU</v>
          </cell>
          <cell r="D330">
            <v>2674345</v>
          </cell>
          <cell r="E330" t="str">
            <v>Amazon EU SARL, succursale Italiana</v>
          </cell>
          <cell r="F330" t="str">
            <v>4FFLHW5M</v>
          </cell>
          <cell r="G330" t="str">
            <v>B07W5JJP7D</v>
          </cell>
          <cell r="H330" t="str">
            <v>920-009343</v>
          </cell>
          <cell r="I330" t="str">
            <v>OE INVOICES</v>
          </cell>
          <cell r="J330">
            <v>44421961185</v>
          </cell>
          <cell r="K330">
            <v>44687</v>
          </cell>
          <cell r="L330">
            <v>20</v>
          </cell>
          <cell r="M330" t="str">
            <v>EUR</v>
          </cell>
          <cell r="N330">
            <v>251.16</v>
          </cell>
          <cell r="O330">
            <v>62.79</v>
          </cell>
          <cell r="P330">
            <v>4</v>
          </cell>
          <cell r="Q330">
            <v>4</v>
          </cell>
          <cell r="R330">
            <v>0</v>
          </cell>
        </row>
        <row r="331">
          <cell r="A331" t="str">
            <v>4FFLHW5MB07W5JK4LF</v>
          </cell>
          <cell r="B331" t="str">
            <v>Q1-23</v>
          </cell>
          <cell r="C331" t="str">
            <v>Europe Operations OU</v>
          </cell>
          <cell r="D331">
            <v>2674345</v>
          </cell>
          <cell r="E331" t="str">
            <v>Amazon EU SARL, succursale Italiana</v>
          </cell>
          <cell r="F331" t="str">
            <v>4FFLHW5M</v>
          </cell>
          <cell r="G331" t="str">
            <v>B07W5JK4LF</v>
          </cell>
          <cell r="H331" t="str">
            <v>920-009797</v>
          </cell>
          <cell r="I331" t="str">
            <v>OE INVOICES</v>
          </cell>
          <cell r="J331">
            <v>44421961185</v>
          </cell>
          <cell r="K331">
            <v>44687</v>
          </cell>
          <cell r="L331">
            <v>21</v>
          </cell>
          <cell r="M331" t="str">
            <v>EUR</v>
          </cell>
          <cell r="N331">
            <v>121.8</v>
          </cell>
          <cell r="O331">
            <v>20.3</v>
          </cell>
          <cell r="P331">
            <v>6</v>
          </cell>
          <cell r="Q331">
            <v>6</v>
          </cell>
          <cell r="R331">
            <v>0</v>
          </cell>
        </row>
        <row r="332">
          <cell r="A332" t="str">
            <v>4FFLHW5MB07W5JKPSF</v>
          </cell>
          <cell r="B332" t="str">
            <v>Q1-23</v>
          </cell>
          <cell r="C332" t="str">
            <v>Europe Operations OU</v>
          </cell>
          <cell r="D332">
            <v>2674345</v>
          </cell>
          <cell r="E332" t="str">
            <v>Amazon EU SARL, succursale Italiana</v>
          </cell>
          <cell r="F332" t="str">
            <v>4FFLHW5M</v>
          </cell>
          <cell r="G332" t="str">
            <v>B07W5JKPSF</v>
          </cell>
          <cell r="H332" t="str">
            <v>920-009370</v>
          </cell>
          <cell r="I332" t="str">
            <v>OE INVOICES</v>
          </cell>
          <cell r="J332">
            <v>44421961185</v>
          </cell>
          <cell r="K332">
            <v>44687</v>
          </cell>
          <cell r="L332">
            <v>22</v>
          </cell>
          <cell r="M332" t="str">
            <v>EUR</v>
          </cell>
          <cell r="N332">
            <v>251.16</v>
          </cell>
          <cell r="O332">
            <v>62.79</v>
          </cell>
          <cell r="P332">
            <v>4</v>
          </cell>
          <cell r="Q332">
            <v>4</v>
          </cell>
          <cell r="R332">
            <v>0</v>
          </cell>
        </row>
        <row r="333">
          <cell r="A333" t="str">
            <v>4FFLHW5MB07W6GVS5C</v>
          </cell>
          <cell r="B333" t="str">
            <v>Q1-23</v>
          </cell>
          <cell r="C333" t="str">
            <v>Europe Operations OU</v>
          </cell>
          <cell r="D333">
            <v>2674345</v>
          </cell>
          <cell r="E333" t="str">
            <v>Amazon EU SARL, succursale Italiana</v>
          </cell>
          <cell r="F333" t="str">
            <v>4FFLHW5M</v>
          </cell>
          <cell r="G333" t="str">
            <v>B07W6GVS5C</v>
          </cell>
          <cell r="H333" t="str">
            <v>920-009439</v>
          </cell>
          <cell r="I333" t="str">
            <v>OE INVOICES</v>
          </cell>
          <cell r="J333">
            <v>44421961185</v>
          </cell>
          <cell r="K333">
            <v>44687</v>
          </cell>
          <cell r="L333">
            <v>23</v>
          </cell>
          <cell r="M333" t="str">
            <v>EUR</v>
          </cell>
          <cell r="N333">
            <v>168.8</v>
          </cell>
          <cell r="O333">
            <v>42.2</v>
          </cell>
          <cell r="P333">
            <v>4</v>
          </cell>
          <cell r="Q333">
            <v>4</v>
          </cell>
          <cell r="R333">
            <v>0</v>
          </cell>
        </row>
        <row r="334">
          <cell r="A334" t="str">
            <v>4RM5JT6BB00544XJDM</v>
          </cell>
          <cell r="B334" t="str">
            <v>Q1-23</v>
          </cell>
          <cell r="C334" t="str">
            <v>Europe Operations OU</v>
          </cell>
          <cell r="D334">
            <v>2674345</v>
          </cell>
          <cell r="E334" t="str">
            <v>Amazon EU SARL, succursale Italiana</v>
          </cell>
          <cell r="F334" t="str">
            <v>4RM5JT6B</v>
          </cell>
          <cell r="G334" t="str">
            <v>B00544XJDM</v>
          </cell>
          <cell r="H334" t="str">
            <v>910-002239</v>
          </cell>
          <cell r="I334" t="str">
            <v>OE INVOICES</v>
          </cell>
          <cell r="J334">
            <v>44421961183</v>
          </cell>
          <cell r="K334">
            <v>44687</v>
          </cell>
          <cell r="L334">
            <v>1</v>
          </cell>
          <cell r="M334" t="str">
            <v>EUR</v>
          </cell>
          <cell r="N334">
            <v>398</v>
          </cell>
          <cell r="O334">
            <v>9.9499999999999993</v>
          </cell>
          <cell r="P334">
            <v>40</v>
          </cell>
          <cell r="Q334">
            <v>40</v>
          </cell>
          <cell r="R334">
            <v>0</v>
          </cell>
        </row>
        <row r="335">
          <cell r="A335" t="str">
            <v>4RM5JT6BB07H3HGS9R</v>
          </cell>
          <cell r="B335" t="str">
            <v>Q1-23</v>
          </cell>
          <cell r="C335" t="str">
            <v>Europe Operations OU</v>
          </cell>
          <cell r="D335">
            <v>2674345</v>
          </cell>
          <cell r="E335" t="str">
            <v>Amazon EU SARL, succursale Italiana</v>
          </cell>
          <cell r="F335" t="str">
            <v>4RM5JT6B</v>
          </cell>
          <cell r="G335" t="str">
            <v>B07H3HGS9R</v>
          </cell>
          <cell r="H335" t="str">
            <v>910-005508</v>
          </cell>
          <cell r="I335" t="str">
            <v>OE INVOICES</v>
          </cell>
          <cell r="J335">
            <v>44421961183</v>
          </cell>
          <cell r="K335">
            <v>44687</v>
          </cell>
          <cell r="L335">
            <v>2</v>
          </cell>
          <cell r="M335" t="str">
            <v>EUR</v>
          </cell>
          <cell r="N335">
            <v>234</v>
          </cell>
          <cell r="O335">
            <v>5.85</v>
          </cell>
          <cell r="P335">
            <v>40</v>
          </cell>
          <cell r="Q335">
            <v>40</v>
          </cell>
          <cell r="R335">
            <v>0</v>
          </cell>
        </row>
        <row r="336">
          <cell r="A336" t="str">
            <v>51XCCHHLB01A9GXEOI</v>
          </cell>
          <cell r="B336" t="str">
            <v>Q1-23</v>
          </cell>
          <cell r="C336" t="str">
            <v>Europe Operations OU</v>
          </cell>
          <cell r="D336">
            <v>2674345</v>
          </cell>
          <cell r="E336" t="str">
            <v>Amazon EU SARL, succursale Italiana</v>
          </cell>
          <cell r="F336" t="str">
            <v>51XCCHHL</v>
          </cell>
          <cell r="G336" t="str">
            <v>B01A9GXEOI</v>
          </cell>
          <cell r="H336" t="str">
            <v>910-004424</v>
          </cell>
          <cell r="I336" t="str">
            <v>OE INVOICES</v>
          </cell>
          <cell r="J336">
            <v>44421954952</v>
          </cell>
          <cell r="K336">
            <v>44677</v>
          </cell>
          <cell r="L336">
            <v>1</v>
          </cell>
          <cell r="M336" t="str">
            <v>EUR</v>
          </cell>
          <cell r="N336">
            <v>1668.2</v>
          </cell>
          <cell r="O336">
            <v>8.7799999999999994</v>
          </cell>
          <cell r="P336">
            <v>190</v>
          </cell>
          <cell r="Q336">
            <v>190</v>
          </cell>
          <cell r="R336">
            <v>0</v>
          </cell>
        </row>
        <row r="337">
          <cell r="A337" t="str">
            <v>51XCCHHLB01N5NYRES</v>
          </cell>
          <cell r="B337" t="str">
            <v>Q1-23</v>
          </cell>
          <cell r="C337" t="str">
            <v>Europe Operations OU</v>
          </cell>
          <cell r="D337">
            <v>2674345</v>
          </cell>
          <cell r="E337" t="str">
            <v>Amazon EU SARL, succursale Italiana</v>
          </cell>
          <cell r="F337" t="str">
            <v>51XCCHHL</v>
          </cell>
          <cell r="G337" t="str">
            <v>B01N5NYRES</v>
          </cell>
          <cell r="H337" t="str">
            <v>960-001106</v>
          </cell>
          <cell r="I337" t="str">
            <v>OE INVOICES</v>
          </cell>
          <cell r="J337">
            <v>44421954904</v>
          </cell>
          <cell r="K337">
            <v>44677</v>
          </cell>
          <cell r="L337">
            <v>1</v>
          </cell>
          <cell r="M337" t="str">
            <v>EUR</v>
          </cell>
          <cell r="N337">
            <v>4461.24</v>
          </cell>
          <cell r="O337">
            <v>159.33000000000001</v>
          </cell>
          <cell r="P337">
            <v>28</v>
          </cell>
          <cell r="Q337">
            <v>28</v>
          </cell>
          <cell r="R337">
            <v>0</v>
          </cell>
        </row>
        <row r="338">
          <cell r="A338" t="str">
            <v>54U7COBYB003PAKL7O</v>
          </cell>
          <cell r="B338" t="str">
            <v>Q1-23</v>
          </cell>
          <cell r="C338" t="str">
            <v>Europe Operations OU</v>
          </cell>
          <cell r="D338">
            <v>2674345</v>
          </cell>
          <cell r="E338" t="str">
            <v>Amazon EU SARL, succursale Italiana</v>
          </cell>
          <cell r="F338" t="str">
            <v>54U7COBY</v>
          </cell>
          <cell r="G338" t="str">
            <v>B003PAKL7O</v>
          </cell>
          <cell r="H338" t="str">
            <v>910-001826</v>
          </cell>
          <cell r="I338" t="str">
            <v>OE INVOICES</v>
          </cell>
          <cell r="J338">
            <v>44421952267</v>
          </cell>
          <cell r="K338">
            <v>44672</v>
          </cell>
          <cell r="L338">
            <v>1</v>
          </cell>
          <cell r="M338" t="str">
            <v>EUR</v>
          </cell>
          <cell r="N338">
            <v>2342.4</v>
          </cell>
          <cell r="O338">
            <v>29.28</v>
          </cell>
          <cell r="P338">
            <v>80</v>
          </cell>
          <cell r="Q338">
            <v>80</v>
          </cell>
          <cell r="R338">
            <v>0</v>
          </cell>
        </row>
        <row r="339">
          <cell r="A339" t="str">
            <v>54U7COBYB00745IE1Q</v>
          </cell>
          <cell r="B339" t="str">
            <v>Q1-23</v>
          </cell>
          <cell r="C339" t="str">
            <v>Europe Operations OU</v>
          </cell>
          <cell r="D339">
            <v>2674345</v>
          </cell>
          <cell r="E339" t="str">
            <v>Amazon EU SARL, succursale Italiana</v>
          </cell>
          <cell r="F339" t="str">
            <v>54U7COBY</v>
          </cell>
          <cell r="G339" t="str">
            <v>B00745IE1Q</v>
          </cell>
          <cell r="H339" t="str">
            <v>910-002731</v>
          </cell>
          <cell r="I339" t="str">
            <v>OE INVOICES</v>
          </cell>
          <cell r="J339">
            <v>44421952267</v>
          </cell>
          <cell r="K339">
            <v>44672</v>
          </cell>
          <cell r="L339">
            <v>2</v>
          </cell>
          <cell r="M339" t="str">
            <v>EUR</v>
          </cell>
          <cell r="N339">
            <v>93.68</v>
          </cell>
          <cell r="O339">
            <v>11.71</v>
          </cell>
          <cell r="P339">
            <v>8</v>
          </cell>
          <cell r="Q339">
            <v>8</v>
          </cell>
          <cell r="R339">
            <v>0</v>
          </cell>
        </row>
        <row r="340">
          <cell r="A340" t="str">
            <v>54U7COBYB0080IA1J4</v>
          </cell>
          <cell r="B340" t="str">
            <v>Q1-23</v>
          </cell>
          <cell r="C340" t="str">
            <v>Europe Operations OU</v>
          </cell>
          <cell r="D340">
            <v>2674345</v>
          </cell>
          <cell r="E340" t="str">
            <v>Amazon EU SARL, succursale Italiana</v>
          </cell>
          <cell r="F340" t="str">
            <v>54U7COBY</v>
          </cell>
          <cell r="G340" t="str">
            <v>B0080IA1J4</v>
          </cell>
          <cell r="H340" t="str">
            <v>960-000867</v>
          </cell>
          <cell r="I340" t="str">
            <v>OE INVOICES</v>
          </cell>
          <cell r="J340">
            <v>44421952267</v>
          </cell>
          <cell r="K340">
            <v>44672</v>
          </cell>
          <cell r="L340">
            <v>3</v>
          </cell>
          <cell r="M340" t="str">
            <v>EUR</v>
          </cell>
          <cell r="N340">
            <v>664</v>
          </cell>
          <cell r="O340">
            <v>166</v>
          </cell>
          <cell r="P340">
            <v>4</v>
          </cell>
          <cell r="Q340">
            <v>4</v>
          </cell>
          <cell r="R340">
            <v>0</v>
          </cell>
        </row>
        <row r="341">
          <cell r="A341" t="str">
            <v>54U7COBYB008S1IOCY</v>
          </cell>
          <cell r="B341" t="str">
            <v>Q1-23</v>
          </cell>
          <cell r="C341" t="str">
            <v>Europe Operations OU</v>
          </cell>
          <cell r="D341">
            <v>2674345</v>
          </cell>
          <cell r="E341" t="str">
            <v>Amazon EU SARL, succursale Italiana</v>
          </cell>
          <cell r="F341" t="str">
            <v>54U7COBY</v>
          </cell>
          <cell r="G341" t="str">
            <v>B008S1IOCY</v>
          </cell>
          <cell r="H341" t="str">
            <v>981-000475</v>
          </cell>
          <cell r="I341" t="str">
            <v>OE INVOICES</v>
          </cell>
          <cell r="J341">
            <v>44421952267</v>
          </cell>
          <cell r="K341">
            <v>44672</v>
          </cell>
          <cell r="L341">
            <v>4</v>
          </cell>
          <cell r="M341" t="str">
            <v>EUR</v>
          </cell>
          <cell r="N341">
            <v>164</v>
          </cell>
          <cell r="O341">
            <v>20.5</v>
          </cell>
          <cell r="P341">
            <v>8</v>
          </cell>
          <cell r="Q341">
            <v>8</v>
          </cell>
          <cell r="R341">
            <v>0</v>
          </cell>
        </row>
        <row r="342">
          <cell r="A342" t="str">
            <v>54U7COBYB00CJAEX5M</v>
          </cell>
          <cell r="B342" t="str">
            <v>Q1-23</v>
          </cell>
          <cell r="C342" t="str">
            <v>Europe Operations OU</v>
          </cell>
          <cell r="D342">
            <v>2674345</v>
          </cell>
          <cell r="E342" t="str">
            <v>Amazon EU SARL, succursale Italiana</v>
          </cell>
          <cell r="F342" t="str">
            <v>54U7COBY</v>
          </cell>
          <cell r="G342" t="str">
            <v>B00CJAEX5M</v>
          </cell>
          <cell r="H342" t="str">
            <v>940-000142</v>
          </cell>
          <cell r="I342" t="str">
            <v>OE INVOICES</v>
          </cell>
          <cell r="J342">
            <v>44421952267</v>
          </cell>
          <cell r="K342">
            <v>44672</v>
          </cell>
          <cell r="L342">
            <v>5</v>
          </cell>
          <cell r="M342" t="str">
            <v>EUR</v>
          </cell>
          <cell r="N342">
            <v>105.48</v>
          </cell>
          <cell r="O342">
            <v>26.37</v>
          </cell>
          <cell r="P342">
            <v>4</v>
          </cell>
          <cell r="Q342">
            <v>4</v>
          </cell>
          <cell r="R342">
            <v>0</v>
          </cell>
        </row>
        <row r="343">
          <cell r="A343" t="str">
            <v>54U7COBYB00CJAF3ME</v>
          </cell>
          <cell r="B343" t="str">
            <v>Q1-23</v>
          </cell>
          <cell r="C343" t="str">
            <v>Europe Operations OU</v>
          </cell>
          <cell r="D343">
            <v>2674345</v>
          </cell>
          <cell r="E343" t="str">
            <v>Amazon EU SARL, succursale Italiana</v>
          </cell>
          <cell r="F343" t="str">
            <v>54U7COBY</v>
          </cell>
          <cell r="G343" t="str">
            <v>B00CJAF3ME</v>
          </cell>
          <cell r="H343" t="str">
            <v>940-000138</v>
          </cell>
          <cell r="I343" t="str">
            <v>OE INVOICES</v>
          </cell>
          <cell r="J343">
            <v>44421952267</v>
          </cell>
          <cell r="K343">
            <v>44672</v>
          </cell>
          <cell r="L343">
            <v>6</v>
          </cell>
          <cell r="M343" t="str">
            <v>EUR</v>
          </cell>
          <cell r="N343">
            <v>73.84</v>
          </cell>
          <cell r="O343">
            <v>18.46</v>
          </cell>
          <cell r="P343">
            <v>4</v>
          </cell>
          <cell r="Q343">
            <v>4</v>
          </cell>
          <cell r="R343">
            <v>0</v>
          </cell>
        </row>
        <row r="344">
          <cell r="A344" t="str">
            <v>54U7COBYB00IJYG4FY</v>
          </cell>
          <cell r="B344" t="str">
            <v>Q1-23</v>
          </cell>
          <cell r="C344" t="str">
            <v>Europe Operations OU</v>
          </cell>
          <cell r="D344">
            <v>2674345</v>
          </cell>
          <cell r="E344" t="str">
            <v>Amazon EU SARL, succursale Italiana</v>
          </cell>
          <cell r="F344" t="str">
            <v>54U7COBY</v>
          </cell>
          <cell r="G344" t="str">
            <v>B00IJYG4FY</v>
          </cell>
          <cell r="H344" t="str">
            <v>980-000913</v>
          </cell>
          <cell r="I344" t="str">
            <v>OE INVOICES</v>
          </cell>
          <cell r="J344">
            <v>44421955107</v>
          </cell>
          <cell r="K344">
            <v>44677</v>
          </cell>
          <cell r="L344">
            <v>1</v>
          </cell>
          <cell r="M344" t="str">
            <v>EUR</v>
          </cell>
          <cell r="N344">
            <v>117.12</v>
          </cell>
          <cell r="O344">
            <v>29.28</v>
          </cell>
          <cell r="P344">
            <v>4</v>
          </cell>
          <cell r="Q344">
            <v>4</v>
          </cell>
          <cell r="R344">
            <v>0</v>
          </cell>
        </row>
        <row r="345">
          <cell r="A345" t="str">
            <v>54U7COBYB00L8VNQ88</v>
          </cell>
          <cell r="B345" t="str">
            <v>Q1-23</v>
          </cell>
          <cell r="C345" t="str">
            <v>Europe Operations OU</v>
          </cell>
          <cell r="D345">
            <v>2674345</v>
          </cell>
          <cell r="E345" t="str">
            <v>Amazon EU SARL, succursale Italiana</v>
          </cell>
          <cell r="F345" t="str">
            <v>54U7COBY</v>
          </cell>
          <cell r="G345" t="str">
            <v>B00L8VNQ88</v>
          </cell>
          <cell r="H345" t="str">
            <v>910-004067</v>
          </cell>
          <cell r="I345" t="str">
            <v>OE INVOICES</v>
          </cell>
          <cell r="J345">
            <v>44421952267</v>
          </cell>
          <cell r="K345">
            <v>44672</v>
          </cell>
          <cell r="L345">
            <v>7</v>
          </cell>
          <cell r="M345" t="str">
            <v>EUR</v>
          </cell>
          <cell r="N345">
            <v>295.44</v>
          </cell>
          <cell r="O345">
            <v>36.93</v>
          </cell>
          <cell r="P345">
            <v>8</v>
          </cell>
          <cell r="Q345">
            <v>8</v>
          </cell>
          <cell r="R345">
            <v>0</v>
          </cell>
        </row>
        <row r="346">
          <cell r="A346" t="str">
            <v>54U7COBYB00M6MLYZU</v>
          </cell>
          <cell r="B346" t="str">
            <v>Q1-23</v>
          </cell>
          <cell r="C346" t="str">
            <v>Europe Operations OU</v>
          </cell>
          <cell r="D346">
            <v>2674345</v>
          </cell>
          <cell r="E346" t="str">
            <v>Amazon EU SARL, succursale Italiana</v>
          </cell>
          <cell r="F346" t="str">
            <v>54U7COBY</v>
          </cell>
          <cell r="G346" t="str">
            <v>B00M6MLYZU</v>
          </cell>
          <cell r="H346" t="str">
            <v>981-000575</v>
          </cell>
          <cell r="I346" t="str">
            <v>OE INVOICES</v>
          </cell>
          <cell r="J346">
            <v>44421952267</v>
          </cell>
          <cell r="K346">
            <v>44672</v>
          </cell>
          <cell r="L346">
            <v>8</v>
          </cell>
          <cell r="M346" t="str">
            <v>EUR</v>
          </cell>
          <cell r="N346">
            <v>399.96</v>
          </cell>
          <cell r="O346">
            <v>33.33</v>
          </cell>
          <cell r="P346">
            <v>12</v>
          </cell>
          <cell r="Q346">
            <v>12</v>
          </cell>
          <cell r="R346">
            <v>0</v>
          </cell>
        </row>
        <row r="347">
          <cell r="A347" t="str">
            <v>54U7COBYB00MWNDUDM</v>
          </cell>
          <cell r="B347" t="str">
            <v>Q1-23</v>
          </cell>
          <cell r="C347" t="str">
            <v>Europe Operations OU</v>
          </cell>
          <cell r="D347">
            <v>2674345</v>
          </cell>
          <cell r="E347" t="str">
            <v>Amazon EU SARL, succursale Italiana</v>
          </cell>
          <cell r="F347" t="str">
            <v>54U7COBY</v>
          </cell>
          <cell r="G347" t="str">
            <v>B00MWNDUDM</v>
          </cell>
          <cell r="H347" t="str">
            <v>920-006350</v>
          </cell>
          <cell r="I347" t="str">
            <v>OE INVOICES</v>
          </cell>
          <cell r="J347">
            <v>44421952267</v>
          </cell>
          <cell r="K347">
            <v>44672</v>
          </cell>
          <cell r="L347">
            <v>9</v>
          </cell>
          <cell r="M347" t="str">
            <v>EUR</v>
          </cell>
          <cell r="N347">
            <v>257.68</v>
          </cell>
          <cell r="O347">
            <v>32.21</v>
          </cell>
          <cell r="P347">
            <v>8</v>
          </cell>
          <cell r="Q347">
            <v>8</v>
          </cell>
          <cell r="R347">
            <v>0</v>
          </cell>
        </row>
        <row r="348">
          <cell r="A348" t="str">
            <v>54U7COBYB00NGKYKPW</v>
          </cell>
          <cell r="B348" t="str">
            <v>Q1-23</v>
          </cell>
          <cell r="C348" t="str">
            <v>Europe Operations OU</v>
          </cell>
          <cell r="D348">
            <v>2674345</v>
          </cell>
          <cell r="E348" t="str">
            <v>Amazon EU SARL, succursale Italiana</v>
          </cell>
          <cell r="F348" t="str">
            <v>54U7COBY</v>
          </cell>
          <cell r="G348" t="str">
            <v>B00NGKYKPW</v>
          </cell>
          <cell r="H348" t="str">
            <v>920-006358</v>
          </cell>
          <cell r="I348" t="str">
            <v>OE INVOICES</v>
          </cell>
          <cell r="J348">
            <v>44421952267</v>
          </cell>
          <cell r="K348">
            <v>44672</v>
          </cell>
          <cell r="L348">
            <v>10</v>
          </cell>
          <cell r="M348" t="str">
            <v>EUR</v>
          </cell>
          <cell r="N348">
            <v>257.68</v>
          </cell>
          <cell r="O348">
            <v>32.21</v>
          </cell>
          <cell r="P348">
            <v>8</v>
          </cell>
          <cell r="Q348">
            <v>8</v>
          </cell>
          <cell r="R348">
            <v>0</v>
          </cell>
        </row>
        <row r="349">
          <cell r="A349" t="str">
            <v>54U7COBYB010EPT2X6</v>
          </cell>
          <cell r="B349" t="str">
            <v>Q1-23</v>
          </cell>
          <cell r="C349" t="str">
            <v>Europe Operations OU</v>
          </cell>
          <cell r="D349">
            <v>2674345</v>
          </cell>
          <cell r="E349" t="str">
            <v>Amazon EU SARL, succursale Italiana</v>
          </cell>
          <cell r="F349" t="str">
            <v>54U7COBY</v>
          </cell>
          <cell r="G349" t="str">
            <v>B010EPT2X6</v>
          </cell>
          <cell r="H349" t="str">
            <v>920-007145</v>
          </cell>
          <cell r="I349" t="str">
            <v>OE INVOICES</v>
          </cell>
          <cell r="J349">
            <v>44421955106</v>
          </cell>
          <cell r="K349">
            <v>44677</v>
          </cell>
          <cell r="L349">
            <v>1</v>
          </cell>
          <cell r="M349" t="str">
            <v>EUR</v>
          </cell>
          <cell r="N349">
            <v>292.8</v>
          </cell>
          <cell r="O349">
            <v>29.28</v>
          </cell>
          <cell r="P349">
            <v>10</v>
          </cell>
          <cell r="Q349">
            <v>10</v>
          </cell>
          <cell r="R349">
            <v>0</v>
          </cell>
        </row>
        <row r="350">
          <cell r="A350" t="str">
            <v>54U7COBYB013SL2050</v>
          </cell>
          <cell r="B350" t="str">
            <v>Q1-23</v>
          </cell>
          <cell r="C350" t="str">
            <v>Europe Operations OU</v>
          </cell>
          <cell r="D350">
            <v>2674345</v>
          </cell>
          <cell r="E350" t="str">
            <v>Amazon EU SARL, succursale Italiana</v>
          </cell>
          <cell r="F350" t="str">
            <v>54U7COBY</v>
          </cell>
          <cell r="G350" t="str">
            <v>B013SL2050</v>
          </cell>
          <cell r="H350" t="str">
            <v>920-007574</v>
          </cell>
          <cell r="I350" t="str">
            <v>OE INVOICES</v>
          </cell>
          <cell r="J350">
            <v>44421952267</v>
          </cell>
          <cell r="K350">
            <v>44672</v>
          </cell>
          <cell r="L350">
            <v>11</v>
          </cell>
          <cell r="M350" t="str">
            <v>EUR</v>
          </cell>
          <cell r="N350">
            <v>468.48</v>
          </cell>
          <cell r="O350">
            <v>29.28</v>
          </cell>
          <cell r="P350">
            <v>16</v>
          </cell>
          <cell r="Q350">
            <v>16</v>
          </cell>
          <cell r="R350">
            <v>0</v>
          </cell>
        </row>
        <row r="351">
          <cell r="A351" t="str">
            <v>54U7COBYB014S0DVDK</v>
          </cell>
          <cell r="B351" t="str">
            <v>Q1-23</v>
          </cell>
          <cell r="C351" t="str">
            <v>Europe Operations OU</v>
          </cell>
          <cell r="D351">
            <v>2674345</v>
          </cell>
          <cell r="E351" t="str">
            <v>Amazon EU SARL, succursale Italiana</v>
          </cell>
          <cell r="F351" t="str">
            <v>54U7COBY</v>
          </cell>
          <cell r="G351" t="str">
            <v>B014S0DVDK</v>
          </cell>
          <cell r="H351" t="str">
            <v>939-001544</v>
          </cell>
          <cell r="I351" t="str">
            <v>OE INVOICES</v>
          </cell>
          <cell r="J351">
            <v>44421952267</v>
          </cell>
          <cell r="K351">
            <v>44672</v>
          </cell>
          <cell r="L351">
            <v>12</v>
          </cell>
          <cell r="M351" t="str">
            <v>EUR</v>
          </cell>
          <cell r="N351">
            <v>359.6</v>
          </cell>
          <cell r="O351">
            <v>44.95</v>
          </cell>
          <cell r="P351">
            <v>8</v>
          </cell>
          <cell r="Q351">
            <v>8</v>
          </cell>
          <cell r="R351">
            <v>0</v>
          </cell>
        </row>
        <row r="352">
          <cell r="A352" t="str">
            <v>54U7COBYB01K7GEG9W</v>
          </cell>
          <cell r="B352" t="str">
            <v>Q1-23</v>
          </cell>
          <cell r="C352" t="str">
            <v>Europe Operations OU</v>
          </cell>
          <cell r="D352">
            <v>2674345</v>
          </cell>
          <cell r="E352" t="str">
            <v>Amazon EU SARL, succursale Italiana</v>
          </cell>
          <cell r="F352" t="str">
            <v>54U7COBY</v>
          </cell>
          <cell r="G352" t="str">
            <v>B01K7GEG9W</v>
          </cell>
          <cell r="H352" t="str">
            <v>910-004878</v>
          </cell>
          <cell r="I352" t="str">
            <v>OE INVOICES</v>
          </cell>
          <cell r="J352">
            <v>44421952267</v>
          </cell>
          <cell r="K352">
            <v>44672</v>
          </cell>
          <cell r="L352">
            <v>13</v>
          </cell>
          <cell r="M352" t="str">
            <v>EUR</v>
          </cell>
          <cell r="N352">
            <v>1464</v>
          </cell>
          <cell r="O352">
            <v>14.64</v>
          </cell>
          <cell r="P352">
            <v>100</v>
          </cell>
          <cell r="Q352">
            <v>100</v>
          </cell>
          <cell r="R352">
            <v>0</v>
          </cell>
        </row>
        <row r="353">
          <cell r="A353" t="str">
            <v>54U7COBYB01LCQTEXE</v>
          </cell>
          <cell r="B353" t="str">
            <v>Q1-23</v>
          </cell>
          <cell r="C353" t="str">
            <v>Europe Operations OU</v>
          </cell>
          <cell r="D353">
            <v>2674345</v>
          </cell>
          <cell r="E353" t="str">
            <v>Amazon EU SARL, succursale Italiana</v>
          </cell>
          <cell r="F353" t="str">
            <v>54U7COBY</v>
          </cell>
          <cell r="G353" t="str">
            <v>B01LCQTEXE</v>
          </cell>
          <cell r="H353" t="str">
            <v>910-004881</v>
          </cell>
          <cell r="I353" t="str">
            <v>OE INVOICES</v>
          </cell>
          <cell r="J353">
            <v>44421952267</v>
          </cell>
          <cell r="K353">
            <v>44672</v>
          </cell>
          <cell r="L353">
            <v>14</v>
          </cell>
          <cell r="M353" t="str">
            <v>EUR</v>
          </cell>
          <cell r="N353">
            <v>1024.8</v>
          </cell>
          <cell r="O353">
            <v>14.64</v>
          </cell>
          <cell r="P353">
            <v>70</v>
          </cell>
          <cell r="Q353">
            <v>70</v>
          </cell>
          <cell r="R353">
            <v>0</v>
          </cell>
        </row>
        <row r="354">
          <cell r="A354" t="str">
            <v>54U7COBYB01N5NYRES</v>
          </cell>
          <cell r="B354" t="str">
            <v>Q1-23</v>
          </cell>
          <cell r="C354" t="str">
            <v>Europe Operations OU</v>
          </cell>
          <cell r="D354">
            <v>2674345</v>
          </cell>
          <cell r="E354" t="str">
            <v>Amazon EU SARL, succursale Italiana</v>
          </cell>
          <cell r="F354" t="str">
            <v>54U7COBY</v>
          </cell>
          <cell r="G354" t="str">
            <v>B01N5NYRES</v>
          </cell>
          <cell r="H354" t="str">
            <v>960-001106</v>
          </cell>
          <cell r="I354" t="str">
            <v>OE INVOICES</v>
          </cell>
          <cell r="J354">
            <v>44421952267</v>
          </cell>
          <cell r="K354">
            <v>44672</v>
          </cell>
          <cell r="L354">
            <v>15</v>
          </cell>
          <cell r="M354" t="str">
            <v>EUR</v>
          </cell>
          <cell r="N354">
            <v>43975.08</v>
          </cell>
          <cell r="O354">
            <v>159.33000000000001</v>
          </cell>
          <cell r="P354">
            <v>276</v>
          </cell>
          <cell r="Q354">
            <v>276</v>
          </cell>
          <cell r="R354">
            <v>0</v>
          </cell>
        </row>
        <row r="355">
          <cell r="A355" t="str">
            <v>54U7COBYB07CGNDZR3</v>
          </cell>
          <cell r="B355" t="str">
            <v>Q1-23</v>
          </cell>
          <cell r="C355" t="str">
            <v>Europe Operations OU</v>
          </cell>
          <cell r="D355">
            <v>2674345</v>
          </cell>
          <cell r="E355" t="str">
            <v>Amazon EU SARL, succursale Italiana</v>
          </cell>
          <cell r="F355" t="str">
            <v>54U7COBY</v>
          </cell>
          <cell r="G355" t="str">
            <v>B07CGNDZR3</v>
          </cell>
          <cell r="H355" t="str">
            <v>910-005282</v>
          </cell>
          <cell r="I355" t="str">
            <v>OE INVOICES</v>
          </cell>
          <cell r="J355">
            <v>44421952267</v>
          </cell>
          <cell r="K355">
            <v>44672</v>
          </cell>
          <cell r="L355">
            <v>16</v>
          </cell>
          <cell r="M355" t="str">
            <v>EUR</v>
          </cell>
          <cell r="N355">
            <v>5064</v>
          </cell>
          <cell r="O355">
            <v>31.65</v>
          </cell>
          <cell r="P355">
            <v>160</v>
          </cell>
          <cell r="Q355">
            <v>160</v>
          </cell>
          <cell r="R355">
            <v>0</v>
          </cell>
        </row>
        <row r="356">
          <cell r="A356" t="str">
            <v>54U7COBYB07G6DKDY8</v>
          </cell>
          <cell r="B356" t="str">
            <v>Q1-23</v>
          </cell>
          <cell r="C356" t="str">
            <v>Europe Operations OU</v>
          </cell>
          <cell r="D356">
            <v>2674345</v>
          </cell>
          <cell r="E356" t="str">
            <v>Amazon EU SARL, succursale Italiana</v>
          </cell>
          <cell r="F356" t="str">
            <v>54U7COBY</v>
          </cell>
          <cell r="G356" t="str">
            <v>B07G6DKDY8</v>
          </cell>
          <cell r="H356" t="str">
            <v>984-001363</v>
          </cell>
          <cell r="I356" t="str">
            <v>OE INVOICES</v>
          </cell>
          <cell r="J356">
            <v>44421952267</v>
          </cell>
          <cell r="K356">
            <v>44672</v>
          </cell>
          <cell r="L356">
            <v>17</v>
          </cell>
          <cell r="M356" t="str">
            <v>EUR</v>
          </cell>
          <cell r="N356">
            <v>6059.48</v>
          </cell>
          <cell r="O356">
            <v>79.73</v>
          </cell>
          <cell r="P356">
            <v>76</v>
          </cell>
          <cell r="Q356">
            <v>76</v>
          </cell>
          <cell r="R356">
            <v>0</v>
          </cell>
        </row>
        <row r="357">
          <cell r="A357" t="str">
            <v>54U7COBYB07G6LWTG6</v>
          </cell>
          <cell r="B357" t="str">
            <v>Q1-23</v>
          </cell>
          <cell r="C357" t="str">
            <v>Europe Operations OU</v>
          </cell>
          <cell r="D357">
            <v>2674345</v>
          </cell>
          <cell r="E357" t="str">
            <v>Amazon EU SARL, succursale Italiana</v>
          </cell>
          <cell r="F357" t="str">
            <v>54U7COBY</v>
          </cell>
          <cell r="G357" t="str">
            <v>B07G6LWTG6</v>
          </cell>
          <cell r="H357" t="str">
            <v>984-001404</v>
          </cell>
          <cell r="I357" t="str">
            <v>OE INVOICES</v>
          </cell>
          <cell r="J357">
            <v>44421955106</v>
          </cell>
          <cell r="K357">
            <v>44677</v>
          </cell>
          <cell r="L357">
            <v>2</v>
          </cell>
          <cell r="M357" t="str">
            <v>EUR</v>
          </cell>
          <cell r="N357">
            <v>212.98</v>
          </cell>
          <cell r="O357">
            <v>106.49</v>
          </cell>
          <cell r="P357">
            <v>2</v>
          </cell>
          <cell r="Q357">
            <v>2</v>
          </cell>
          <cell r="R357">
            <v>0</v>
          </cell>
        </row>
        <row r="358">
          <cell r="A358" t="str">
            <v>54U7COBYB07G6MYMKD</v>
          </cell>
          <cell r="B358" t="str">
            <v>Q1-23</v>
          </cell>
          <cell r="C358" t="str">
            <v>Europe Operations OU</v>
          </cell>
          <cell r="D358">
            <v>2674345</v>
          </cell>
          <cell r="E358" t="str">
            <v>Amazon EU SARL, succursale Italiana</v>
          </cell>
          <cell r="F358" t="str">
            <v>54U7COBY</v>
          </cell>
          <cell r="G358" t="str">
            <v>B07G6MYMKD</v>
          </cell>
          <cell r="H358" t="str">
            <v>984-001402</v>
          </cell>
          <cell r="I358" t="str">
            <v>OE INVOICES</v>
          </cell>
          <cell r="J358">
            <v>44421952267</v>
          </cell>
          <cell r="K358">
            <v>44672</v>
          </cell>
          <cell r="L358">
            <v>18</v>
          </cell>
          <cell r="M358" t="str">
            <v>EUR</v>
          </cell>
          <cell r="N358">
            <v>22788.86</v>
          </cell>
          <cell r="O358">
            <v>106.49</v>
          </cell>
          <cell r="P358">
            <v>214</v>
          </cell>
          <cell r="Q358">
            <v>214</v>
          </cell>
          <cell r="R358">
            <v>0</v>
          </cell>
        </row>
        <row r="359">
          <cell r="A359" t="str">
            <v>54U7COBYB07GDYYN38</v>
          </cell>
          <cell r="B359" t="str">
            <v>Q1-23</v>
          </cell>
          <cell r="C359" t="str">
            <v>Europe Operations OU</v>
          </cell>
          <cell r="D359">
            <v>2674345</v>
          </cell>
          <cell r="E359" t="str">
            <v>Amazon EU SARL, succursale Italiana</v>
          </cell>
          <cell r="F359" t="str">
            <v>54U7COBY</v>
          </cell>
          <cell r="G359" t="str">
            <v>B07GDYYN38</v>
          </cell>
          <cell r="H359" t="str">
            <v>910-005489</v>
          </cell>
          <cell r="I359" t="str">
            <v>OE INVOICES</v>
          </cell>
          <cell r="J359">
            <v>44421952267</v>
          </cell>
          <cell r="K359">
            <v>44672</v>
          </cell>
          <cell r="L359">
            <v>19</v>
          </cell>
          <cell r="M359" t="str">
            <v>EUR</v>
          </cell>
          <cell r="N359">
            <v>263.39999999999998</v>
          </cell>
          <cell r="O359">
            <v>8.7799999999999994</v>
          </cell>
          <cell r="P359">
            <v>30</v>
          </cell>
          <cell r="Q359">
            <v>30</v>
          </cell>
          <cell r="R359">
            <v>0</v>
          </cell>
        </row>
        <row r="360">
          <cell r="A360" t="str">
            <v>54U7COBYB07GS6ZS8J</v>
          </cell>
          <cell r="B360" t="str">
            <v>Q1-23</v>
          </cell>
          <cell r="C360" t="str">
            <v>Europe Operations OU</v>
          </cell>
          <cell r="D360">
            <v>2674345</v>
          </cell>
          <cell r="E360" t="str">
            <v>Amazon EU SARL, succursale Italiana</v>
          </cell>
          <cell r="F360" t="str">
            <v>54U7COBY</v>
          </cell>
          <cell r="G360" t="str">
            <v>B07GS6ZS8J</v>
          </cell>
          <cell r="H360" t="str">
            <v>910-005470</v>
          </cell>
          <cell r="I360" t="str">
            <v>OE INVOICES</v>
          </cell>
          <cell r="J360">
            <v>44421952267</v>
          </cell>
          <cell r="K360">
            <v>44672</v>
          </cell>
          <cell r="L360">
            <v>20</v>
          </cell>
          <cell r="M360" t="str">
            <v>EUR</v>
          </cell>
          <cell r="N360">
            <v>8926.24</v>
          </cell>
          <cell r="O360">
            <v>47.48</v>
          </cell>
          <cell r="P360">
            <v>188</v>
          </cell>
          <cell r="Q360">
            <v>188</v>
          </cell>
          <cell r="R360">
            <v>0</v>
          </cell>
        </row>
        <row r="361">
          <cell r="A361" t="str">
            <v>54U7COBYB07H3HGVDW</v>
          </cell>
          <cell r="B361" t="str">
            <v>Q1-23</v>
          </cell>
          <cell r="C361" t="str">
            <v>Europe Operations OU</v>
          </cell>
          <cell r="D361">
            <v>2674345</v>
          </cell>
          <cell r="E361" t="str">
            <v>Amazon EU SARL, succursale Italiana</v>
          </cell>
          <cell r="F361" t="str">
            <v>54U7COBY</v>
          </cell>
          <cell r="G361" t="str">
            <v>B07H3HGVDW</v>
          </cell>
          <cell r="H361" t="str">
            <v>914-000034</v>
          </cell>
          <cell r="I361" t="str">
            <v>OE INVOICES</v>
          </cell>
          <cell r="J361">
            <v>44421952267</v>
          </cell>
          <cell r="K361">
            <v>44672</v>
          </cell>
          <cell r="L361">
            <v>21</v>
          </cell>
          <cell r="M361" t="str">
            <v>EUR</v>
          </cell>
          <cell r="N361">
            <v>514.32000000000005</v>
          </cell>
          <cell r="O361">
            <v>42.86</v>
          </cell>
          <cell r="P361">
            <v>12</v>
          </cell>
          <cell r="Q361">
            <v>12</v>
          </cell>
          <cell r="R361">
            <v>0</v>
          </cell>
        </row>
        <row r="362">
          <cell r="A362" t="str">
            <v>54U7COBYB07MTY7N22</v>
          </cell>
          <cell r="B362" t="str">
            <v>Q1-23</v>
          </cell>
          <cell r="C362" t="str">
            <v>Europe Operations OU</v>
          </cell>
          <cell r="D362">
            <v>2674345</v>
          </cell>
          <cell r="E362" t="str">
            <v>Amazon EU SARL, succursale Italiana</v>
          </cell>
          <cell r="F362" t="str">
            <v>54U7COBY</v>
          </cell>
          <cell r="G362" t="str">
            <v>B07MTY7N22</v>
          </cell>
          <cell r="H362" t="str">
            <v>981-000744</v>
          </cell>
          <cell r="I362" t="str">
            <v>OE INVOICES</v>
          </cell>
          <cell r="J362">
            <v>44421955106</v>
          </cell>
          <cell r="K362">
            <v>44677</v>
          </cell>
          <cell r="L362">
            <v>3</v>
          </cell>
          <cell r="M362" t="str">
            <v>EUR</v>
          </cell>
          <cell r="N362">
            <v>3191.04</v>
          </cell>
          <cell r="O362">
            <v>99.72</v>
          </cell>
          <cell r="P362">
            <v>32</v>
          </cell>
          <cell r="Q362">
            <v>32</v>
          </cell>
          <cell r="R362">
            <v>0</v>
          </cell>
        </row>
        <row r="363">
          <cell r="A363" t="str">
            <v>54U7COBYB07W4DG827</v>
          </cell>
          <cell r="B363" t="str">
            <v>Q1-23</v>
          </cell>
          <cell r="C363" t="str">
            <v>Europe Operations OU</v>
          </cell>
          <cell r="D363">
            <v>2674345</v>
          </cell>
          <cell r="E363" t="str">
            <v>Amazon EU SARL, succursale Italiana</v>
          </cell>
          <cell r="F363" t="str">
            <v>54U7COBY</v>
          </cell>
          <cell r="G363" t="str">
            <v>B07W4DG827</v>
          </cell>
          <cell r="H363" t="str">
            <v>910-006520</v>
          </cell>
          <cell r="I363" t="str">
            <v>OE INVOICES</v>
          </cell>
          <cell r="J363">
            <v>44421952267</v>
          </cell>
          <cell r="K363">
            <v>44672</v>
          </cell>
          <cell r="L363">
            <v>22</v>
          </cell>
          <cell r="M363" t="str">
            <v>EUR</v>
          </cell>
          <cell r="N363">
            <v>234.24</v>
          </cell>
          <cell r="O363">
            <v>29.28</v>
          </cell>
          <cell r="P363">
            <v>8</v>
          </cell>
          <cell r="Q363">
            <v>8</v>
          </cell>
          <cell r="R363">
            <v>0</v>
          </cell>
        </row>
        <row r="364">
          <cell r="A364" t="str">
            <v>54U7COBYB07W4DGCMV</v>
          </cell>
          <cell r="B364" t="str">
            <v>Q1-23</v>
          </cell>
          <cell r="C364" t="str">
            <v>Europe Operations OU</v>
          </cell>
          <cell r="D364">
            <v>2674345</v>
          </cell>
          <cell r="E364" t="str">
            <v>Amazon EU SARL, succursale Italiana</v>
          </cell>
          <cell r="F364" t="str">
            <v>54U7COBY</v>
          </cell>
          <cell r="G364" t="str">
            <v>B07W4DGCMV</v>
          </cell>
          <cell r="H364" t="str">
            <v>920-009865</v>
          </cell>
          <cell r="I364" t="str">
            <v>OE INVOICES</v>
          </cell>
          <cell r="J364">
            <v>44421952267</v>
          </cell>
          <cell r="K364">
            <v>44672</v>
          </cell>
          <cell r="L364">
            <v>23</v>
          </cell>
          <cell r="M364" t="str">
            <v>EUR</v>
          </cell>
          <cell r="N364">
            <v>234.24</v>
          </cell>
          <cell r="O364">
            <v>29.28</v>
          </cell>
          <cell r="P364">
            <v>8</v>
          </cell>
          <cell r="Q364">
            <v>8</v>
          </cell>
          <cell r="R364">
            <v>0</v>
          </cell>
        </row>
        <row r="365">
          <cell r="A365" t="str">
            <v>54U7COBYB07W4DGLJX</v>
          </cell>
          <cell r="B365" t="str">
            <v>Q1-23</v>
          </cell>
          <cell r="C365" t="str">
            <v>Europe Operations OU</v>
          </cell>
          <cell r="D365">
            <v>2674345</v>
          </cell>
          <cell r="E365" t="str">
            <v>Amazon EU SARL, succursale Italiana</v>
          </cell>
          <cell r="F365" t="str">
            <v>54U7COBY</v>
          </cell>
          <cell r="G365" t="str">
            <v>B07W4DGLJX</v>
          </cell>
          <cell r="H365" t="str">
            <v>920-009197</v>
          </cell>
          <cell r="I365" t="str">
            <v>OE INVOICES</v>
          </cell>
          <cell r="J365">
            <v>44421952267</v>
          </cell>
          <cell r="K365">
            <v>44672</v>
          </cell>
          <cell r="L365">
            <v>24</v>
          </cell>
          <cell r="M365" t="str">
            <v>EUR</v>
          </cell>
          <cell r="N365">
            <v>281.04000000000002</v>
          </cell>
          <cell r="O365">
            <v>35.130000000000003</v>
          </cell>
          <cell r="P365">
            <v>8</v>
          </cell>
          <cell r="Q365">
            <v>8</v>
          </cell>
          <cell r="R365">
            <v>0</v>
          </cell>
        </row>
        <row r="366">
          <cell r="A366" t="str">
            <v>54U7COBYB07W4DHMVB</v>
          </cell>
          <cell r="B366" t="str">
            <v>Q1-23</v>
          </cell>
          <cell r="C366" t="str">
            <v>Europe Operations OU</v>
          </cell>
          <cell r="D366">
            <v>2674345</v>
          </cell>
          <cell r="E366" t="str">
            <v>Amazon EU SARL, succursale Italiana</v>
          </cell>
          <cell r="F366" t="str">
            <v>54U7COBY</v>
          </cell>
          <cell r="G366" t="str">
            <v>B07W4DHMVB</v>
          </cell>
          <cell r="H366" t="str">
            <v>981-001074</v>
          </cell>
          <cell r="I366" t="str">
            <v>OE INVOICES</v>
          </cell>
          <cell r="J366">
            <v>44421952267</v>
          </cell>
          <cell r="K366">
            <v>44672</v>
          </cell>
          <cell r="L366">
            <v>25</v>
          </cell>
          <cell r="M366" t="str">
            <v>EUR</v>
          </cell>
          <cell r="N366">
            <v>168.8</v>
          </cell>
          <cell r="O366">
            <v>42.2</v>
          </cell>
          <cell r="P366">
            <v>4</v>
          </cell>
          <cell r="Q366">
            <v>4</v>
          </cell>
          <cell r="R366">
            <v>0</v>
          </cell>
        </row>
        <row r="367">
          <cell r="A367" t="str">
            <v>54U7COBYB07W4DHNFZ</v>
          </cell>
          <cell r="B367" t="str">
            <v>Q1-23</v>
          </cell>
          <cell r="C367" t="str">
            <v>Europe Operations OU</v>
          </cell>
          <cell r="D367">
            <v>2674345</v>
          </cell>
          <cell r="E367" t="str">
            <v>Amazon EU SARL, succursale Italiana</v>
          </cell>
          <cell r="F367" t="str">
            <v>54U7COBY</v>
          </cell>
          <cell r="G367" t="str">
            <v>B07W4DHNFZ</v>
          </cell>
          <cell r="H367" t="str">
            <v>910-006438</v>
          </cell>
          <cell r="I367" t="str">
            <v>OE INVOICES</v>
          </cell>
          <cell r="J367">
            <v>44421952267</v>
          </cell>
          <cell r="K367">
            <v>44672</v>
          </cell>
          <cell r="L367">
            <v>26</v>
          </cell>
          <cell r="M367" t="str">
            <v>EUR</v>
          </cell>
          <cell r="N367">
            <v>678</v>
          </cell>
          <cell r="O367">
            <v>33.9</v>
          </cell>
          <cell r="P367">
            <v>20</v>
          </cell>
          <cell r="Q367">
            <v>20</v>
          </cell>
          <cell r="R367">
            <v>0</v>
          </cell>
        </row>
        <row r="368">
          <cell r="A368" t="str">
            <v>54U7COBYB07W4DHZLS</v>
          </cell>
          <cell r="B368" t="str">
            <v>Q1-23</v>
          </cell>
          <cell r="C368" t="str">
            <v>Europe Operations OU</v>
          </cell>
          <cell r="D368">
            <v>2674345</v>
          </cell>
          <cell r="E368" t="str">
            <v>Amazon EU SARL, succursale Italiana</v>
          </cell>
          <cell r="F368" t="str">
            <v>54U7COBY</v>
          </cell>
          <cell r="G368" t="str">
            <v>B07W4DHZLS</v>
          </cell>
          <cell r="H368" t="str">
            <v>920-010041</v>
          </cell>
          <cell r="I368" t="str">
            <v>OE INVOICES</v>
          </cell>
          <cell r="J368">
            <v>44421952267</v>
          </cell>
          <cell r="K368">
            <v>44672</v>
          </cell>
          <cell r="L368">
            <v>27</v>
          </cell>
          <cell r="M368" t="str">
            <v>EUR</v>
          </cell>
          <cell r="N368">
            <v>649.6</v>
          </cell>
          <cell r="O368">
            <v>40.6</v>
          </cell>
          <cell r="P368">
            <v>16</v>
          </cell>
          <cell r="Q368">
            <v>16</v>
          </cell>
          <cell r="R368">
            <v>0</v>
          </cell>
        </row>
        <row r="369">
          <cell r="A369" t="str">
            <v>54U7COBYB07W5JHF5D</v>
          </cell>
          <cell r="B369" t="str">
            <v>Q1-23</v>
          </cell>
          <cell r="C369" t="str">
            <v>Europe Operations OU</v>
          </cell>
          <cell r="D369">
            <v>2674345</v>
          </cell>
          <cell r="E369" t="str">
            <v>Amazon EU SARL, succursale Italiana</v>
          </cell>
          <cell r="F369" t="str">
            <v>54U7COBY</v>
          </cell>
          <cell r="G369" t="str">
            <v>B07W5JHF5D</v>
          </cell>
          <cell r="H369" t="str">
            <v>920-009866</v>
          </cell>
          <cell r="I369" t="str">
            <v>OE INVOICES</v>
          </cell>
          <cell r="J369">
            <v>44421952267</v>
          </cell>
          <cell r="K369">
            <v>44672</v>
          </cell>
          <cell r="L369">
            <v>28</v>
          </cell>
          <cell r="M369" t="str">
            <v>EUR</v>
          </cell>
          <cell r="N369">
            <v>234.24</v>
          </cell>
          <cell r="O369">
            <v>29.28</v>
          </cell>
          <cell r="P369">
            <v>8</v>
          </cell>
          <cell r="Q369">
            <v>8</v>
          </cell>
          <cell r="R369">
            <v>0</v>
          </cell>
        </row>
        <row r="370">
          <cell r="A370" t="str">
            <v>54U7COBYB07W5JJP7R</v>
          </cell>
          <cell r="B370" t="str">
            <v>Q1-23</v>
          </cell>
          <cell r="C370" t="str">
            <v>Europe Operations OU</v>
          </cell>
          <cell r="D370">
            <v>2674345</v>
          </cell>
          <cell r="E370" t="str">
            <v>Amazon EU SARL, succursale Italiana</v>
          </cell>
          <cell r="F370" t="str">
            <v>54U7COBY</v>
          </cell>
          <cell r="G370" t="str">
            <v>B07W5JJP7R</v>
          </cell>
          <cell r="H370" t="str">
            <v>920-009626</v>
          </cell>
          <cell r="I370" t="str">
            <v>OE INVOICES</v>
          </cell>
          <cell r="J370">
            <v>44421952267</v>
          </cell>
          <cell r="K370">
            <v>44672</v>
          </cell>
          <cell r="L370">
            <v>29</v>
          </cell>
          <cell r="M370" t="str">
            <v>EUR</v>
          </cell>
          <cell r="N370">
            <v>6263.28</v>
          </cell>
          <cell r="O370">
            <v>86.99</v>
          </cell>
          <cell r="P370">
            <v>72</v>
          </cell>
          <cell r="Q370">
            <v>72</v>
          </cell>
          <cell r="R370">
            <v>0</v>
          </cell>
        </row>
        <row r="371">
          <cell r="A371" t="str">
            <v>54U7COBYB07W5JK2S4</v>
          </cell>
          <cell r="B371" t="str">
            <v>Q1-23</v>
          </cell>
          <cell r="C371" t="str">
            <v>Europe Operations OU</v>
          </cell>
          <cell r="D371">
            <v>2674345</v>
          </cell>
          <cell r="E371" t="str">
            <v>Amazon EU SARL, succursale Italiana</v>
          </cell>
          <cell r="F371" t="str">
            <v>54U7COBY</v>
          </cell>
          <cell r="G371" t="str">
            <v>B07W5JK2S4</v>
          </cell>
          <cell r="H371" t="str">
            <v>920-010812</v>
          </cell>
          <cell r="I371" t="str">
            <v>OE INVOICES</v>
          </cell>
          <cell r="J371">
            <v>44421952267</v>
          </cell>
          <cell r="K371">
            <v>44672</v>
          </cell>
          <cell r="L371">
            <v>30</v>
          </cell>
          <cell r="M371" t="str">
            <v>EUR</v>
          </cell>
          <cell r="N371">
            <v>510.48</v>
          </cell>
          <cell r="O371">
            <v>63.81</v>
          </cell>
          <cell r="P371">
            <v>8</v>
          </cell>
          <cell r="Q371">
            <v>8</v>
          </cell>
          <cell r="R371">
            <v>0</v>
          </cell>
        </row>
        <row r="372">
          <cell r="A372" t="str">
            <v>54U7COBYB07W5JK53T</v>
          </cell>
          <cell r="B372" t="str">
            <v>Q1-23</v>
          </cell>
          <cell r="C372" t="str">
            <v>Europe Operations OU</v>
          </cell>
          <cell r="D372">
            <v>2674345</v>
          </cell>
          <cell r="E372" t="str">
            <v>Amazon EU SARL, succursale Italiana</v>
          </cell>
          <cell r="F372" t="str">
            <v>54U7COBY</v>
          </cell>
          <cell r="G372" t="str">
            <v>B07W5JK53T</v>
          </cell>
          <cell r="H372" t="str">
            <v>981-000990</v>
          </cell>
          <cell r="I372" t="str">
            <v>OE INVOICES</v>
          </cell>
          <cell r="J372">
            <v>44421952267</v>
          </cell>
          <cell r="K372">
            <v>44672</v>
          </cell>
          <cell r="L372">
            <v>31</v>
          </cell>
          <cell r="M372" t="str">
            <v>EUR</v>
          </cell>
          <cell r="N372">
            <v>314.48</v>
          </cell>
          <cell r="O372">
            <v>78.62</v>
          </cell>
          <cell r="P372">
            <v>4</v>
          </cell>
          <cell r="Q372">
            <v>4</v>
          </cell>
          <cell r="R372">
            <v>0</v>
          </cell>
        </row>
        <row r="373">
          <cell r="A373" t="str">
            <v>54U7COBYB07W6FNF6N</v>
          </cell>
          <cell r="B373" t="str">
            <v>Q1-23</v>
          </cell>
          <cell r="C373" t="str">
            <v>Europe Operations OU</v>
          </cell>
          <cell r="D373">
            <v>2674345</v>
          </cell>
          <cell r="E373" t="str">
            <v>Amazon EU SARL, succursale Italiana</v>
          </cell>
          <cell r="F373" t="str">
            <v>54U7COBY</v>
          </cell>
          <cell r="G373" t="str">
            <v>B07W6FNF6N</v>
          </cell>
          <cell r="H373" t="str">
            <v>920-009841</v>
          </cell>
          <cell r="I373" t="str">
            <v>OE INVOICES</v>
          </cell>
          <cell r="J373">
            <v>44421952267</v>
          </cell>
          <cell r="K373">
            <v>44672</v>
          </cell>
          <cell r="L373">
            <v>32</v>
          </cell>
          <cell r="M373" t="str">
            <v>EUR</v>
          </cell>
          <cell r="N373">
            <v>301.64</v>
          </cell>
          <cell r="O373">
            <v>75.41</v>
          </cell>
          <cell r="P373">
            <v>4</v>
          </cell>
          <cell r="Q373">
            <v>4</v>
          </cell>
          <cell r="R373">
            <v>0</v>
          </cell>
        </row>
        <row r="374">
          <cell r="A374" t="str">
            <v>54U7COBYB07W6FQ658</v>
          </cell>
          <cell r="B374" t="str">
            <v>Q1-23</v>
          </cell>
          <cell r="C374" t="str">
            <v>Europe Operations OU</v>
          </cell>
          <cell r="D374">
            <v>2674345</v>
          </cell>
          <cell r="E374" t="str">
            <v>Amazon EU SARL, succursale Italiana</v>
          </cell>
          <cell r="F374" t="str">
            <v>54U7COBY</v>
          </cell>
          <cell r="G374" t="str">
            <v>B07W6FQ658</v>
          </cell>
          <cell r="H374" t="str">
            <v>981-000883</v>
          </cell>
          <cell r="I374" t="str">
            <v>OE INVOICES</v>
          </cell>
          <cell r="J374">
            <v>44421955106</v>
          </cell>
          <cell r="K374">
            <v>44677</v>
          </cell>
          <cell r="L374">
            <v>4</v>
          </cell>
          <cell r="M374" t="str">
            <v>EUR</v>
          </cell>
          <cell r="N374">
            <v>9434.4</v>
          </cell>
          <cell r="O374">
            <v>78.62</v>
          </cell>
          <cell r="P374">
            <v>120</v>
          </cell>
          <cell r="Q374">
            <v>120</v>
          </cell>
          <cell r="R374">
            <v>0</v>
          </cell>
        </row>
        <row r="375">
          <cell r="A375" t="str">
            <v>54U7COBYB07W6G822T</v>
          </cell>
          <cell r="B375" t="str">
            <v>Q1-23</v>
          </cell>
          <cell r="C375" t="str">
            <v>Europe Operations OU</v>
          </cell>
          <cell r="D375">
            <v>2674345</v>
          </cell>
          <cell r="E375" t="str">
            <v>Amazon EU SARL, succursale Italiana</v>
          </cell>
          <cell r="F375" t="str">
            <v>54U7COBY</v>
          </cell>
          <cell r="G375" t="str">
            <v>B07W6G822T</v>
          </cell>
          <cell r="H375" t="str">
            <v>910-006253</v>
          </cell>
          <cell r="I375" t="str">
            <v>OE INVOICES</v>
          </cell>
          <cell r="J375">
            <v>44421952267</v>
          </cell>
          <cell r="K375">
            <v>44672</v>
          </cell>
          <cell r="L375">
            <v>33</v>
          </cell>
          <cell r="M375" t="str">
            <v>EUR</v>
          </cell>
          <cell r="N375">
            <v>263.5</v>
          </cell>
          <cell r="O375">
            <v>26.35</v>
          </cell>
          <cell r="P375">
            <v>10</v>
          </cell>
          <cell r="Q375">
            <v>10</v>
          </cell>
          <cell r="R375">
            <v>0</v>
          </cell>
        </row>
        <row r="376">
          <cell r="A376" t="str">
            <v>54U7COBYB07W6GFKXS</v>
          </cell>
          <cell r="B376" t="str">
            <v>Q1-23</v>
          </cell>
          <cell r="C376" t="str">
            <v>Europe Operations OU</v>
          </cell>
          <cell r="D376">
            <v>2674345</v>
          </cell>
          <cell r="E376" t="str">
            <v>Amazon EU SARL, succursale Italiana</v>
          </cell>
          <cell r="F376" t="str">
            <v>54U7COBY</v>
          </cell>
          <cell r="G376" t="str">
            <v>B07W6GFKXS</v>
          </cell>
          <cell r="H376" t="str">
            <v>910-005853</v>
          </cell>
          <cell r="I376" t="str">
            <v>OE INVOICES</v>
          </cell>
          <cell r="J376">
            <v>44421955106</v>
          </cell>
          <cell r="K376">
            <v>44677</v>
          </cell>
          <cell r="L376">
            <v>5</v>
          </cell>
          <cell r="M376" t="str">
            <v>EUR</v>
          </cell>
          <cell r="N376">
            <v>1181.5999999999999</v>
          </cell>
          <cell r="O376">
            <v>21.1</v>
          </cell>
          <cell r="P376">
            <v>56</v>
          </cell>
          <cell r="Q376">
            <v>56</v>
          </cell>
          <cell r="R376">
            <v>0</v>
          </cell>
        </row>
        <row r="377">
          <cell r="A377" t="str">
            <v>54U7COBYB07W6HVXXN</v>
          </cell>
          <cell r="B377" t="str">
            <v>Q1-23</v>
          </cell>
          <cell r="C377" t="str">
            <v>Europe Operations OU</v>
          </cell>
          <cell r="D377">
            <v>2674345</v>
          </cell>
          <cell r="E377" t="str">
            <v>Amazon EU SARL, succursale Italiana</v>
          </cell>
          <cell r="F377" t="str">
            <v>54U7COBY</v>
          </cell>
          <cell r="G377" t="str">
            <v>B07W6HVXXN</v>
          </cell>
          <cell r="H377" t="str">
            <v>920-009404</v>
          </cell>
          <cell r="I377" t="str">
            <v>OE INVOICES</v>
          </cell>
          <cell r="J377">
            <v>44421952267</v>
          </cell>
          <cell r="K377">
            <v>44672</v>
          </cell>
          <cell r="L377">
            <v>34</v>
          </cell>
          <cell r="M377" t="str">
            <v>EUR</v>
          </cell>
          <cell r="N377">
            <v>7471.32</v>
          </cell>
          <cell r="O377">
            <v>81.209999999999994</v>
          </cell>
          <cell r="P377">
            <v>92</v>
          </cell>
          <cell r="Q377">
            <v>92</v>
          </cell>
          <cell r="R377">
            <v>0</v>
          </cell>
        </row>
        <row r="378">
          <cell r="A378" t="str">
            <v>54U7COBYB07W6J51XR</v>
          </cell>
          <cell r="B378" t="str">
            <v>Q1-23</v>
          </cell>
          <cell r="C378" t="str">
            <v>Europe Operations OU</v>
          </cell>
          <cell r="D378">
            <v>2674345</v>
          </cell>
          <cell r="E378" t="str">
            <v>Amazon EU SARL, succursale Italiana</v>
          </cell>
          <cell r="F378" t="str">
            <v>54U7COBY</v>
          </cell>
          <cell r="G378" t="str">
            <v>B07W6J51XR</v>
          </cell>
          <cell r="H378" t="str">
            <v>910-005942</v>
          </cell>
          <cell r="I378" t="str">
            <v>OE INVOICES</v>
          </cell>
          <cell r="J378">
            <v>44421952267</v>
          </cell>
          <cell r="K378">
            <v>44672</v>
          </cell>
          <cell r="L378">
            <v>35</v>
          </cell>
          <cell r="M378" t="str">
            <v>EUR</v>
          </cell>
          <cell r="N378">
            <v>335.56</v>
          </cell>
          <cell r="O378">
            <v>83.89</v>
          </cell>
          <cell r="P378">
            <v>4</v>
          </cell>
          <cell r="Q378">
            <v>4</v>
          </cell>
          <cell r="R378">
            <v>0</v>
          </cell>
        </row>
        <row r="379">
          <cell r="A379" t="str">
            <v>54U7COBYB07W6JKL78</v>
          </cell>
          <cell r="B379" t="str">
            <v>Q1-23</v>
          </cell>
          <cell r="C379" t="str">
            <v>Europe Operations OU</v>
          </cell>
          <cell r="D379">
            <v>2674345</v>
          </cell>
          <cell r="E379" t="str">
            <v>Amazon EU SARL, succursale Italiana</v>
          </cell>
          <cell r="F379" t="str">
            <v>54U7COBY</v>
          </cell>
          <cell r="G379" t="str">
            <v>B07W6JKL78</v>
          </cell>
          <cell r="H379" t="str">
            <v>910-005650</v>
          </cell>
          <cell r="I379" t="str">
            <v>OE INVOICES</v>
          </cell>
          <cell r="J379">
            <v>44421952267</v>
          </cell>
          <cell r="K379">
            <v>44672</v>
          </cell>
          <cell r="L379">
            <v>36</v>
          </cell>
          <cell r="M379" t="str">
            <v>EUR</v>
          </cell>
          <cell r="N379">
            <v>1055.2</v>
          </cell>
          <cell r="O379">
            <v>52.76</v>
          </cell>
          <cell r="P379">
            <v>20</v>
          </cell>
          <cell r="Q379">
            <v>20</v>
          </cell>
          <cell r="R379">
            <v>0</v>
          </cell>
        </row>
        <row r="380">
          <cell r="A380" t="str">
            <v>54U7COBYB07W6JNG13</v>
          </cell>
          <cell r="B380" t="str">
            <v>Q1-23</v>
          </cell>
          <cell r="C380" t="str">
            <v>Europe Operations OU</v>
          </cell>
          <cell r="D380">
            <v>2674345</v>
          </cell>
          <cell r="E380" t="str">
            <v>Amazon EU SARL, succursale Italiana</v>
          </cell>
          <cell r="F380" t="str">
            <v>54U7COBY</v>
          </cell>
          <cell r="G380" t="str">
            <v>B07W6JNG13</v>
          </cell>
          <cell r="H380" t="str">
            <v>981-000943</v>
          </cell>
          <cell r="I380" t="str">
            <v>OE INVOICES</v>
          </cell>
          <cell r="J380">
            <v>44421952267</v>
          </cell>
          <cell r="K380">
            <v>44672</v>
          </cell>
          <cell r="L380">
            <v>37</v>
          </cell>
          <cell r="M380" t="str">
            <v>EUR</v>
          </cell>
          <cell r="N380">
            <v>943.44</v>
          </cell>
          <cell r="O380">
            <v>78.62</v>
          </cell>
          <cell r="P380">
            <v>12</v>
          </cell>
          <cell r="Q380">
            <v>12</v>
          </cell>
          <cell r="R380">
            <v>0</v>
          </cell>
        </row>
        <row r="381">
          <cell r="A381" t="str">
            <v>54U7COBYB07W7KBRHZ</v>
          </cell>
          <cell r="B381" t="str">
            <v>Q1-23</v>
          </cell>
          <cell r="C381" t="str">
            <v>Europe Operations OU</v>
          </cell>
          <cell r="D381">
            <v>2674345</v>
          </cell>
          <cell r="E381" t="str">
            <v>Amazon EU SARL, succursale Italiana</v>
          </cell>
          <cell r="F381" t="str">
            <v>54U7COBY</v>
          </cell>
          <cell r="G381" t="str">
            <v>B07W7KBRHZ</v>
          </cell>
          <cell r="H381" t="str">
            <v>943-000285</v>
          </cell>
          <cell r="I381" t="str">
            <v>OE INVOICES</v>
          </cell>
          <cell r="J381">
            <v>44421952267</v>
          </cell>
          <cell r="K381">
            <v>44672</v>
          </cell>
          <cell r="L381">
            <v>38</v>
          </cell>
          <cell r="M381" t="str">
            <v>EUR</v>
          </cell>
          <cell r="N381">
            <v>442.56</v>
          </cell>
          <cell r="O381">
            <v>27.66</v>
          </cell>
          <cell r="P381">
            <v>16</v>
          </cell>
          <cell r="Q381">
            <v>16</v>
          </cell>
          <cell r="R381">
            <v>0</v>
          </cell>
        </row>
        <row r="382">
          <cell r="A382" t="str">
            <v>54U7COBYB07W7KMK4Y</v>
          </cell>
          <cell r="B382" t="str">
            <v>Q1-23</v>
          </cell>
          <cell r="C382" t="str">
            <v>Europe Operations OU</v>
          </cell>
          <cell r="D382">
            <v>2674345</v>
          </cell>
          <cell r="E382" t="str">
            <v>Amazon EU SARL, succursale Italiana</v>
          </cell>
          <cell r="F382" t="str">
            <v>54U7COBY</v>
          </cell>
          <cell r="G382" t="str">
            <v>B07W7KMK4Y</v>
          </cell>
          <cell r="H382" t="str">
            <v>920-010488</v>
          </cell>
          <cell r="I382" t="str">
            <v>OE INVOICES</v>
          </cell>
          <cell r="J382">
            <v>44421952267</v>
          </cell>
          <cell r="K382">
            <v>44672</v>
          </cell>
          <cell r="L382">
            <v>39</v>
          </cell>
          <cell r="M382" t="str">
            <v>EUR</v>
          </cell>
          <cell r="N382">
            <v>1020.96</v>
          </cell>
          <cell r="O382">
            <v>63.81</v>
          </cell>
          <cell r="P382">
            <v>16</v>
          </cell>
          <cell r="Q382">
            <v>16</v>
          </cell>
          <cell r="R382">
            <v>0</v>
          </cell>
        </row>
        <row r="383">
          <cell r="A383" t="str">
            <v>54U7COBYB07W7KTTMZ</v>
          </cell>
          <cell r="B383" t="str">
            <v>Q1-23</v>
          </cell>
          <cell r="C383" t="str">
            <v>Europe Operations OU</v>
          </cell>
          <cell r="D383">
            <v>2674345</v>
          </cell>
          <cell r="E383" t="str">
            <v>Amazon EU SARL, succursale Italiana</v>
          </cell>
          <cell r="F383" t="str">
            <v>54U7COBY</v>
          </cell>
          <cell r="G383" t="str">
            <v>B07W7KTTMZ</v>
          </cell>
          <cell r="H383" t="str">
            <v>920-010489</v>
          </cell>
          <cell r="I383" t="str">
            <v>OE INVOICES</v>
          </cell>
          <cell r="J383">
            <v>44421952267</v>
          </cell>
          <cell r="K383">
            <v>44672</v>
          </cell>
          <cell r="L383">
            <v>40</v>
          </cell>
          <cell r="M383" t="str">
            <v>EUR</v>
          </cell>
          <cell r="N383">
            <v>510.48</v>
          </cell>
          <cell r="O383">
            <v>63.81</v>
          </cell>
          <cell r="P383">
            <v>8</v>
          </cell>
          <cell r="Q383">
            <v>8</v>
          </cell>
          <cell r="R383">
            <v>0</v>
          </cell>
        </row>
        <row r="384">
          <cell r="A384" t="str">
            <v>54U7COBYB07W7L3DSX</v>
          </cell>
          <cell r="B384" t="str">
            <v>Q1-23</v>
          </cell>
          <cell r="C384" t="str">
            <v>Europe Operations OU</v>
          </cell>
          <cell r="D384">
            <v>2674345</v>
          </cell>
          <cell r="E384" t="str">
            <v>Amazon EU SARL, succursale Italiana</v>
          </cell>
          <cell r="F384" t="str">
            <v>54U7COBY</v>
          </cell>
          <cell r="G384" t="str">
            <v>B07W7L3DSX</v>
          </cell>
          <cell r="H384" t="str">
            <v>920-010399</v>
          </cell>
          <cell r="I384" t="str">
            <v>OE INVOICES</v>
          </cell>
          <cell r="J384">
            <v>44421952267</v>
          </cell>
          <cell r="K384">
            <v>44672</v>
          </cell>
          <cell r="L384">
            <v>41</v>
          </cell>
          <cell r="M384" t="str">
            <v>EUR</v>
          </cell>
          <cell r="N384">
            <v>234.24</v>
          </cell>
          <cell r="O384">
            <v>29.28</v>
          </cell>
          <cell r="P384">
            <v>8</v>
          </cell>
          <cell r="Q384">
            <v>8</v>
          </cell>
          <cell r="R384">
            <v>0</v>
          </cell>
        </row>
        <row r="385">
          <cell r="A385" t="str">
            <v>54U7COBYB07W7L62FX</v>
          </cell>
          <cell r="B385" t="str">
            <v>Q1-23</v>
          </cell>
          <cell r="C385" t="str">
            <v>Europe Operations OU</v>
          </cell>
          <cell r="D385">
            <v>2674345</v>
          </cell>
          <cell r="E385" t="str">
            <v>Amazon EU SARL, succursale Italiana</v>
          </cell>
          <cell r="F385" t="str">
            <v>54U7COBY</v>
          </cell>
          <cell r="G385" t="str">
            <v>B07W7L62FX</v>
          </cell>
          <cell r="H385" t="str">
            <v>920-010220</v>
          </cell>
          <cell r="I385" t="str">
            <v>OE INVOICES</v>
          </cell>
          <cell r="J385">
            <v>44421952267</v>
          </cell>
          <cell r="K385">
            <v>44672</v>
          </cell>
          <cell r="L385">
            <v>42</v>
          </cell>
          <cell r="M385" t="str">
            <v>EUR</v>
          </cell>
          <cell r="N385">
            <v>1067.3599999999999</v>
          </cell>
          <cell r="O385">
            <v>133.41999999999999</v>
          </cell>
          <cell r="P385">
            <v>8</v>
          </cell>
          <cell r="Q385">
            <v>8</v>
          </cell>
          <cell r="R385">
            <v>0</v>
          </cell>
        </row>
        <row r="386">
          <cell r="A386" t="str">
            <v>54U7COBYB07W7LQDX7</v>
          </cell>
          <cell r="B386" t="str">
            <v>Q1-23</v>
          </cell>
          <cell r="C386" t="str">
            <v>Europe Operations OU</v>
          </cell>
          <cell r="D386">
            <v>2674345</v>
          </cell>
          <cell r="E386" t="str">
            <v>Amazon EU SARL, succursale Italiana</v>
          </cell>
          <cell r="F386" t="str">
            <v>54U7COBY</v>
          </cell>
          <cell r="G386" t="str">
            <v>B07W7LQDX7</v>
          </cell>
          <cell r="H386" t="str">
            <v>920-009520</v>
          </cell>
          <cell r="I386" t="str">
            <v>OE INVOICES</v>
          </cell>
          <cell r="J386">
            <v>44421952267</v>
          </cell>
          <cell r="K386">
            <v>44672</v>
          </cell>
          <cell r="L386">
            <v>43</v>
          </cell>
          <cell r="M386" t="str">
            <v>EUR</v>
          </cell>
          <cell r="N386">
            <v>483.32</v>
          </cell>
          <cell r="O386">
            <v>120.83</v>
          </cell>
          <cell r="P386">
            <v>4</v>
          </cell>
          <cell r="Q386">
            <v>4</v>
          </cell>
          <cell r="R386">
            <v>0</v>
          </cell>
        </row>
        <row r="387">
          <cell r="A387" t="str">
            <v>57D297ZKB0056C69DO</v>
          </cell>
          <cell r="B387" t="str">
            <v>Q1-23</v>
          </cell>
          <cell r="C387" t="str">
            <v>Europe Operations OU</v>
          </cell>
          <cell r="D387">
            <v>2674345</v>
          </cell>
          <cell r="E387" t="str">
            <v>Amazon EU SARL, succursale Italiana</v>
          </cell>
          <cell r="F387" t="str">
            <v>57D297ZK</v>
          </cell>
          <cell r="G387" t="str">
            <v>B0056C69DO</v>
          </cell>
          <cell r="H387" t="str">
            <v>920-002517</v>
          </cell>
          <cell r="I387" t="str">
            <v>OE INVOICES</v>
          </cell>
          <cell r="J387">
            <v>44421973849</v>
          </cell>
          <cell r="K387">
            <v>44699</v>
          </cell>
          <cell r="L387">
            <v>1</v>
          </cell>
          <cell r="M387" t="str">
            <v>EUR</v>
          </cell>
          <cell r="N387">
            <v>738</v>
          </cell>
          <cell r="O387">
            <v>8.1999999999999993</v>
          </cell>
          <cell r="P387">
            <v>90</v>
          </cell>
          <cell r="Q387">
            <v>90</v>
          </cell>
          <cell r="R387">
            <v>0</v>
          </cell>
        </row>
        <row r="388">
          <cell r="A388" t="str">
            <v>57D297ZKB011N78DMA</v>
          </cell>
          <cell r="B388" t="str">
            <v>Q1-23</v>
          </cell>
          <cell r="C388" t="str">
            <v>Europe Operations OU</v>
          </cell>
          <cell r="D388">
            <v>2674345</v>
          </cell>
          <cell r="E388" t="str">
            <v>Amazon EU SARL, succursale Italiana</v>
          </cell>
          <cell r="F388" t="str">
            <v>57D297ZK</v>
          </cell>
          <cell r="G388" t="str">
            <v>B011N78DMA</v>
          </cell>
          <cell r="H388" t="str">
            <v>941-000123</v>
          </cell>
          <cell r="I388" t="str">
            <v>OE INVOICES</v>
          </cell>
          <cell r="J388">
            <v>44421973849</v>
          </cell>
          <cell r="K388">
            <v>44699</v>
          </cell>
          <cell r="L388">
            <v>2</v>
          </cell>
          <cell r="M388" t="str">
            <v>EUR</v>
          </cell>
          <cell r="N388">
            <v>21052</v>
          </cell>
          <cell r="O388">
            <v>210.52</v>
          </cell>
          <cell r="P388">
            <v>100</v>
          </cell>
          <cell r="Q388">
            <v>100</v>
          </cell>
          <cell r="R388">
            <v>0</v>
          </cell>
        </row>
        <row r="389">
          <cell r="A389" t="str">
            <v>57D297ZKB01C47ZFLK</v>
          </cell>
          <cell r="B389" t="str">
            <v>Q1-23</v>
          </cell>
          <cell r="C389" t="str">
            <v>Europe Operations OU</v>
          </cell>
          <cell r="D389">
            <v>2674345</v>
          </cell>
          <cell r="E389" t="str">
            <v>Amazon EU SARL, succursale Italiana</v>
          </cell>
          <cell r="F389" t="str">
            <v>57D297ZK</v>
          </cell>
          <cell r="G389" t="str">
            <v>B01C47ZFLK</v>
          </cell>
          <cell r="H389" t="str">
            <v>920-007913</v>
          </cell>
          <cell r="I389" t="str">
            <v>OE INVOICES</v>
          </cell>
          <cell r="J389">
            <v>44421973849</v>
          </cell>
          <cell r="K389">
            <v>44699</v>
          </cell>
          <cell r="L389">
            <v>3</v>
          </cell>
          <cell r="M389" t="str">
            <v>EUR</v>
          </cell>
          <cell r="N389">
            <v>328</v>
          </cell>
          <cell r="O389">
            <v>20.5</v>
          </cell>
          <cell r="P389">
            <v>16</v>
          </cell>
          <cell r="Q389">
            <v>16</v>
          </cell>
          <cell r="R389">
            <v>0</v>
          </cell>
        </row>
        <row r="390">
          <cell r="A390" t="str">
            <v>57D297ZKB01ENKI4D2</v>
          </cell>
          <cell r="B390" t="str">
            <v>Q1-23</v>
          </cell>
          <cell r="C390" t="str">
            <v>Europe Operations OU</v>
          </cell>
          <cell r="D390">
            <v>2674345</v>
          </cell>
          <cell r="E390" t="str">
            <v>Amazon EU SARL, succursale Italiana</v>
          </cell>
          <cell r="F390" t="str">
            <v>57D297ZK</v>
          </cell>
          <cell r="G390" t="str">
            <v>B01ENKI4D2</v>
          </cell>
          <cell r="H390" t="str">
            <v>920-008159</v>
          </cell>
          <cell r="I390" t="str">
            <v>OE INVOICES</v>
          </cell>
          <cell r="J390">
            <v>44421973849</v>
          </cell>
          <cell r="K390">
            <v>44699</v>
          </cell>
          <cell r="L390">
            <v>4</v>
          </cell>
          <cell r="M390" t="str">
            <v>EUR</v>
          </cell>
          <cell r="N390">
            <v>175.6</v>
          </cell>
          <cell r="O390">
            <v>17.559999999999999</v>
          </cell>
          <cell r="P390">
            <v>10</v>
          </cell>
          <cell r="Q390">
            <v>10</v>
          </cell>
          <cell r="R390">
            <v>0</v>
          </cell>
        </row>
        <row r="391">
          <cell r="A391" t="str">
            <v>57D297ZKB01N6NGNQ8</v>
          </cell>
          <cell r="B391" t="str">
            <v>Q1-23</v>
          </cell>
          <cell r="C391" t="str">
            <v>Europe Operations OU</v>
          </cell>
          <cell r="D391">
            <v>2674345</v>
          </cell>
          <cell r="E391" t="str">
            <v>Amazon EU SARL, succursale Italiana</v>
          </cell>
          <cell r="F391" t="str">
            <v>57D297ZK</v>
          </cell>
          <cell r="G391" t="str">
            <v>B01N6NGNQ8</v>
          </cell>
          <cell r="H391" t="str">
            <v>920-008227</v>
          </cell>
          <cell r="I391" t="str">
            <v>OE INVOICES</v>
          </cell>
          <cell r="J391">
            <v>44421973849</v>
          </cell>
          <cell r="K391">
            <v>44699</v>
          </cell>
          <cell r="L391">
            <v>5</v>
          </cell>
          <cell r="M391" t="str">
            <v>EUR</v>
          </cell>
          <cell r="N391">
            <v>301.64</v>
          </cell>
          <cell r="O391">
            <v>75.41</v>
          </cell>
          <cell r="P391">
            <v>4</v>
          </cell>
          <cell r="Q391">
            <v>4</v>
          </cell>
          <cell r="R391">
            <v>0</v>
          </cell>
        </row>
        <row r="392">
          <cell r="A392" t="str">
            <v>57D297ZKB07W5JK4LF</v>
          </cell>
          <cell r="B392" t="str">
            <v>Q1-23</v>
          </cell>
          <cell r="C392" t="str">
            <v>Europe Operations OU</v>
          </cell>
          <cell r="D392">
            <v>2674345</v>
          </cell>
          <cell r="E392" t="str">
            <v>Amazon EU SARL, succursale Italiana</v>
          </cell>
          <cell r="F392" t="str">
            <v>57D297ZK</v>
          </cell>
          <cell r="G392" t="str">
            <v>B07W5JK4LF</v>
          </cell>
          <cell r="H392" t="str">
            <v>920-009797</v>
          </cell>
          <cell r="I392" t="str">
            <v>OE INVOICES</v>
          </cell>
          <cell r="J392">
            <v>44421973849</v>
          </cell>
          <cell r="K392">
            <v>44699</v>
          </cell>
          <cell r="L392">
            <v>6</v>
          </cell>
          <cell r="M392" t="str">
            <v>EUR</v>
          </cell>
          <cell r="N392">
            <v>13276.2</v>
          </cell>
          <cell r="O392">
            <v>20.3</v>
          </cell>
          <cell r="P392">
            <v>654</v>
          </cell>
          <cell r="Q392">
            <v>654</v>
          </cell>
          <cell r="R392">
            <v>0</v>
          </cell>
        </row>
        <row r="393">
          <cell r="A393" t="str">
            <v>57D297ZKB07W6JNQ82</v>
          </cell>
          <cell r="B393" t="str">
            <v>Q1-23</v>
          </cell>
          <cell r="C393" t="str">
            <v>Europe Operations OU</v>
          </cell>
          <cell r="D393">
            <v>2674345</v>
          </cell>
          <cell r="E393" t="str">
            <v>Amazon EU SARL, succursale Italiana</v>
          </cell>
          <cell r="F393" t="str">
            <v>57D297ZK</v>
          </cell>
          <cell r="G393" t="str">
            <v>B07W6JNQ82</v>
          </cell>
          <cell r="H393" t="str">
            <v>920-009392</v>
          </cell>
          <cell r="I393" t="str">
            <v>OE INVOICES</v>
          </cell>
          <cell r="J393">
            <v>44421973849</v>
          </cell>
          <cell r="K393">
            <v>44699</v>
          </cell>
          <cell r="L393">
            <v>7</v>
          </cell>
          <cell r="M393" t="str">
            <v>EUR</v>
          </cell>
          <cell r="N393">
            <v>1361.2</v>
          </cell>
          <cell r="O393">
            <v>68.06</v>
          </cell>
          <cell r="P393">
            <v>20</v>
          </cell>
          <cell r="Q393">
            <v>20</v>
          </cell>
          <cell r="R393">
            <v>0</v>
          </cell>
        </row>
        <row r="394">
          <cell r="A394" t="str">
            <v>59PBXDMUB07MTY7N22</v>
          </cell>
          <cell r="B394" t="str">
            <v>Q1-23</v>
          </cell>
          <cell r="C394" t="str">
            <v>Europe Operations OU</v>
          </cell>
          <cell r="D394">
            <v>2674345</v>
          </cell>
          <cell r="E394" t="str">
            <v>Amazon EU SARL, succursale Italiana</v>
          </cell>
          <cell r="F394" t="str">
            <v>59PBXDMU</v>
          </cell>
          <cell r="G394" t="str">
            <v>B07MTY7N22</v>
          </cell>
          <cell r="H394" t="str">
            <v>981-000744</v>
          </cell>
          <cell r="I394" t="str">
            <v>OE INVOICES</v>
          </cell>
          <cell r="J394">
            <v>44421955099</v>
          </cell>
          <cell r="K394">
            <v>44677</v>
          </cell>
          <cell r="L394">
            <v>1</v>
          </cell>
          <cell r="M394" t="str">
            <v>EUR</v>
          </cell>
          <cell r="N394">
            <v>6382.08</v>
          </cell>
          <cell r="O394">
            <v>99.72</v>
          </cell>
          <cell r="P394">
            <v>64</v>
          </cell>
          <cell r="Q394">
            <v>64</v>
          </cell>
          <cell r="R394">
            <v>0</v>
          </cell>
        </row>
        <row r="395">
          <cell r="A395" t="str">
            <v>5DN5PI5YB003PAMIA2</v>
          </cell>
          <cell r="B395" t="str">
            <v>Q1-23</v>
          </cell>
          <cell r="C395" t="str">
            <v>Europe Operations OU</v>
          </cell>
          <cell r="D395">
            <v>2674345</v>
          </cell>
          <cell r="E395" t="str">
            <v>Amazon EU SARL, succursale Italiana</v>
          </cell>
          <cell r="F395" t="str">
            <v>5DN5PI5Y</v>
          </cell>
          <cell r="G395" t="str">
            <v>B003PAMIA2</v>
          </cell>
          <cell r="H395" t="str">
            <v>920-002489</v>
          </cell>
          <cell r="I395" t="str">
            <v>OE INVOICES</v>
          </cell>
          <cell r="J395">
            <v>44421976485</v>
          </cell>
          <cell r="K395">
            <v>44704</v>
          </cell>
          <cell r="L395">
            <v>1</v>
          </cell>
          <cell r="M395" t="str">
            <v>EUR</v>
          </cell>
          <cell r="N395">
            <v>298.5</v>
          </cell>
          <cell r="O395">
            <v>9.9499999999999993</v>
          </cell>
          <cell r="P395">
            <v>30</v>
          </cell>
          <cell r="Q395">
            <v>30</v>
          </cell>
          <cell r="R395">
            <v>0</v>
          </cell>
        </row>
        <row r="396">
          <cell r="A396" t="str">
            <v>5DN5PI5YB003PO22H2</v>
          </cell>
          <cell r="B396" t="str">
            <v>Q1-23</v>
          </cell>
          <cell r="C396" t="str">
            <v>Europe Operations OU</v>
          </cell>
          <cell r="D396">
            <v>2674345</v>
          </cell>
          <cell r="E396" t="str">
            <v>Amazon EU SARL, succursale Italiana</v>
          </cell>
          <cell r="F396" t="str">
            <v>5DN5PI5Y</v>
          </cell>
          <cell r="G396" t="str">
            <v>B003PO22H2</v>
          </cell>
          <cell r="H396" t="str">
            <v>920-002501</v>
          </cell>
          <cell r="I396" t="str">
            <v>OE INVOICES</v>
          </cell>
          <cell r="J396">
            <v>44421976485</v>
          </cell>
          <cell r="K396">
            <v>44704</v>
          </cell>
          <cell r="L396">
            <v>2</v>
          </cell>
          <cell r="M396" t="str">
            <v>EUR</v>
          </cell>
          <cell r="N396">
            <v>298.5</v>
          </cell>
          <cell r="O396">
            <v>9.9499999999999993</v>
          </cell>
          <cell r="P396">
            <v>30</v>
          </cell>
          <cell r="Q396">
            <v>30</v>
          </cell>
          <cell r="R396">
            <v>0</v>
          </cell>
        </row>
        <row r="397">
          <cell r="A397" t="str">
            <v>5DN5PI5YB004APAH40</v>
          </cell>
          <cell r="B397" t="str">
            <v>Q1-23</v>
          </cell>
          <cell r="C397" t="str">
            <v>Europe Operations OU</v>
          </cell>
          <cell r="D397">
            <v>2674345</v>
          </cell>
          <cell r="E397" t="str">
            <v>Amazon EU SARL, succursale Italiana</v>
          </cell>
          <cell r="F397" t="str">
            <v>5DN5PI5Y</v>
          </cell>
          <cell r="G397" t="str">
            <v>B004APAH40</v>
          </cell>
          <cell r="H397" t="str">
            <v>920-002492</v>
          </cell>
          <cell r="I397" t="str">
            <v>OE INVOICES</v>
          </cell>
          <cell r="J397">
            <v>44421981598</v>
          </cell>
          <cell r="K397">
            <v>44711</v>
          </cell>
          <cell r="L397">
            <v>1</v>
          </cell>
          <cell r="M397" t="str">
            <v>EUR</v>
          </cell>
          <cell r="N397">
            <v>298.5</v>
          </cell>
          <cell r="O397">
            <v>9.9499999999999993</v>
          </cell>
          <cell r="P397">
            <v>30</v>
          </cell>
          <cell r="Q397">
            <v>30</v>
          </cell>
          <cell r="R397">
            <v>0</v>
          </cell>
        </row>
        <row r="398">
          <cell r="A398" t="str">
            <v>5DN5PI5YB004CM47VU</v>
          </cell>
          <cell r="B398" t="str">
            <v>Q1-23</v>
          </cell>
          <cell r="C398" t="str">
            <v>Europe Operations OU</v>
          </cell>
          <cell r="D398">
            <v>2674345</v>
          </cell>
          <cell r="E398" t="str">
            <v>Amazon EU SARL, succursale Italiana</v>
          </cell>
          <cell r="F398" t="str">
            <v>5DN5PI5Y</v>
          </cell>
          <cell r="G398" t="str">
            <v>B004CM47VU</v>
          </cell>
          <cell r="H398" t="str">
            <v>920-002543</v>
          </cell>
          <cell r="I398" t="str">
            <v>OE INVOICES</v>
          </cell>
          <cell r="J398">
            <v>44421976485</v>
          </cell>
          <cell r="K398">
            <v>44704</v>
          </cell>
          <cell r="L398">
            <v>3</v>
          </cell>
          <cell r="M398" t="str">
            <v>EUR</v>
          </cell>
          <cell r="N398">
            <v>585.6</v>
          </cell>
          <cell r="O398">
            <v>14.64</v>
          </cell>
          <cell r="P398">
            <v>40</v>
          </cell>
          <cell r="Q398">
            <v>40</v>
          </cell>
          <cell r="R398">
            <v>0</v>
          </cell>
        </row>
        <row r="399">
          <cell r="A399" t="str">
            <v>5DN5PI5YB0056C69DO</v>
          </cell>
          <cell r="B399" t="str">
            <v>Q1-23</v>
          </cell>
          <cell r="C399" t="str">
            <v>Europe Operations OU</v>
          </cell>
          <cell r="D399">
            <v>2674345</v>
          </cell>
          <cell r="E399" t="str">
            <v>Amazon EU SARL, succursale Italiana</v>
          </cell>
          <cell r="F399" t="str">
            <v>5DN5PI5Y</v>
          </cell>
          <cell r="G399" t="str">
            <v>B0056C69DO</v>
          </cell>
          <cell r="H399" t="str">
            <v>920-002517</v>
          </cell>
          <cell r="I399" t="str">
            <v>OE INVOICES</v>
          </cell>
          <cell r="J399">
            <v>44421976485</v>
          </cell>
          <cell r="K399">
            <v>44704</v>
          </cell>
          <cell r="L399">
            <v>4</v>
          </cell>
          <cell r="M399" t="str">
            <v>EUR</v>
          </cell>
          <cell r="N399">
            <v>82</v>
          </cell>
          <cell r="O399">
            <v>8.1999999999999993</v>
          </cell>
          <cell r="P399">
            <v>10</v>
          </cell>
          <cell r="Q399">
            <v>10</v>
          </cell>
          <cell r="R399">
            <v>0</v>
          </cell>
        </row>
        <row r="400">
          <cell r="A400" t="str">
            <v>5DN5PI5YB0078M385M</v>
          </cell>
          <cell r="B400" t="str">
            <v>Q1-23</v>
          </cell>
          <cell r="C400" t="str">
            <v>Europe Operations OU</v>
          </cell>
          <cell r="D400">
            <v>2674345</v>
          </cell>
          <cell r="E400" t="str">
            <v>Amazon EU SARL, succursale Italiana</v>
          </cell>
          <cell r="F400" t="str">
            <v>5DN5PI5Y</v>
          </cell>
          <cell r="G400" t="str">
            <v>B0078M385M</v>
          </cell>
          <cell r="H400" t="str">
            <v>920-003748</v>
          </cell>
          <cell r="I400" t="str">
            <v>OE INVOICES</v>
          </cell>
          <cell r="J400">
            <v>44421976485</v>
          </cell>
          <cell r="K400">
            <v>44704</v>
          </cell>
          <cell r="L400">
            <v>5</v>
          </cell>
          <cell r="M400" t="str">
            <v>EUR</v>
          </cell>
          <cell r="N400">
            <v>82</v>
          </cell>
          <cell r="O400">
            <v>20.5</v>
          </cell>
          <cell r="P400">
            <v>4</v>
          </cell>
          <cell r="Q400">
            <v>4</v>
          </cell>
          <cell r="R400">
            <v>0</v>
          </cell>
        </row>
        <row r="401">
          <cell r="A401" t="str">
            <v>5DN5PI5YB007C0YQLA</v>
          </cell>
          <cell r="B401" t="str">
            <v>Q1-23</v>
          </cell>
          <cell r="C401" t="str">
            <v>Europe Operations OU</v>
          </cell>
          <cell r="D401">
            <v>2674345</v>
          </cell>
          <cell r="E401" t="str">
            <v>Amazon EU SARL, succursale Italiana</v>
          </cell>
          <cell r="F401" t="str">
            <v>5DN5PI5Y</v>
          </cell>
          <cell r="G401" t="str">
            <v>B007C0YQLA</v>
          </cell>
          <cell r="H401" t="str">
            <v>920-002563</v>
          </cell>
          <cell r="I401" t="str">
            <v>OE INVOICES</v>
          </cell>
          <cell r="J401">
            <v>44421976485</v>
          </cell>
          <cell r="K401">
            <v>44704</v>
          </cell>
          <cell r="L401">
            <v>6</v>
          </cell>
          <cell r="M401" t="str">
            <v>EUR</v>
          </cell>
          <cell r="N401">
            <v>146.4</v>
          </cell>
          <cell r="O401">
            <v>14.64</v>
          </cell>
          <cell r="P401">
            <v>10</v>
          </cell>
          <cell r="Q401">
            <v>10</v>
          </cell>
          <cell r="R401">
            <v>0</v>
          </cell>
        </row>
        <row r="402">
          <cell r="A402" t="str">
            <v>5DN5PI5YB00BEFY1W8</v>
          </cell>
          <cell r="B402" t="str">
            <v>Q1-23</v>
          </cell>
          <cell r="C402" t="str">
            <v>Europe Operations OU</v>
          </cell>
          <cell r="D402">
            <v>2674345</v>
          </cell>
          <cell r="E402" t="str">
            <v>Amazon EU SARL, succursale Italiana</v>
          </cell>
          <cell r="F402" t="str">
            <v>5DN5PI5Y</v>
          </cell>
          <cell r="G402" t="str">
            <v>B00BEFY1W8</v>
          </cell>
          <cell r="H402" t="str">
            <v>920-004509</v>
          </cell>
          <cell r="I402" t="str">
            <v>OE INVOICES</v>
          </cell>
          <cell r="J402">
            <v>44421976485</v>
          </cell>
          <cell r="K402">
            <v>44704</v>
          </cell>
          <cell r="L402">
            <v>7</v>
          </cell>
          <cell r="M402" t="str">
            <v>EUR</v>
          </cell>
          <cell r="N402">
            <v>702.6</v>
          </cell>
          <cell r="O402">
            <v>23.42</v>
          </cell>
          <cell r="P402">
            <v>30</v>
          </cell>
          <cell r="Q402">
            <v>30</v>
          </cell>
          <cell r="R402">
            <v>0</v>
          </cell>
        </row>
        <row r="403">
          <cell r="A403" t="str">
            <v>5DN5PI5YB00BT8QIJ4</v>
          </cell>
          <cell r="B403" t="str">
            <v>Q1-23</v>
          </cell>
          <cell r="C403" t="str">
            <v>Europe Operations OU</v>
          </cell>
          <cell r="D403">
            <v>2674345</v>
          </cell>
          <cell r="E403" t="str">
            <v>Amazon EU SARL, succursale Italiana</v>
          </cell>
          <cell r="F403" t="str">
            <v>5DN5PI5Y</v>
          </cell>
          <cell r="G403" t="str">
            <v>B00BT8QIJ4</v>
          </cell>
          <cell r="H403" t="str">
            <v>920-002522</v>
          </cell>
          <cell r="I403" t="str">
            <v>OE INVOICES</v>
          </cell>
          <cell r="J403">
            <v>44421976485</v>
          </cell>
          <cell r="K403">
            <v>44704</v>
          </cell>
          <cell r="L403">
            <v>8</v>
          </cell>
          <cell r="M403" t="str">
            <v>EUR</v>
          </cell>
          <cell r="N403">
            <v>328</v>
          </cell>
          <cell r="O403">
            <v>8.1999999999999993</v>
          </cell>
          <cell r="P403">
            <v>40</v>
          </cell>
          <cell r="Q403">
            <v>40</v>
          </cell>
          <cell r="R403">
            <v>0</v>
          </cell>
        </row>
        <row r="404">
          <cell r="A404" t="str">
            <v>5DN5PI5YB00YUIM2J0</v>
          </cell>
          <cell r="B404" t="str">
            <v>Q1-23</v>
          </cell>
          <cell r="C404" t="str">
            <v>Europe Operations OU</v>
          </cell>
          <cell r="D404">
            <v>2674345</v>
          </cell>
          <cell r="E404" t="str">
            <v>Amazon EU SARL, succursale Italiana</v>
          </cell>
          <cell r="F404" t="str">
            <v>5DN5PI5Y</v>
          </cell>
          <cell r="G404" t="str">
            <v>B00YUIM2J0</v>
          </cell>
          <cell r="H404" t="str">
            <v>941-000112</v>
          </cell>
          <cell r="I404" t="str">
            <v>OE INVOICES</v>
          </cell>
          <cell r="J404">
            <v>44421976485</v>
          </cell>
          <cell r="K404">
            <v>44704</v>
          </cell>
          <cell r="L404">
            <v>9</v>
          </cell>
          <cell r="M404" t="str">
            <v>EUR</v>
          </cell>
          <cell r="N404">
            <v>18946.8</v>
          </cell>
          <cell r="O404">
            <v>210.52</v>
          </cell>
          <cell r="P404">
            <v>90</v>
          </cell>
          <cell r="Q404">
            <v>90</v>
          </cell>
          <cell r="R404">
            <v>0</v>
          </cell>
        </row>
        <row r="405">
          <cell r="A405" t="str">
            <v>5DN5PI5YB00YUOVBZK</v>
          </cell>
          <cell r="B405" t="str">
            <v>Q1-23</v>
          </cell>
          <cell r="C405" t="str">
            <v>Europe Operations OU</v>
          </cell>
          <cell r="D405">
            <v>2674345</v>
          </cell>
          <cell r="E405" t="str">
            <v>Amazon EU SARL, succursale Italiana</v>
          </cell>
          <cell r="F405" t="str">
            <v>5DN5PI5Y</v>
          </cell>
          <cell r="G405" t="str">
            <v>B00YUOVBZK</v>
          </cell>
          <cell r="H405" t="str">
            <v>941-000113</v>
          </cell>
          <cell r="I405" t="str">
            <v>OE INVOICES</v>
          </cell>
          <cell r="J405">
            <v>44421981598</v>
          </cell>
          <cell r="K405">
            <v>44711</v>
          </cell>
          <cell r="L405">
            <v>2</v>
          </cell>
          <cell r="M405" t="str">
            <v>EUR</v>
          </cell>
          <cell r="N405">
            <v>1052.5999999999999</v>
          </cell>
          <cell r="O405">
            <v>210.52</v>
          </cell>
          <cell r="P405">
            <v>5</v>
          </cell>
          <cell r="Q405">
            <v>5</v>
          </cell>
          <cell r="R405">
            <v>0</v>
          </cell>
        </row>
        <row r="406">
          <cell r="A406" t="str">
            <v>5DN5PI5YB01C47ZFLK</v>
          </cell>
          <cell r="B406" t="str">
            <v>Q1-23</v>
          </cell>
          <cell r="C406" t="str">
            <v>Europe Operations OU</v>
          </cell>
          <cell r="D406">
            <v>2674345</v>
          </cell>
          <cell r="E406" t="str">
            <v>Amazon EU SARL, succursale Italiana</v>
          </cell>
          <cell r="F406" t="str">
            <v>5DN5PI5Y</v>
          </cell>
          <cell r="G406" t="str">
            <v>B01C47ZFLK</v>
          </cell>
          <cell r="H406" t="str">
            <v>920-007913</v>
          </cell>
          <cell r="I406" t="str">
            <v>OE INVOICES</v>
          </cell>
          <cell r="J406">
            <v>44421976485</v>
          </cell>
          <cell r="K406">
            <v>44704</v>
          </cell>
          <cell r="L406">
            <v>10</v>
          </cell>
          <cell r="M406" t="str">
            <v>EUR</v>
          </cell>
          <cell r="N406">
            <v>164</v>
          </cell>
          <cell r="O406">
            <v>20.5</v>
          </cell>
          <cell r="P406">
            <v>8</v>
          </cell>
          <cell r="Q406">
            <v>8</v>
          </cell>
          <cell r="R406">
            <v>0</v>
          </cell>
        </row>
        <row r="407">
          <cell r="A407" t="str">
            <v>5DN5PI5YB01L6L45ES</v>
          </cell>
          <cell r="B407" t="str">
            <v>Q1-23</v>
          </cell>
          <cell r="C407" t="str">
            <v>Europe Operations OU</v>
          </cell>
          <cell r="D407">
            <v>2674345</v>
          </cell>
          <cell r="E407" t="str">
            <v>Amazon EU SARL, succursale Italiana</v>
          </cell>
          <cell r="F407" t="str">
            <v>5DN5PI5Y</v>
          </cell>
          <cell r="G407" t="str">
            <v>B01L6L45ES</v>
          </cell>
          <cell r="H407" t="str">
            <v>920-008088</v>
          </cell>
          <cell r="I407" t="str">
            <v>OE INVOICES</v>
          </cell>
          <cell r="J407">
            <v>44421976485</v>
          </cell>
          <cell r="K407">
            <v>44704</v>
          </cell>
          <cell r="L407">
            <v>11</v>
          </cell>
          <cell r="M407" t="str">
            <v>EUR</v>
          </cell>
          <cell r="N407">
            <v>168.8</v>
          </cell>
          <cell r="O407">
            <v>42.2</v>
          </cell>
          <cell r="P407">
            <v>4</v>
          </cell>
          <cell r="Q407">
            <v>4</v>
          </cell>
          <cell r="R407">
            <v>0</v>
          </cell>
        </row>
        <row r="408">
          <cell r="A408" t="str">
            <v>5DN5PI5YB01MT5WMMG</v>
          </cell>
          <cell r="B408" t="str">
            <v>Q1-23</v>
          </cell>
          <cell r="C408" t="str">
            <v>Europe Operations OU</v>
          </cell>
          <cell r="D408">
            <v>2674345</v>
          </cell>
          <cell r="E408" t="str">
            <v>Amazon EU SARL, succursale Italiana</v>
          </cell>
          <cell r="F408" t="str">
            <v>5DN5PI5Y</v>
          </cell>
          <cell r="G408" t="str">
            <v>B01MT5WMMG</v>
          </cell>
          <cell r="H408" t="str">
            <v>920-008221</v>
          </cell>
          <cell r="I408" t="str">
            <v>OE INVOICES</v>
          </cell>
          <cell r="J408">
            <v>44421976485</v>
          </cell>
          <cell r="K408">
            <v>44704</v>
          </cell>
          <cell r="L408">
            <v>12</v>
          </cell>
          <cell r="M408" t="str">
            <v>EUR</v>
          </cell>
          <cell r="N408">
            <v>1206.56</v>
          </cell>
          <cell r="O408">
            <v>75.41</v>
          </cell>
          <cell r="P408">
            <v>16</v>
          </cell>
          <cell r="Q408">
            <v>16</v>
          </cell>
          <cell r="R408">
            <v>0</v>
          </cell>
        </row>
        <row r="409">
          <cell r="A409" t="str">
            <v>5DN5PI5YB079VVQS1R</v>
          </cell>
          <cell r="B409" t="str">
            <v>Q1-23</v>
          </cell>
          <cell r="C409" t="str">
            <v>Europe Operations OU</v>
          </cell>
          <cell r="D409">
            <v>2674345</v>
          </cell>
          <cell r="E409" t="str">
            <v>Amazon EU SARL, succursale Italiana</v>
          </cell>
          <cell r="F409" t="str">
            <v>5DN5PI5Y</v>
          </cell>
          <cell r="G409" t="str">
            <v>B079VVQS1R</v>
          </cell>
          <cell r="H409" t="str">
            <v>980-001301</v>
          </cell>
          <cell r="I409" t="str">
            <v>OE INVOICES</v>
          </cell>
          <cell r="J409">
            <v>44421981598</v>
          </cell>
          <cell r="K409">
            <v>44711</v>
          </cell>
          <cell r="L409">
            <v>3</v>
          </cell>
          <cell r="M409" t="str">
            <v>EUR</v>
          </cell>
          <cell r="N409">
            <v>1313.8</v>
          </cell>
          <cell r="O409">
            <v>131.38</v>
          </cell>
          <cell r="P409">
            <v>10</v>
          </cell>
          <cell r="Q409">
            <v>10</v>
          </cell>
          <cell r="R409">
            <v>0</v>
          </cell>
        </row>
        <row r="410">
          <cell r="A410" t="str">
            <v>5DN5PI5YB07JBCLNM1</v>
          </cell>
          <cell r="B410" t="str">
            <v>Q1-23</v>
          </cell>
          <cell r="C410" t="str">
            <v>Europe Operations OU</v>
          </cell>
          <cell r="D410">
            <v>2674345</v>
          </cell>
          <cell r="E410" t="str">
            <v>Amazon EU SARL, succursale Italiana</v>
          </cell>
          <cell r="F410" t="str">
            <v>5DN5PI5Y</v>
          </cell>
          <cell r="G410" t="str">
            <v>B07JBCLNM1</v>
          </cell>
          <cell r="H410" t="str">
            <v>980-001316</v>
          </cell>
          <cell r="I410" t="str">
            <v>OE INVOICES</v>
          </cell>
          <cell r="J410">
            <v>44421981598</v>
          </cell>
          <cell r="K410">
            <v>44711</v>
          </cell>
          <cell r="L410">
            <v>4</v>
          </cell>
          <cell r="M410" t="str">
            <v>EUR</v>
          </cell>
          <cell r="N410">
            <v>2694.24</v>
          </cell>
          <cell r="O410">
            <v>74.84</v>
          </cell>
          <cell r="P410">
            <v>36</v>
          </cell>
          <cell r="Q410">
            <v>36</v>
          </cell>
          <cell r="R410">
            <v>0</v>
          </cell>
        </row>
        <row r="411">
          <cell r="A411" t="str">
            <v>5DN5PI5YB07W1NZXRB</v>
          </cell>
          <cell r="B411" t="str">
            <v>Q1-23</v>
          </cell>
          <cell r="C411" t="str">
            <v>Europe Operations OU</v>
          </cell>
          <cell r="D411">
            <v>2674345</v>
          </cell>
          <cell r="E411" t="str">
            <v>Amazon EU SARL, succursale Italiana</v>
          </cell>
          <cell r="F411" t="str">
            <v>5DN5PI5Y</v>
          </cell>
          <cell r="G411" t="str">
            <v>B07W1NZXRB</v>
          </cell>
          <cell r="H411" t="str">
            <v>920-008910</v>
          </cell>
          <cell r="I411" t="str">
            <v>OE INVOICES</v>
          </cell>
          <cell r="J411">
            <v>44421981598</v>
          </cell>
          <cell r="K411">
            <v>44711</v>
          </cell>
          <cell r="L411">
            <v>5</v>
          </cell>
          <cell r="M411" t="str">
            <v>EUR</v>
          </cell>
          <cell r="N411">
            <v>1051.04</v>
          </cell>
          <cell r="O411">
            <v>131.38</v>
          </cell>
          <cell r="P411">
            <v>8</v>
          </cell>
          <cell r="Q411">
            <v>8</v>
          </cell>
          <cell r="R411">
            <v>0</v>
          </cell>
        </row>
        <row r="412">
          <cell r="A412" t="str">
            <v>5DN5PI5YB07W7KJC28</v>
          </cell>
          <cell r="B412" t="str">
            <v>Q1-23</v>
          </cell>
          <cell r="C412" t="str">
            <v>Europe Operations OU</v>
          </cell>
          <cell r="D412">
            <v>2674345</v>
          </cell>
          <cell r="E412" t="str">
            <v>Amazon EU SARL, succursale Italiana</v>
          </cell>
          <cell r="F412" t="str">
            <v>5DN5PI5Y</v>
          </cell>
          <cell r="G412" t="str">
            <v>B07W7KJC28</v>
          </cell>
          <cell r="H412" t="str">
            <v>920-009821</v>
          </cell>
          <cell r="I412" t="str">
            <v>OE INVOICES</v>
          </cell>
          <cell r="J412">
            <v>44421976485</v>
          </cell>
          <cell r="K412">
            <v>44704</v>
          </cell>
          <cell r="L412">
            <v>13</v>
          </cell>
          <cell r="M412" t="str">
            <v>EUR</v>
          </cell>
          <cell r="N412">
            <v>121.8</v>
          </cell>
          <cell r="O412">
            <v>20.3</v>
          </cell>
          <cell r="P412">
            <v>6</v>
          </cell>
          <cell r="Q412">
            <v>6</v>
          </cell>
          <cell r="R412">
            <v>0</v>
          </cell>
        </row>
        <row r="413">
          <cell r="A413" t="str">
            <v>5DW1164XB00544XFHC</v>
          </cell>
          <cell r="B413" t="str">
            <v>Q1-23</v>
          </cell>
          <cell r="C413" t="str">
            <v>Europe Operations OU</v>
          </cell>
          <cell r="D413">
            <v>2674345</v>
          </cell>
          <cell r="E413" t="str">
            <v>Amazon EU SARL, succursale Italiana</v>
          </cell>
          <cell r="F413" t="str">
            <v>5DW1164X</v>
          </cell>
          <cell r="G413" t="str">
            <v>B00544XFHC</v>
          </cell>
          <cell r="H413" t="str">
            <v>910-002240</v>
          </cell>
          <cell r="I413" t="str">
            <v>OE INVOICES</v>
          </cell>
          <cell r="J413">
            <v>44421952276</v>
          </cell>
          <cell r="K413">
            <v>44672</v>
          </cell>
          <cell r="L413">
            <v>1</v>
          </cell>
          <cell r="M413" t="str">
            <v>EUR</v>
          </cell>
          <cell r="N413">
            <v>99.5</v>
          </cell>
          <cell r="O413">
            <v>9.9499999999999993</v>
          </cell>
          <cell r="P413">
            <v>10</v>
          </cell>
          <cell r="Q413">
            <v>10</v>
          </cell>
          <cell r="R413">
            <v>0</v>
          </cell>
        </row>
        <row r="414">
          <cell r="A414" t="str">
            <v>5DW1164XB01K7GEG9W</v>
          </cell>
          <cell r="B414" t="str">
            <v>Q1-23</v>
          </cell>
          <cell r="C414" t="str">
            <v>Europe Operations OU</v>
          </cell>
          <cell r="D414">
            <v>2674345</v>
          </cell>
          <cell r="E414" t="str">
            <v>Amazon EU SARL, succursale Italiana</v>
          </cell>
          <cell r="F414" t="str">
            <v>5DW1164X</v>
          </cell>
          <cell r="G414" t="str">
            <v>B01K7GEG9W</v>
          </cell>
          <cell r="H414" t="str">
            <v>910-004878</v>
          </cell>
          <cell r="I414" t="str">
            <v>OE INVOICES</v>
          </cell>
          <cell r="J414">
            <v>44421952276</v>
          </cell>
          <cell r="K414">
            <v>44672</v>
          </cell>
          <cell r="L414">
            <v>2</v>
          </cell>
          <cell r="M414" t="str">
            <v>EUR</v>
          </cell>
          <cell r="N414">
            <v>30890.400000000001</v>
          </cell>
          <cell r="O414">
            <v>14.64</v>
          </cell>
          <cell r="P414">
            <v>2110</v>
          </cell>
          <cell r="Q414">
            <v>2110</v>
          </cell>
          <cell r="R414">
            <v>0</v>
          </cell>
        </row>
        <row r="415">
          <cell r="A415" t="str">
            <v>5DW1164XB01LCQTEXE</v>
          </cell>
          <cell r="B415" t="str">
            <v>Q1-23</v>
          </cell>
          <cell r="C415" t="str">
            <v>Europe Operations OU</v>
          </cell>
          <cell r="D415">
            <v>2674345</v>
          </cell>
          <cell r="E415" t="str">
            <v>Amazon EU SARL, succursale Italiana</v>
          </cell>
          <cell r="F415" t="str">
            <v>5DW1164X</v>
          </cell>
          <cell r="G415" t="str">
            <v>B01LCQTEXE</v>
          </cell>
          <cell r="H415" t="str">
            <v>910-004881</v>
          </cell>
          <cell r="I415" t="str">
            <v>OE INVOICES</v>
          </cell>
          <cell r="J415">
            <v>44421952276</v>
          </cell>
          <cell r="K415">
            <v>44672</v>
          </cell>
          <cell r="L415">
            <v>3</v>
          </cell>
          <cell r="M415" t="str">
            <v>EUR</v>
          </cell>
          <cell r="N415">
            <v>732</v>
          </cell>
          <cell r="O415">
            <v>14.64</v>
          </cell>
          <cell r="P415">
            <v>50</v>
          </cell>
          <cell r="Q415">
            <v>50</v>
          </cell>
          <cell r="R415">
            <v>0</v>
          </cell>
        </row>
        <row r="416">
          <cell r="A416" t="str">
            <v>5DW1164XB074PC6RH1</v>
          </cell>
          <cell r="B416" t="str">
            <v>Q1-23</v>
          </cell>
          <cell r="C416" t="str">
            <v>Europe Operations OU</v>
          </cell>
          <cell r="D416">
            <v>2674345</v>
          </cell>
          <cell r="E416" t="str">
            <v>Amazon EU SARL, succursale Italiana</v>
          </cell>
          <cell r="F416" t="str">
            <v>5DW1164X</v>
          </cell>
          <cell r="G416" t="str">
            <v>B074PC6RH1</v>
          </cell>
          <cell r="H416" t="str">
            <v>980-001293</v>
          </cell>
          <cell r="I416" t="str">
            <v>OE INVOICES</v>
          </cell>
          <cell r="J416">
            <v>44421949619</v>
          </cell>
          <cell r="K416">
            <v>44670</v>
          </cell>
          <cell r="L416">
            <v>1</v>
          </cell>
          <cell r="M416" t="str">
            <v>EUR</v>
          </cell>
          <cell r="N416">
            <v>163.96</v>
          </cell>
          <cell r="O416">
            <v>40.99</v>
          </cell>
          <cell r="P416">
            <v>4</v>
          </cell>
          <cell r="Q416">
            <v>4</v>
          </cell>
          <cell r="R416">
            <v>0</v>
          </cell>
        </row>
        <row r="417">
          <cell r="A417" t="str">
            <v>5DW1164XB07CGNDZR3</v>
          </cell>
          <cell r="B417" t="str">
            <v>Q1-23</v>
          </cell>
          <cell r="C417" t="str">
            <v>Europe Operations OU</v>
          </cell>
          <cell r="D417">
            <v>2674345</v>
          </cell>
          <cell r="E417" t="str">
            <v>Amazon EU SARL, succursale Italiana</v>
          </cell>
          <cell r="F417" t="str">
            <v>5DW1164X</v>
          </cell>
          <cell r="G417" t="str">
            <v>B07CGNDZR3</v>
          </cell>
          <cell r="H417" t="str">
            <v>910-005282</v>
          </cell>
          <cell r="I417" t="str">
            <v>OE INVOICES</v>
          </cell>
          <cell r="J417">
            <v>44421949619</v>
          </cell>
          <cell r="K417">
            <v>44670</v>
          </cell>
          <cell r="L417">
            <v>2</v>
          </cell>
          <cell r="M417" t="str">
            <v>EUR</v>
          </cell>
          <cell r="N417">
            <v>2278.8000000000002</v>
          </cell>
          <cell r="O417">
            <v>31.65</v>
          </cell>
          <cell r="P417">
            <v>72</v>
          </cell>
          <cell r="Q417">
            <v>72</v>
          </cell>
          <cell r="R417">
            <v>0</v>
          </cell>
        </row>
        <row r="418">
          <cell r="A418" t="str">
            <v>5EPWKXSHB004APAH40</v>
          </cell>
          <cell r="B418" t="str">
            <v>Q1-23</v>
          </cell>
          <cell r="C418" t="str">
            <v>Europe Operations OU</v>
          </cell>
          <cell r="D418">
            <v>2674345</v>
          </cell>
          <cell r="E418" t="str">
            <v>Amazon EU SARL, succursale Italiana</v>
          </cell>
          <cell r="F418" t="str">
            <v>5EPWKXSH</v>
          </cell>
          <cell r="G418" t="str">
            <v>B004APAH40</v>
          </cell>
          <cell r="H418" t="str">
            <v>920-002492</v>
          </cell>
          <cell r="I418" t="str">
            <v>OE INVOICES</v>
          </cell>
          <cell r="J418">
            <v>44421981318</v>
          </cell>
          <cell r="K418">
            <v>44711</v>
          </cell>
          <cell r="L418">
            <v>1</v>
          </cell>
          <cell r="M418" t="str">
            <v>EUR</v>
          </cell>
          <cell r="N418">
            <v>199</v>
          </cell>
          <cell r="O418">
            <v>9.9499999999999993</v>
          </cell>
          <cell r="P418">
            <v>20</v>
          </cell>
          <cell r="Q418">
            <v>20</v>
          </cell>
          <cell r="R418">
            <v>0</v>
          </cell>
        </row>
        <row r="419">
          <cell r="A419" t="str">
            <v>5EPWKXSHB004CM47VU</v>
          </cell>
          <cell r="B419" t="str">
            <v>Q1-23</v>
          </cell>
          <cell r="C419" t="str">
            <v>Europe Operations OU</v>
          </cell>
          <cell r="D419">
            <v>2674345</v>
          </cell>
          <cell r="E419" t="str">
            <v>Amazon EU SARL, succursale Italiana</v>
          </cell>
          <cell r="F419" t="str">
            <v>5EPWKXSH</v>
          </cell>
          <cell r="G419" t="str">
            <v>B004CM47VU</v>
          </cell>
          <cell r="H419" t="str">
            <v>920-002543</v>
          </cell>
          <cell r="I419" t="str">
            <v>OE INVOICES</v>
          </cell>
          <cell r="J419">
            <v>44421976095</v>
          </cell>
          <cell r="K419">
            <v>44704</v>
          </cell>
          <cell r="L419">
            <v>1</v>
          </cell>
          <cell r="M419" t="str">
            <v>EUR</v>
          </cell>
          <cell r="N419">
            <v>3513.6</v>
          </cell>
          <cell r="O419">
            <v>14.64</v>
          </cell>
          <cell r="P419">
            <v>240</v>
          </cell>
          <cell r="Q419">
            <v>240</v>
          </cell>
          <cell r="R419">
            <v>0</v>
          </cell>
        </row>
        <row r="420">
          <cell r="A420" t="str">
            <v>5EPWKXSHB013SL2050</v>
          </cell>
          <cell r="B420" t="str">
            <v>Q1-23</v>
          </cell>
          <cell r="C420" t="str">
            <v>Europe Operations OU</v>
          </cell>
          <cell r="D420">
            <v>2674345</v>
          </cell>
          <cell r="E420" t="str">
            <v>Amazon EU SARL, succursale Italiana</v>
          </cell>
          <cell r="F420" t="str">
            <v>5EPWKXSH</v>
          </cell>
          <cell r="G420" t="str">
            <v>B013SL2050</v>
          </cell>
          <cell r="H420" t="str">
            <v>920-007574</v>
          </cell>
          <cell r="I420" t="str">
            <v>OE INVOICES</v>
          </cell>
          <cell r="J420">
            <v>44421976095</v>
          </cell>
          <cell r="K420">
            <v>44704</v>
          </cell>
          <cell r="L420">
            <v>2</v>
          </cell>
          <cell r="M420" t="str">
            <v>EUR</v>
          </cell>
          <cell r="N420">
            <v>3045.12</v>
          </cell>
          <cell r="O420">
            <v>29.28</v>
          </cell>
          <cell r="P420">
            <v>104</v>
          </cell>
          <cell r="Q420">
            <v>104</v>
          </cell>
          <cell r="R420">
            <v>0</v>
          </cell>
        </row>
        <row r="421">
          <cell r="A421" t="str">
            <v>5EPWKXSHB01C47ZFLK</v>
          </cell>
          <cell r="B421" t="str">
            <v>Q1-23</v>
          </cell>
          <cell r="C421" t="str">
            <v>Europe Operations OU</v>
          </cell>
          <cell r="D421">
            <v>2674345</v>
          </cell>
          <cell r="E421" t="str">
            <v>Amazon EU SARL, succursale Italiana</v>
          </cell>
          <cell r="F421" t="str">
            <v>5EPWKXSH</v>
          </cell>
          <cell r="G421" t="str">
            <v>B01C47ZFLK</v>
          </cell>
          <cell r="H421" t="str">
            <v>920-007913</v>
          </cell>
          <cell r="I421" t="str">
            <v>OE INVOICES</v>
          </cell>
          <cell r="J421">
            <v>44421976095</v>
          </cell>
          <cell r="K421">
            <v>44704</v>
          </cell>
          <cell r="L421">
            <v>3</v>
          </cell>
          <cell r="M421" t="str">
            <v>EUR</v>
          </cell>
          <cell r="N421">
            <v>2624</v>
          </cell>
          <cell r="O421">
            <v>20.5</v>
          </cell>
          <cell r="P421">
            <v>128</v>
          </cell>
          <cell r="Q421">
            <v>128</v>
          </cell>
          <cell r="R421">
            <v>0</v>
          </cell>
        </row>
        <row r="422">
          <cell r="A422" t="str">
            <v>5EPWKXSHB01ENKI4D2</v>
          </cell>
          <cell r="B422" t="str">
            <v>Q1-23</v>
          </cell>
          <cell r="C422" t="str">
            <v>Europe Operations OU</v>
          </cell>
          <cell r="D422">
            <v>2674345</v>
          </cell>
          <cell r="E422" t="str">
            <v>Amazon EU SARL, succursale Italiana</v>
          </cell>
          <cell r="F422" t="str">
            <v>5EPWKXSH</v>
          </cell>
          <cell r="G422" t="str">
            <v>B01ENKI4D2</v>
          </cell>
          <cell r="H422" t="str">
            <v>920-008159</v>
          </cell>
          <cell r="I422" t="str">
            <v>OE INVOICES</v>
          </cell>
          <cell r="J422">
            <v>44421976095</v>
          </cell>
          <cell r="K422">
            <v>44704</v>
          </cell>
          <cell r="L422">
            <v>4</v>
          </cell>
          <cell r="M422" t="str">
            <v>EUR</v>
          </cell>
          <cell r="N422">
            <v>526.79999999999995</v>
          </cell>
          <cell r="O422">
            <v>17.559999999999999</v>
          </cell>
          <cell r="P422">
            <v>30</v>
          </cell>
          <cell r="Q422">
            <v>30</v>
          </cell>
          <cell r="R422">
            <v>0</v>
          </cell>
        </row>
        <row r="423">
          <cell r="A423" t="str">
            <v>5EPWKXSHB07W5JJP7D</v>
          </cell>
          <cell r="B423" t="str">
            <v>Q1-23</v>
          </cell>
          <cell r="C423" t="str">
            <v>Europe Operations OU</v>
          </cell>
          <cell r="D423">
            <v>2674345</v>
          </cell>
          <cell r="E423" t="str">
            <v>Amazon EU SARL, succursale Italiana</v>
          </cell>
          <cell r="F423" t="str">
            <v>5EPWKXSH</v>
          </cell>
          <cell r="G423" t="str">
            <v>B07W5JJP7D</v>
          </cell>
          <cell r="H423" t="str">
            <v>920-009343</v>
          </cell>
          <cell r="I423" t="str">
            <v>OE INVOICES</v>
          </cell>
          <cell r="J423">
            <v>44421976095</v>
          </cell>
          <cell r="K423">
            <v>44704</v>
          </cell>
          <cell r="L423">
            <v>5</v>
          </cell>
          <cell r="M423" t="str">
            <v>EUR</v>
          </cell>
          <cell r="N423">
            <v>1255.8</v>
          </cell>
          <cell r="O423">
            <v>62.79</v>
          </cell>
          <cell r="P423">
            <v>20</v>
          </cell>
          <cell r="Q423">
            <v>20</v>
          </cell>
          <cell r="R423">
            <v>0</v>
          </cell>
        </row>
        <row r="424">
          <cell r="A424" t="str">
            <v>5EPWKXSHB07W5JK4LF</v>
          </cell>
          <cell r="B424" t="str">
            <v>Q1-23</v>
          </cell>
          <cell r="C424" t="str">
            <v>Europe Operations OU</v>
          </cell>
          <cell r="D424">
            <v>2674345</v>
          </cell>
          <cell r="E424" t="str">
            <v>Amazon EU SARL, succursale Italiana</v>
          </cell>
          <cell r="F424" t="str">
            <v>5EPWKXSH</v>
          </cell>
          <cell r="G424" t="str">
            <v>B07W5JK4LF</v>
          </cell>
          <cell r="H424" t="str">
            <v>920-009797</v>
          </cell>
          <cell r="I424" t="str">
            <v>OE INVOICES</v>
          </cell>
          <cell r="J424">
            <v>44421976095</v>
          </cell>
          <cell r="K424">
            <v>44704</v>
          </cell>
          <cell r="L424">
            <v>6</v>
          </cell>
          <cell r="M424" t="str">
            <v>EUR</v>
          </cell>
          <cell r="N424">
            <v>4141.2</v>
          </cell>
          <cell r="O424">
            <v>20.3</v>
          </cell>
          <cell r="P424">
            <v>204</v>
          </cell>
          <cell r="Q424">
            <v>204</v>
          </cell>
          <cell r="R424">
            <v>0</v>
          </cell>
        </row>
        <row r="425">
          <cell r="A425" t="str">
            <v>5EPWKXSHB07W6GVS5C</v>
          </cell>
          <cell r="B425" t="str">
            <v>Q1-23</v>
          </cell>
          <cell r="C425" t="str">
            <v>Europe Operations OU</v>
          </cell>
          <cell r="D425">
            <v>2674345</v>
          </cell>
          <cell r="E425" t="str">
            <v>Amazon EU SARL, succursale Italiana</v>
          </cell>
          <cell r="F425" t="str">
            <v>5EPWKXSH</v>
          </cell>
          <cell r="G425" t="str">
            <v>B07W6GVS5C</v>
          </cell>
          <cell r="H425" t="str">
            <v>920-009439</v>
          </cell>
          <cell r="I425" t="str">
            <v>OE INVOICES</v>
          </cell>
          <cell r="J425">
            <v>44421976095</v>
          </cell>
          <cell r="K425">
            <v>44704</v>
          </cell>
          <cell r="L425">
            <v>7</v>
          </cell>
          <cell r="M425" t="str">
            <v>EUR</v>
          </cell>
          <cell r="N425">
            <v>13335.2</v>
          </cell>
          <cell r="O425">
            <v>42.2</v>
          </cell>
          <cell r="P425">
            <v>316</v>
          </cell>
          <cell r="Q425">
            <v>316</v>
          </cell>
          <cell r="R425">
            <v>0</v>
          </cell>
        </row>
        <row r="426">
          <cell r="A426" t="str">
            <v>5EPWKXSHB07W7KJC28</v>
          </cell>
          <cell r="B426" t="str">
            <v>Q1-23</v>
          </cell>
          <cell r="C426" t="str">
            <v>Europe Operations OU</v>
          </cell>
          <cell r="D426">
            <v>2674345</v>
          </cell>
          <cell r="E426" t="str">
            <v>Amazon EU SARL, succursale Italiana</v>
          </cell>
          <cell r="F426" t="str">
            <v>5EPWKXSH</v>
          </cell>
          <cell r="G426" t="str">
            <v>B07W7KJC28</v>
          </cell>
          <cell r="H426" t="str">
            <v>920-009821</v>
          </cell>
          <cell r="I426" t="str">
            <v>OE INVOICES</v>
          </cell>
          <cell r="J426">
            <v>44421976095</v>
          </cell>
          <cell r="K426">
            <v>44704</v>
          </cell>
          <cell r="L426">
            <v>8</v>
          </cell>
          <cell r="M426" t="str">
            <v>EUR</v>
          </cell>
          <cell r="N426">
            <v>365.4</v>
          </cell>
          <cell r="O426">
            <v>20.3</v>
          </cell>
          <cell r="P426">
            <v>18</v>
          </cell>
          <cell r="Q426">
            <v>18</v>
          </cell>
          <cell r="R426">
            <v>0</v>
          </cell>
        </row>
        <row r="427">
          <cell r="A427" t="str">
            <v>5GJU9A7GB01DKTP3X6</v>
          </cell>
          <cell r="B427" t="str">
            <v>Q1-23</v>
          </cell>
          <cell r="C427" t="str">
            <v>Europe Operations OU</v>
          </cell>
          <cell r="D427">
            <v>2674345</v>
          </cell>
          <cell r="E427" t="str">
            <v>Amazon EU SARL, succursale Italiana</v>
          </cell>
          <cell r="F427" t="str">
            <v>5GJU9A7G</v>
          </cell>
          <cell r="G427" t="str">
            <v>B01DKTP3X6</v>
          </cell>
          <cell r="H427" t="str">
            <v>943-000094</v>
          </cell>
          <cell r="I427" t="str">
            <v>OE INVOICES</v>
          </cell>
          <cell r="J427">
            <v>44421961031</v>
          </cell>
          <cell r="K427">
            <v>44687</v>
          </cell>
          <cell r="L427">
            <v>1</v>
          </cell>
          <cell r="M427" t="str">
            <v>EUR</v>
          </cell>
          <cell r="N427">
            <v>506.4</v>
          </cell>
          <cell r="O427">
            <v>10.55</v>
          </cell>
          <cell r="P427">
            <v>48</v>
          </cell>
          <cell r="Q427">
            <v>48</v>
          </cell>
          <cell r="R427">
            <v>0</v>
          </cell>
        </row>
        <row r="428">
          <cell r="A428" t="str">
            <v>5HGHPU5OB003AUZKYI</v>
          </cell>
          <cell r="B428" t="str">
            <v>Q1-23</v>
          </cell>
          <cell r="C428" t="str">
            <v>Europe Operations OU</v>
          </cell>
          <cell r="D428">
            <v>2674345</v>
          </cell>
          <cell r="E428" t="str">
            <v>Amazon EU SARL, succursale Italiana</v>
          </cell>
          <cell r="F428" t="str">
            <v>5HGHPU5O</v>
          </cell>
          <cell r="G428" t="str">
            <v>B003AUZKYI</v>
          </cell>
          <cell r="H428" t="str">
            <v>910-001794</v>
          </cell>
          <cell r="I428" t="str">
            <v>OE INVOICES</v>
          </cell>
          <cell r="J428">
            <v>44421963568</v>
          </cell>
          <cell r="K428">
            <v>44691</v>
          </cell>
          <cell r="L428">
            <v>1</v>
          </cell>
          <cell r="M428" t="str">
            <v>EUR</v>
          </cell>
          <cell r="N428">
            <v>2340</v>
          </cell>
          <cell r="O428">
            <v>5.85</v>
          </cell>
          <cell r="P428">
            <v>400</v>
          </cell>
          <cell r="Q428">
            <v>400</v>
          </cell>
          <cell r="R428">
            <v>0</v>
          </cell>
        </row>
        <row r="429">
          <cell r="A429" t="str">
            <v>5HGHPU5OB003STDR1E</v>
          </cell>
          <cell r="B429" t="str">
            <v>Q1-23</v>
          </cell>
          <cell r="C429" t="str">
            <v>Europe Operations OU</v>
          </cell>
          <cell r="D429">
            <v>2674345</v>
          </cell>
          <cell r="E429" t="str">
            <v>Amazon EU SARL, succursale Italiana</v>
          </cell>
          <cell r="F429" t="str">
            <v>5HGHPU5O</v>
          </cell>
          <cell r="G429" t="str">
            <v>B003STDR1E</v>
          </cell>
          <cell r="H429" t="str">
            <v>910-001949</v>
          </cell>
          <cell r="I429" t="str">
            <v>OE INVOICES</v>
          </cell>
          <cell r="J429">
            <v>44421963568</v>
          </cell>
          <cell r="K429">
            <v>44691</v>
          </cell>
          <cell r="L429">
            <v>2</v>
          </cell>
          <cell r="M429" t="str">
            <v>EUR</v>
          </cell>
          <cell r="N429">
            <v>585.6</v>
          </cell>
          <cell r="O429">
            <v>29.28</v>
          </cell>
          <cell r="P429">
            <v>20</v>
          </cell>
          <cell r="Q429">
            <v>20</v>
          </cell>
          <cell r="R429">
            <v>0</v>
          </cell>
        </row>
        <row r="430">
          <cell r="A430" t="str">
            <v>5HGHPU5OB004IO5BMQ</v>
          </cell>
          <cell r="B430" t="str">
            <v>Q1-23</v>
          </cell>
          <cell r="C430" t="str">
            <v>Europe Operations OU</v>
          </cell>
          <cell r="D430">
            <v>2674345</v>
          </cell>
          <cell r="E430" t="str">
            <v>Amazon EU SARL, succursale Italiana</v>
          </cell>
          <cell r="F430" t="str">
            <v>5HGHPU5O</v>
          </cell>
          <cell r="G430" t="str">
            <v>B004IO5BMQ</v>
          </cell>
          <cell r="H430" t="str">
            <v>910-002201</v>
          </cell>
          <cell r="I430" t="str">
            <v>OE INVOICES</v>
          </cell>
          <cell r="J430">
            <v>44421963568</v>
          </cell>
          <cell r="K430">
            <v>44691</v>
          </cell>
          <cell r="L430">
            <v>3</v>
          </cell>
          <cell r="M430" t="str">
            <v>EUR</v>
          </cell>
          <cell r="N430">
            <v>585.6</v>
          </cell>
          <cell r="O430">
            <v>14.64</v>
          </cell>
          <cell r="P430">
            <v>40</v>
          </cell>
          <cell r="Q430">
            <v>40</v>
          </cell>
          <cell r="R430">
            <v>0</v>
          </cell>
        </row>
        <row r="431">
          <cell r="A431" t="str">
            <v>5HGHPU5OB0056I3IDW</v>
          </cell>
          <cell r="B431" t="str">
            <v>Q1-23</v>
          </cell>
          <cell r="C431" t="str">
            <v>Europe Operations OU</v>
          </cell>
          <cell r="D431">
            <v>2674345</v>
          </cell>
          <cell r="E431" t="str">
            <v>Amazon EU SARL, succursale Italiana</v>
          </cell>
          <cell r="F431" t="str">
            <v>5HGHPU5O</v>
          </cell>
          <cell r="G431" t="str">
            <v>B0056I3IDW</v>
          </cell>
          <cell r="H431" t="str">
            <v>910-002237</v>
          </cell>
          <cell r="I431" t="str">
            <v>OE INVOICES</v>
          </cell>
          <cell r="J431">
            <v>44421963568</v>
          </cell>
          <cell r="K431">
            <v>44691</v>
          </cell>
          <cell r="L431">
            <v>4</v>
          </cell>
          <cell r="M431" t="str">
            <v>EUR</v>
          </cell>
          <cell r="N431">
            <v>398</v>
          </cell>
          <cell r="O431">
            <v>9.9499999999999993</v>
          </cell>
          <cell r="P431">
            <v>40</v>
          </cell>
          <cell r="Q431">
            <v>40</v>
          </cell>
          <cell r="R431">
            <v>0</v>
          </cell>
        </row>
        <row r="432">
          <cell r="A432" t="str">
            <v>5HGHPU5OB005O8D1J0</v>
          </cell>
          <cell r="B432" t="str">
            <v>Q1-23</v>
          </cell>
          <cell r="C432" t="str">
            <v>Europe Operations OU</v>
          </cell>
          <cell r="D432">
            <v>2674345</v>
          </cell>
          <cell r="E432" t="str">
            <v>Amazon EU SARL, succursale Italiana</v>
          </cell>
          <cell r="F432" t="str">
            <v>5HGHPU5O</v>
          </cell>
          <cell r="G432" t="str">
            <v>B005O8D1J0</v>
          </cell>
          <cell r="H432" t="str">
            <v>920-003328</v>
          </cell>
          <cell r="I432" t="str">
            <v>OE INVOICES</v>
          </cell>
          <cell r="J432">
            <v>44421963568</v>
          </cell>
          <cell r="K432">
            <v>44691</v>
          </cell>
          <cell r="L432">
            <v>5</v>
          </cell>
          <cell r="M432" t="str">
            <v>EUR</v>
          </cell>
          <cell r="N432">
            <v>140.47999999999999</v>
          </cell>
          <cell r="O432">
            <v>17.559999999999999</v>
          </cell>
          <cell r="P432">
            <v>8</v>
          </cell>
          <cell r="Q432">
            <v>8</v>
          </cell>
          <cell r="R432">
            <v>0</v>
          </cell>
        </row>
        <row r="433">
          <cell r="A433" t="str">
            <v>5HGHPU5OB008S1IOCY</v>
          </cell>
          <cell r="B433" t="str">
            <v>Q1-23</v>
          </cell>
          <cell r="C433" t="str">
            <v>Europe Operations OU</v>
          </cell>
          <cell r="D433">
            <v>2674345</v>
          </cell>
          <cell r="E433" t="str">
            <v>Amazon EU SARL, succursale Italiana</v>
          </cell>
          <cell r="F433" t="str">
            <v>5HGHPU5O</v>
          </cell>
          <cell r="G433" t="str">
            <v>B008S1IOCY</v>
          </cell>
          <cell r="H433" t="str">
            <v>981-000475</v>
          </cell>
          <cell r="I433" t="str">
            <v>OE INVOICES</v>
          </cell>
          <cell r="J433">
            <v>44421963568</v>
          </cell>
          <cell r="K433">
            <v>44691</v>
          </cell>
          <cell r="L433">
            <v>6</v>
          </cell>
          <cell r="M433" t="str">
            <v>EUR</v>
          </cell>
          <cell r="N433">
            <v>1230</v>
          </cell>
          <cell r="O433">
            <v>20.5</v>
          </cell>
          <cell r="P433">
            <v>60</v>
          </cell>
          <cell r="Q433">
            <v>60</v>
          </cell>
          <cell r="R433">
            <v>0</v>
          </cell>
        </row>
        <row r="434">
          <cell r="A434" t="str">
            <v>5HGHPU5OB00C7INSWU</v>
          </cell>
          <cell r="B434" t="str">
            <v>Q1-23</v>
          </cell>
          <cell r="C434" t="str">
            <v>Europe Operations OU</v>
          </cell>
          <cell r="D434">
            <v>2674345</v>
          </cell>
          <cell r="E434" t="str">
            <v>Amazon EU SARL, succursale Italiana</v>
          </cell>
          <cell r="F434" t="str">
            <v>5HGHPU5O</v>
          </cell>
          <cell r="G434" t="str">
            <v>B00C7INSWU</v>
          </cell>
          <cell r="H434" t="str">
            <v>981-000514</v>
          </cell>
          <cell r="I434" t="str">
            <v>OE INVOICES</v>
          </cell>
          <cell r="J434">
            <v>44421963568</v>
          </cell>
          <cell r="K434">
            <v>44691</v>
          </cell>
          <cell r="L434">
            <v>7</v>
          </cell>
          <cell r="M434" t="str">
            <v>EUR</v>
          </cell>
          <cell r="N434">
            <v>1039.92</v>
          </cell>
          <cell r="O434">
            <v>43.33</v>
          </cell>
          <cell r="P434">
            <v>24</v>
          </cell>
          <cell r="Q434">
            <v>24</v>
          </cell>
          <cell r="R434">
            <v>0</v>
          </cell>
        </row>
        <row r="435">
          <cell r="A435" t="str">
            <v>5HGHPU5OB00L8VNQ88</v>
          </cell>
          <cell r="B435" t="str">
            <v>Q1-23</v>
          </cell>
          <cell r="C435" t="str">
            <v>Europe Operations OU</v>
          </cell>
          <cell r="D435">
            <v>2674345</v>
          </cell>
          <cell r="E435" t="str">
            <v>Amazon EU SARL, succursale Italiana</v>
          </cell>
          <cell r="F435" t="str">
            <v>5HGHPU5O</v>
          </cell>
          <cell r="G435" t="str">
            <v>B00L8VNQ88</v>
          </cell>
          <cell r="H435" t="str">
            <v>910-004067</v>
          </cell>
          <cell r="I435" t="str">
            <v>OE INVOICES</v>
          </cell>
          <cell r="J435">
            <v>44421963568</v>
          </cell>
          <cell r="K435">
            <v>44691</v>
          </cell>
          <cell r="L435">
            <v>8</v>
          </cell>
          <cell r="M435" t="str">
            <v>EUR</v>
          </cell>
          <cell r="N435">
            <v>1772.64</v>
          </cell>
          <cell r="O435">
            <v>36.93</v>
          </cell>
          <cell r="P435">
            <v>48</v>
          </cell>
          <cell r="Q435">
            <v>48</v>
          </cell>
          <cell r="R435">
            <v>0</v>
          </cell>
        </row>
        <row r="436">
          <cell r="A436" t="str">
            <v>5HGHPU5OB00MWNDUDM</v>
          </cell>
          <cell r="B436" t="str">
            <v>Q1-23</v>
          </cell>
          <cell r="C436" t="str">
            <v>Europe Operations OU</v>
          </cell>
          <cell r="D436">
            <v>2674345</v>
          </cell>
          <cell r="E436" t="str">
            <v>Amazon EU SARL, succursale Italiana</v>
          </cell>
          <cell r="F436" t="str">
            <v>5HGHPU5O</v>
          </cell>
          <cell r="G436" t="str">
            <v>B00MWNDUDM</v>
          </cell>
          <cell r="H436" t="str">
            <v>920-006350</v>
          </cell>
          <cell r="I436" t="str">
            <v>OE INVOICES</v>
          </cell>
          <cell r="J436">
            <v>44421963568</v>
          </cell>
          <cell r="K436">
            <v>44691</v>
          </cell>
          <cell r="L436">
            <v>9</v>
          </cell>
          <cell r="M436" t="str">
            <v>EUR</v>
          </cell>
          <cell r="N436">
            <v>257.68</v>
          </cell>
          <cell r="O436">
            <v>32.21</v>
          </cell>
          <cell r="P436">
            <v>8</v>
          </cell>
          <cell r="Q436">
            <v>8</v>
          </cell>
          <cell r="R436">
            <v>0</v>
          </cell>
        </row>
        <row r="437">
          <cell r="A437" t="str">
            <v>5HGHPU5OB00MWR5IVA</v>
          </cell>
          <cell r="B437" t="str">
            <v>Q1-23</v>
          </cell>
          <cell r="C437" t="str">
            <v>Europe Operations OU</v>
          </cell>
          <cell r="D437">
            <v>2674345</v>
          </cell>
          <cell r="E437" t="str">
            <v>Amazon EU SARL, succursale Italiana</v>
          </cell>
          <cell r="F437" t="str">
            <v>5HGHPU5O</v>
          </cell>
          <cell r="G437" t="str">
            <v>B00MWR5IVA</v>
          </cell>
          <cell r="H437" t="str">
            <v>910-004287</v>
          </cell>
          <cell r="I437" t="str">
            <v>OE INVOICES</v>
          </cell>
          <cell r="J437">
            <v>44421963568</v>
          </cell>
          <cell r="K437">
            <v>44691</v>
          </cell>
          <cell r="L437">
            <v>10</v>
          </cell>
          <cell r="M437" t="str">
            <v>EUR</v>
          </cell>
          <cell r="N437">
            <v>205</v>
          </cell>
          <cell r="O437">
            <v>20.5</v>
          </cell>
          <cell r="P437">
            <v>10</v>
          </cell>
          <cell r="Q437">
            <v>10</v>
          </cell>
          <cell r="R437">
            <v>0</v>
          </cell>
        </row>
        <row r="438">
          <cell r="A438" t="str">
            <v>5HGHPU5OB00Q6MR0UO</v>
          </cell>
          <cell r="B438" t="str">
            <v>Q1-23</v>
          </cell>
          <cell r="C438" t="str">
            <v>Europe Operations OU</v>
          </cell>
          <cell r="D438">
            <v>2674345</v>
          </cell>
          <cell r="E438" t="str">
            <v>Amazon EU SARL, succursale Italiana</v>
          </cell>
          <cell r="F438" t="str">
            <v>5HGHPU5O</v>
          </cell>
          <cell r="G438" t="str">
            <v>B00Q6MR0UO</v>
          </cell>
          <cell r="H438" t="str">
            <v>910-004345</v>
          </cell>
          <cell r="I438" t="str">
            <v>OE INVOICES</v>
          </cell>
          <cell r="J438">
            <v>44421963568</v>
          </cell>
          <cell r="K438">
            <v>44691</v>
          </cell>
          <cell r="L438">
            <v>11</v>
          </cell>
          <cell r="M438" t="str">
            <v>EUR</v>
          </cell>
          <cell r="N438">
            <v>94.96</v>
          </cell>
          <cell r="O438">
            <v>23.74</v>
          </cell>
          <cell r="P438">
            <v>4</v>
          </cell>
          <cell r="Q438">
            <v>4</v>
          </cell>
          <cell r="R438">
            <v>0</v>
          </cell>
        </row>
        <row r="439">
          <cell r="A439" t="str">
            <v>5HGHPU5OB013SL2050</v>
          </cell>
          <cell r="B439" t="str">
            <v>Q1-23</v>
          </cell>
          <cell r="C439" t="str">
            <v>Europe Operations OU</v>
          </cell>
          <cell r="D439">
            <v>2674345</v>
          </cell>
          <cell r="E439" t="str">
            <v>Amazon EU SARL, succursale Italiana</v>
          </cell>
          <cell r="F439" t="str">
            <v>5HGHPU5O</v>
          </cell>
          <cell r="G439" t="str">
            <v>B013SL2050</v>
          </cell>
          <cell r="H439" t="str">
            <v>920-007574</v>
          </cell>
          <cell r="I439" t="str">
            <v>OE INVOICES</v>
          </cell>
          <cell r="J439">
            <v>44421963568</v>
          </cell>
          <cell r="K439">
            <v>44691</v>
          </cell>
          <cell r="L439">
            <v>12</v>
          </cell>
          <cell r="M439" t="str">
            <v>EUR</v>
          </cell>
          <cell r="N439">
            <v>234.24</v>
          </cell>
          <cell r="O439">
            <v>29.28</v>
          </cell>
          <cell r="P439">
            <v>8</v>
          </cell>
          <cell r="Q439">
            <v>8</v>
          </cell>
          <cell r="R439">
            <v>0</v>
          </cell>
        </row>
        <row r="440">
          <cell r="A440" t="str">
            <v>5HGHPU5OB01DKTP30O</v>
          </cell>
          <cell r="B440" t="str">
            <v>Q1-23</v>
          </cell>
          <cell r="C440" t="str">
            <v>Europe Operations OU</v>
          </cell>
          <cell r="D440">
            <v>2674345</v>
          </cell>
          <cell r="E440" t="str">
            <v>Amazon EU SARL, succursale Italiana</v>
          </cell>
          <cell r="F440" t="str">
            <v>5HGHPU5O</v>
          </cell>
          <cell r="G440" t="str">
            <v>B01DKTP30O</v>
          </cell>
          <cell r="H440" t="str">
            <v>943-000089</v>
          </cell>
          <cell r="I440" t="str">
            <v>OE INVOICES</v>
          </cell>
          <cell r="J440">
            <v>44421963568</v>
          </cell>
          <cell r="K440">
            <v>44691</v>
          </cell>
          <cell r="L440">
            <v>13</v>
          </cell>
          <cell r="M440" t="str">
            <v>EUR</v>
          </cell>
          <cell r="N440">
            <v>759.6</v>
          </cell>
          <cell r="O440">
            <v>21.1</v>
          </cell>
          <cell r="P440">
            <v>36</v>
          </cell>
          <cell r="Q440">
            <v>36</v>
          </cell>
          <cell r="R440">
            <v>0</v>
          </cell>
        </row>
        <row r="441">
          <cell r="A441" t="str">
            <v>5HGHPU5OB01K7GEAF2</v>
          </cell>
          <cell r="B441" t="str">
            <v>Q1-23</v>
          </cell>
          <cell r="C441" t="str">
            <v>Europe Operations OU</v>
          </cell>
          <cell r="D441">
            <v>2674345</v>
          </cell>
          <cell r="E441" t="str">
            <v>Amazon EU SARL, succursale Italiana</v>
          </cell>
          <cell r="F441" t="str">
            <v>5HGHPU5O</v>
          </cell>
          <cell r="G441" t="str">
            <v>B01K7GEAF2</v>
          </cell>
          <cell r="H441" t="str">
            <v>910-004879</v>
          </cell>
          <cell r="I441" t="str">
            <v>OE INVOICES</v>
          </cell>
          <cell r="J441">
            <v>44421963568</v>
          </cell>
          <cell r="K441">
            <v>44691</v>
          </cell>
          <cell r="L441">
            <v>14</v>
          </cell>
          <cell r="M441" t="str">
            <v>EUR</v>
          </cell>
          <cell r="N441">
            <v>146.4</v>
          </cell>
          <cell r="O441">
            <v>14.64</v>
          </cell>
          <cell r="P441">
            <v>10</v>
          </cell>
          <cell r="Q441">
            <v>10</v>
          </cell>
          <cell r="R441">
            <v>0</v>
          </cell>
        </row>
        <row r="442">
          <cell r="A442" t="str">
            <v>5HGHPU5OB06W547XN2</v>
          </cell>
          <cell r="B442" t="str">
            <v>Q1-23</v>
          </cell>
          <cell r="C442" t="str">
            <v>Europe Operations OU</v>
          </cell>
          <cell r="D442">
            <v>2674345</v>
          </cell>
          <cell r="E442" t="str">
            <v>Amazon EU SARL, succursale Italiana</v>
          </cell>
          <cell r="F442" t="str">
            <v>5HGHPU5O</v>
          </cell>
          <cell r="G442" t="str">
            <v>B06W547XN2</v>
          </cell>
          <cell r="H442" t="str">
            <v>920-008318</v>
          </cell>
          <cell r="I442" t="str">
            <v>OE INVOICES</v>
          </cell>
          <cell r="J442">
            <v>44421963568</v>
          </cell>
          <cell r="K442">
            <v>44691</v>
          </cell>
          <cell r="L442">
            <v>15</v>
          </cell>
          <cell r="M442" t="str">
            <v>EUR</v>
          </cell>
          <cell r="N442">
            <v>561.91999999999996</v>
          </cell>
          <cell r="O442">
            <v>17.559999999999999</v>
          </cell>
          <cell r="P442">
            <v>32</v>
          </cell>
          <cell r="Q442">
            <v>32</v>
          </cell>
          <cell r="R442">
            <v>0</v>
          </cell>
        </row>
        <row r="443">
          <cell r="A443" t="str">
            <v>5HGHPU5OB07GDYYN38</v>
          </cell>
          <cell r="B443" t="str">
            <v>Q1-23</v>
          </cell>
          <cell r="C443" t="str">
            <v>Europe Operations OU</v>
          </cell>
          <cell r="D443">
            <v>2674345</v>
          </cell>
          <cell r="E443" t="str">
            <v>Amazon EU SARL, succursale Italiana</v>
          </cell>
          <cell r="F443" t="str">
            <v>5HGHPU5O</v>
          </cell>
          <cell r="G443" t="str">
            <v>B07GDYYN38</v>
          </cell>
          <cell r="H443" t="str">
            <v>910-005489</v>
          </cell>
          <cell r="I443" t="str">
            <v>OE INVOICES</v>
          </cell>
          <cell r="J443">
            <v>44421963568</v>
          </cell>
          <cell r="K443">
            <v>44691</v>
          </cell>
          <cell r="L443">
            <v>16</v>
          </cell>
          <cell r="M443" t="str">
            <v>EUR</v>
          </cell>
          <cell r="N443">
            <v>87.8</v>
          </cell>
          <cell r="O443">
            <v>8.7799999999999994</v>
          </cell>
          <cell r="P443">
            <v>10</v>
          </cell>
          <cell r="Q443">
            <v>10</v>
          </cell>
          <cell r="R443">
            <v>0</v>
          </cell>
        </row>
        <row r="444">
          <cell r="A444" t="str">
            <v>5HGHPU5OB07QKC4WWD</v>
          </cell>
          <cell r="B444" t="str">
            <v>Q1-23</v>
          </cell>
          <cell r="C444" t="str">
            <v>Europe Operations OU</v>
          </cell>
          <cell r="D444">
            <v>2674345</v>
          </cell>
          <cell r="E444" t="str">
            <v>Amazon EU SARL, succursale Italiana</v>
          </cell>
          <cell r="F444" t="str">
            <v>5HGHPU5O</v>
          </cell>
          <cell r="G444" t="str">
            <v>B07QKC4WWD</v>
          </cell>
          <cell r="H444" t="str">
            <v>910-005568</v>
          </cell>
          <cell r="I444" t="str">
            <v>OE INVOICES</v>
          </cell>
          <cell r="J444">
            <v>44421963568</v>
          </cell>
          <cell r="K444">
            <v>44691</v>
          </cell>
          <cell r="L444">
            <v>17</v>
          </cell>
          <cell r="M444" t="str">
            <v>EUR</v>
          </cell>
          <cell r="N444">
            <v>5660.64</v>
          </cell>
          <cell r="O444">
            <v>78.62</v>
          </cell>
          <cell r="P444">
            <v>72</v>
          </cell>
          <cell r="Q444">
            <v>72</v>
          </cell>
          <cell r="R444">
            <v>0</v>
          </cell>
        </row>
        <row r="445">
          <cell r="A445" t="str">
            <v>5HGHPU5OB07SCMTKGB</v>
          </cell>
          <cell r="B445" t="str">
            <v>Q1-23</v>
          </cell>
          <cell r="C445" t="str">
            <v>Europe Operations OU</v>
          </cell>
          <cell r="D445">
            <v>2674345</v>
          </cell>
          <cell r="E445" t="str">
            <v>Amazon EU SARL, succursale Italiana</v>
          </cell>
          <cell r="F445" t="str">
            <v>5HGHPU5O</v>
          </cell>
          <cell r="G445" t="str">
            <v>B07SCMTKGB</v>
          </cell>
          <cell r="H445" t="str">
            <v>910-005633</v>
          </cell>
          <cell r="I445" t="str">
            <v>OE INVOICES</v>
          </cell>
          <cell r="J445">
            <v>44421963568</v>
          </cell>
          <cell r="K445">
            <v>44691</v>
          </cell>
          <cell r="L445">
            <v>18</v>
          </cell>
          <cell r="M445" t="str">
            <v>EUR</v>
          </cell>
          <cell r="N445">
            <v>738.6</v>
          </cell>
          <cell r="O445">
            <v>36.93</v>
          </cell>
          <cell r="P445">
            <v>20</v>
          </cell>
          <cell r="Q445">
            <v>20</v>
          </cell>
          <cell r="R445">
            <v>0</v>
          </cell>
        </row>
        <row r="446">
          <cell r="A446" t="str">
            <v>5HGHPU5OB07VFVRZ6Y</v>
          </cell>
          <cell r="B446" t="str">
            <v>Q1-23</v>
          </cell>
          <cell r="C446" t="str">
            <v>Europe Operations OU</v>
          </cell>
          <cell r="D446">
            <v>2674345</v>
          </cell>
          <cell r="E446" t="str">
            <v>Amazon EU SARL, succursale Italiana</v>
          </cell>
          <cell r="F446" t="str">
            <v>5HGHPU5O</v>
          </cell>
          <cell r="G446" t="str">
            <v>B07VFVRZ6Y</v>
          </cell>
          <cell r="H446" t="str">
            <v>920-009202</v>
          </cell>
          <cell r="I446" t="str">
            <v>OE INVOICES</v>
          </cell>
          <cell r="J446">
            <v>44421963568</v>
          </cell>
          <cell r="K446">
            <v>44691</v>
          </cell>
          <cell r="L446">
            <v>19</v>
          </cell>
          <cell r="M446" t="str">
            <v>EUR</v>
          </cell>
          <cell r="N446">
            <v>421.56</v>
          </cell>
          <cell r="O446">
            <v>35.130000000000003</v>
          </cell>
          <cell r="P446">
            <v>12</v>
          </cell>
          <cell r="Q446">
            <v>12</v>
          </cell>
          <cell r="R446">
            <v>0</v>
          </cell>
        </row>
        <row r="447">
          <cell r="A447" t="str">
            <v>5HGHPU5OB07VL9YHC9</v>
          </cell>
          <cell r="B447" t="str">
            <v>Q1-23</v>
          </cell>
          <cell r="C447" t="str">
            <v>Europe Operations OU</v>
          </cell>
          <cell r="D447">
            <v>2674345</v>
          </cell>
          <cell r="E447" t="str">
            <v>Amazon EU SARL, succursale Italiana</v>
          </cell>
          <cell r="F447" t="str">
            <v>5HGHPU5O</v>
          </cell>
          <cell r="G447" t="str">
            <v>B07VL9YHC9</v>
          </cell>
          <cell r="H447" t="str">
            <v>920-009189</v>
          </cell>
          <cell r="I447" t="str">
            <v>OE INVOICES</v>
          </cell>
          <cell r="J447">
            <v>44421963568</v>
          </cell>
          <cell r="K447">
            <v>44691</v>
          </cell>
          <cell r="L447">
            <v>20</v>
          </cell>
          <cell r="M447" t="str">
            <v>EUR</v>
          </cell>
          <cell r="N447">
            <v>281.04000000000002</v>
          </cell>
          <cell r="O447">
            <v>35.130000000000003</v>
          </cell>
          <cell r="P447">
            <v>8</v>
          </cell>
          <cell r="Q447">
            <v>8</v>
          </cell>
          <cell r="R447">
            <v>0</v>
          </cell>
        </row>
        <row r="448">
          <cell r="A448" t="str">
            <v>5HGHPU5OB07W4DGC27</v>
          </cell>
          <cell r="B448" t="str">
            <v>Q1-23</v>
          </cell>
          <cell r="C448" t="str">
            <v>Europe Operations OU</v>
          </cell>
          <cell r="D448">
            <v>2674345</v>
          </cell>
          <cell r="E448" t="str">
            <v>Amazon EU SARL, succursale Italiana</v>
          </cell>
          <cell r="F448" t="str">
            <v>5HGHPU5O</v>
          </cell>
          <cell r="G448" t="str">
            <v>B07W4DGC27</v>
          </cell>
          <cell r="H448" t="str">
            <v>910-006473</v>
          </cell>
          <cell r="I448" t="str">
            <v>OE INVOICES</v>
          </cell>
          <cell r="J448">
            <v>44421963568</v>
          </cell>
          <cell r="K448">
            <v>44691</v>
          </cell>
          <cell r="L448">
            <v>21</v>
          </cell>
          <cell r="M448" t="str">
            <v>EUR</v>
          </cell>
          <cell r="N448">
            <v>8166.4</v>
          </cell>
          <cell r="O448">
            <v>46.4</v>
          </cell>
          <cell r="P448">
            <v>176</v>
          </cell>
          <cell r="Q448">
            <v>176</v>
          </cell>
          <cell r="R448">
            <v>0</v>
          </cell>
        </row>
        <row r="449">
          <cell r="A449" t="str">
            <v>5HGHPU5OB07W4DGLJX</v>
          </cell>
          <cell r="B449" t="str">
            <v>Q1-23</v>
          </cell>
          <cell r="C449" t="str">
            <v>Europe Operations OU</v>
          </cell>
          <cell r="D449">
            <v>2674345</v>
          </cell>
          <cell r="E449" t="str">
            <v>Amazon EU SARL, succursale Italiana</v>
          </cell>
          <cell r="F449" t="str">
            <v>5HGHPU5O</v>
          </cell>
          <cell r="G449" t="str">
            <v>B07W4DGLJX</v>
          </cell>
          <cell r="H449" t="str">
            <v>920-009197</v>
          </cell>
          <cell r="I449" t="str">
            <v>OE INVOICES</v>
          </cell>
          <cell r="J449">
            <v>44421963568</v>
          </cell>
          <cell r="K449">
            <v>44691</v>
          </cell>
          <cell r="L449">
            <v>22</v>
          </cell>
          <cell r="M449" t="str">
            <v>EUR</v>
          </cell>
          <cell r="N449">
            <v>281.04000000000002</v>
          </cell>
          <cell r="O449">
            <v>35.130000000000003</v>
          </cell>
          <cell r="P449">
            <v>8</v>
          </cell>
          <cell r="Q449">
            <v>8</v>
          </cell>
          <cell r="R449">
            <v>0</v>
          </cell>
        </row>
        <row r="450">
          <cell r="A450" t="str">
            <v>5HGHPU5OB07W4DH9CW</v>
          </cell>
          <cell r="B450" t="str">
            <v>Q1-23</v>
          </cell>
          <cell r="C450" t="str">
            <v>Europe Operations OU</v>
          </cell>
          <cell r="D450">
            <v>2674345</v>
          </cell>
          <cell r="E450" t="str">
            <v>Amazon EU SARL, succursale Italiana</v>
          </cell>
          <cell r="F450" t="str">
            <v>5HGHPU5O</v>
          </cell>
          <cell r="G450" t="str">
            <v>B07W4DH9CW</v>
          </cell>
          <cell r="H450" t="str">
            <v>910-005907</v>
          </cell>
          <cell r="I450" t="str">
            <v>OE INVOICES</v>
          </cell>
          <cell r="J450">
            <v>44421963568</v>
          </cell>
          <cell r="K450">
            <v>44691</v>
          </cell>
          <cell r="L450">
            <v>23</v>
          </cell>
          <cell r="M450" t="str">
            <v>EUR</v>
          </cell>
          <cell r="N450">
            <v>526.79999999999995</v>
          </cell>
          <cell r="O450">
            <v>8.7799999999999994</v>
          </cell>
          <cell r="P450">
            <v>60</v>
          </cell>
          <cell r="Q450">
            <v>60</v>
          </cell>
          <cell r="R450">
            <v>0</v>
          </cell>
        </row>
        <row r="451">
          <cell r="A451" t="str">
            <v>5HGHPU5OB07W4DHS5B</v>
          </cell>
          <cell r="B451" t="str">
            <v>Q1-23</v>
          </cell>
          <cell r="C451" t="str">
            <v>Europe Operations OU</v>
          </cell>
          <cell r="D451">
            <v>2674345</v>
          </cell>
          <cell r="E451" t="str">
            <v>Amazon EU SARL, succursale Italiana</v>
          </cell>
          <cell r="F451" t="str">
            <v>5HGHPU5O</v>
          </cell>
          <cell r="G451" t="str">
            <v>B07W4DHS5B</v>
          </cell>
          <cell r="H451" t="str">
            <v>960-001297</v>
          </cell>
          <cell r="I451" t="str">
            <v>OE INVOICES</v>
          </cell>
          <cell r="J451">
            <v>44421963568</v>
          </cell>
          <cell r="K451">
            <v>44691</v>
          </cell>
          <cell r="L451">
            <v>24</v>
          </cell>
          <cell r="M451" t="str">
            <v>EUR</v>
          </cell>
          <cell r="N451">
            <v>1475.84</v>
          </cell>
          <cell r="O451">
            <v>92.24</v>
          </cell>
          <cell r="P451">
            <v>16</v>
          </cell>
          <cell r="Q451">
            <v>16</v>
          </cell>
          <cell r="R451">
            <v>0</v>
          </cell>
        </row>
        <row r="452">
          <cell r="A452" t="str">
            <v>5HGHPU5OB07W5JHF5D</v>
          </cell>
          <cell r="B452" t="str">
            <v>Q1-23</v>
          </cell>
          <cell r="C452" t="str">
            <v>Europe Operations OU</v>
          </cell>
          <cell r="D452">
            <v>2674345</v>
          </cell>
          <cell r="E452" t="str">
            <v>Amazon EU SARL, succursale Italiana</v>
          </cell>
          <cell r="F452" t="str">
            <v>5HGHPU5O</v>
          </cell>
          <cell r="G452" t="str">
            <v>B07W5JHF5D</v>
          </cell>
          <cell r="H452" t="str">
            <v>920-009866</v>
          </cell>
          <cell r="I452" t="str">
            <v>OE INVOICES</v>
          </cell>
          <cell r="J452">
            <v>44421963568</v>
          </cell>
          <cell r="K452">
            <v>44691</v>
          </cell>
          <cell r="L452">
            <v>25</v>
          </cell>
          <cell r="M452" t="str">
            <v>EUR</v>
          </cell>
          <cell r="N452">
            <v>234.24</v>
          </cell>
          <cell r="O452">
            <v>29.28</v>
          </cell>
          <cell r="P452">
            <v>8</v>
          </cell>
          <cell r="Q452">
            <v>8</v>
          </cell>
          <cell r="R452">
            <v>0</v>
          </cell>
        </row>
        <row r="453">
          <cell r="A453" t="str">
            <v>5HGHPU5OB07W5JHXF8</v>
          </cell>
          <cell r="B453" t="str">
            <v>Q1-23</v>
          </cell>
          <cell r="C453" t="str">
            <v>Europe Operations OU</v>
          </cell>
          <cell r="D453">
            <v>2674345</v>
          </cell>
          <cell r="E453" t="str">
            <v>Amazon EU SARL, succursale Italiana</v>
          </cell>
          <cell r="F453" t="str">
            <v>5HGHPU5O</v>
          </cell>
          <cell r="G453" t="str">
            <v>B07W5JHXF8</v>
          </cell>
          <cell r="H453" t="str">
            <v>920-010398</v>
          </cell>
          <cell r="I453" t="str">
            <v>OE INVOICES</v>
          </cell>
          <cell r="J453">
            <v>44421963568</v>
          </cell>
          <cell r="K453">
            <v>44691</v>
          </cell>
          <cell r="L453">
            <v>26</v>
          </cell>
          <cell r="M453" t="str">
            <v>EUR</v>
          </cell>
          <cell r="N453">
            <v>936.96</v>
          </cell>
          <cell r="O453">
            <v>29.28</v>
          </cell>
          <cell r="P453">
            <v>32</v>
          </cell>
          <cell r="Q453">
            <v>32</v>
          </cell>
          <cell r="R453">
            <v>0</v>
          </cell>
        </row>
        <row r="454">
          <cell r="A454" t="str">
            <v>5HGHPU5OB07W5JJ1WM</v>
          </cell>
          <cell r="B454" t="str">
            <v>Q1-23</v>
          </cell>
          <cell r="C454" t="str">
            <v>Europe Operations OU</v>
          </cell>
          <cell r="D454">
            <v>2674345</v>
          </cell>
          <cell r="E454" t="str">
            <v>Amazon EU SARL, succursale Italiana</v>
          </cell>
          <cell r="F454" t="str">
            <v>5HGHPU5O</v>
          </cell>
          <cell r="G454" t="str">
            <v>B07W5JJ1WM</v>
          </cell>
          <cell r="H454" t="str">
            <v>910-005957</v>
          </cell>
          <cell r="I454" t="str">
            <v>OE INVOICES</v>
          </cell>
          <cell r="J454">
            <v>44421963568</v>
          </cell>
          <cell r="K454">
            <v>44691</v>
          </cell>
          <cell r="L454">
            <v>27</v>
          </cell>
          <cell r="M454" t="str">
            <v>EUR</v>
          </cell>
          <cell r="N454">
            <v>671.12</v>
          </cell>
          <cell r="O454">
            <v>83.89</v>
          </cell>
          <cell r="P454">
            <v>8</v>
          </cell>
          <cell r="Q454">
            <v>8</v>
          </cell>
          <cell r="R454">
            <v>0</v>
          </cell>
        </row>
        <row r="455">
          <cell r="A455" t="str">
            <v>5HGHPU5OB07W5JKFQF</v>
          </cell>
          <cell r="B455" t="str">
            <v>Q1-23</v>
          </cell>
          <cell r="C455" t="str">
            <v>Europe Operations OU</v>
          </cell>
          <cell r="D455">
            <v>2674345</v>
          </cell>
          <cell r="E455" t="str">
            <v>Amazon EU SARL, succursale Italiana</v>
          </cell>
          <cell r="F455" t="str">
            <v>5HGHPU5O</v>
          </cell>
          <cell r="G455" t="str">
            <v>B07W5JKFQF</v>
          </cell>
          <cell r="H455" t="str">
            <v>939-001878</v>
          </cell>
          <cell r="I455" t="str">
            <v>OE INVOICES</v>
          </cell>
          <cell r="J455">
            <v>44421963568</v>
          </cell>
          <cell r="K455">
            <v>44691</v>
          </cell>
          <cell r="L455">
            <v>28</v>
          </cell>
          <cell r="M455" t="str">
            <v>EUR</v>
          </cell>
          <cell r="N455">
            <v>329.24</v>
          </cell>
          <cell r="O455">
            <v>82.31</v>
          </cell>
          <cell r="P455">
            <v>4</v>
          </cell>
          <cell r="Q455">
            <v>4</v>
          </cell>
          <cell r="R455">
            <v>0</v>
          </cell>
        </row>
        <row r="456">
          <cell r="A456" t="str">
            <v>5HGHPU5OB07W5JKHFR</v>
          </cell>
          <cell r="B456" t="str">
            <v>Q1-23</v>
          </cell>
          <cell r="C456" t="str">
            <v>Europe Operations OU</v>
          </cell>
          <cell r="D456">
            <v>2674345</v>
          </cell>
          <cell r="E456" t="str">
            <v>Amazon EU SARL, succursale Italiana</v>
          </cell>
          <cell r="F456" t="str">
            <v>5HGHPU5O</v>
          </cell>
          <cell r="G456" t="str">
            <v>B07W5JKHFR</v>
          </cell>
          <cell r="H456" t="str">
            <v>910-006475</v>
          </cell>
          <cell r="I456" t="str">
            <v>OE INVOICES</v>
          </cell>
          <cell r="J456">
            <v>44421973831</v>
          </cell>
          <cell r="K456">
            <v>44699</v>
          </cell>
          <cell r="L456">
            <v>1</v>
          </cell>
          <cell r="M456" t="str">
            <v>EUR</v>
          </cell>
          <cell r="N456">
            <v>2227.1999999999998</v>
          </cell>
          <cell r="O456">
            <v>46.4</v>
          </cell>
          <cell r="P456">
            <v>48</v>
          </cell>
          <cell r="Q456">
            <v>48</v>
          </cell>
          <cell r="R456">
            <v>0</v>
          </cell>
        </row>
        <row r="457">
          <cell r="A457" t="str">
            <v>5HGHPU5OB07W6J51XR</v>
          </cell>
          <cell r="B457" t="str">
            <v>Q1-23</v>
          </cell>
          <cell r="C457" t="str">
            <v>Europe Operations OU</v>
          </cell>
          <cell r="D457">
            <v>2674345</v>
          </cell>
          <cell r="E457" t="str">
            <v>Amazon EU SARL, succursale Italiana</v>
          </cell>
          <cell r="F457" t="str">
            <v>5HGHPU5O</v>
          </cell>
          <cell r="G457" t="str">
            <v>B07W6J51XR</v>
          </cell>
          <cell r="H457" t="str">
            <v>910-005942</v>
          </cell>
          <cell r="I457" t="str">
            <v>OE INVOICES</v>
          </cell>
          <cell r="J457">
            <v>44421963568</v>
          </cell>
          <cell r="K457">
            <v>44691</v>
          </cell>
          <cell r="L457">
            <v>29</v>
          </cell>
          <cell r="M457" t="str">
            <v>EUR</v>
          </cell>
          <cell r="N457">
            <v>4362.28</v>
          </cell>
          <cell r="O457">
            <v>83.89</v>
          </cell>
          <cell r="P457">
            <v>52</v>
          </cell>
          <cell r="Q457">
            <v>52</v>
          </cell>
          <cell r="R457">
            <v>0</v>
          </cell>
        </row>
        <row r="458">
          <cell r="A458" t="str">
            <v>5HGHPU5OB07W6J52LN</v>
          </cell>
          <cell r="B458" t="str">
            <v>Q1-23</v>
          </cell>
          <cell r="C458" t="str">
            <v>Europe Operations OU</v>
          </cell>
          <cell r="D458">
            <v>2674345</v>
          </cell>
          <cell r="E458" t="str">
            <v>Amazon EU SARL, succursale Italiana</v>
          </cell>
          <cell r="F458" t="str">
            <v>5HGHPU5O</v>
          </cell>
          <cell r="G458" t="str">
            <v>B07W6J52LN</v>
          </cell>
          <cell r="H458" t="str">
            <v>910-006054</v>
          </cell>
          <cell r="I458" t="str">
            <v>OE INVOICES</v>
          </cell>
          <cell r="J458">
            <v>44421963568</v>
          </cell>
          <cell r="K458">
            <v>44691</v>
          </cell>
          <cell r="L458">
            <v>30</v>
          </cell>
          <cell r="M458" t="str">
            <v>EUR</v>
          </cell>
          <cell r="N458">
            <v>126.6</v>
          </cell>
          <cell r="O458">
            <v>31.65</v>
          </cell>
          <cell r="P458">
            <v>4</v>
          </cell>
          <cell r="Q458">
            <v>4</v>
          </cell>
          <cell r="R458">
            <v>0</v>
          </cell>
        </row>
        <row r="459">
          <cell r="A459" t="str">
            <v>5HGHPU5OB07W6JFPT1</v>
          </cell>
          <cell r="B459" t="str">
            <v>Q1-23</v>
          </cell>
          <cell r="C459" t="str">
            <v>Europe Operations OU</v>
          </cell>
          <cell r="D459">
            <v>2674345</v>
          </cell>
          <cell r="E459" t="str">
            <v>Amazon EU SARL, succursale Italiana</v>
          </cell>
          <cell r="F459" t="str">
            <v>5HGHPU5O</v>
          </cell>
          <cell r="G459" t="str">
            <v>B07W6JFPT1</v>
          </cell>
          <cell r="H459" t="str">
            <v>920-009405</v>
          </cell>
          <cell r="I459" t="str">
            <v>OE INVOICES</v>
          </cell>
          <cell r="J459">
            <v>44421963568</v>
          </cell>
          <cell r="K459">
            <v>44691</v>
          </cell>
          <cell r="L459">
            <v>31</v>
          </cell>
          <cell r="M459" t="str">
            <v>EUR</v>
          </cell>
          <cell r="N459">
            <v>1809.84</v>
          </cell>
          <cell r="O459">
            <v>75.41</v>
          </cell>
          <cell r="P459">
            <v>24</v>
          </cell>
          <cell r="Q459">
            <v>24</v>
          </cell>
          <cell r="R459">
            <v>0</v>
          </cell>
        </row>
        <row r="460">
          <cell r="A460" t="str">
            <v>5HGHPU5OB07W6JLFZ7</v>
          </cell>
          <cell r="B460" t="str">
            <v>Q1-23</v>
          </cell>
          <cell r="C460" t="str">
            <v>Europe Operations OU</v>
          </cell>
          <cell r="D460">
            <v>2674345</v>
          </cell>
          <cell r="E460" t="str">
            <v>Amazon EU SARL, succursale Italiana</v>
          </cell>
          <cell r="F460" t="str">
            <v>5HGHPU5O</v>
          </cell>
          <cell r="G460" t="str">
            <v>B07W6JLFZ7</v>
          </cell>
          <cell r="H460" t="str">
            <v>910-006478</v>
          </cell>
          <cell r="I460" t="str">
            <v>OE INVOICES</v>
          </cell>
          <cell r="J460">
            <v>44421963568</v>
          </cell>
          <cell r="K460">
            <v>44691</v>
          </cell>
          <cell r="L460">
            <v>32</v>
          </cell>
          <cell r="M460" t="str">
            <v>EUR</v>
          </cell>
          <cell r="N460">
            <v>1484.8</v>
          </cell>
          <cell r="O460">
            <v>46.4</v>
          </cell>
          <cell r="P460">
            <v>32</v>
          </cell>
          <cell r="Q460">
            <v>32</v>
          </cell>
          <cell r="R460">
            <v>0</v>
          </cell>
        </row>
        <row r="461">
          <cell r="A461" t="str">
            <v>5HGHPU5OB07W7JR6BZ</v>
          </cell>
          <cell r="B461" t="str">
            <v>Q1-23</v>
          </cell>
          <cell r="C461" t="str">
            <v>Europe Operations OU</v>
          </cell>
          <cell r="D461">
            <v>2674345</v>
          </cell>
          <cell r="E461" t="str">
            <v>Amazon EU SARL, succursale Italiana</v>
          </cell>
          <cell r="F461" t="str">
            <v>5HGHPU5O</v>
          </cell>
          <cell r="G461" t="str">
            <v>B07W7JR6BZ</v>
          </cell>
          <cell r="H461" t="str">
            <v>910-006255</v>
          </cell>
          <cell r="I461" t="str">
            <v>OE INVOICES</v>
          </cell>
          <cell r="J461">
            <v>44421963568</v>
          </cell>
          <cell r="K461">
            <v>44691</v>
          </cell>
          <cell r="L461">
            <v>33</v>
          </cell>
          <cell r="M461" t="str">
            <v>EUR</v>
          </cell>
          <cell r="N461">
            <v>263.5</v>
          </cell>
          <cell r="O461">
            <v>26.35</v>
          </cell>
          <cell r="P461">
            <v>10</v>
          </cell>
          <cell r="Q461">
            <v>10</v>
          </cell>
          <cell r="R461">
            <v>0</v>
          </cell>
        </row>
        <row r="462">
          <cell r="A462" t="str">
            <v>5HGHPU5OB07W7KMK4Y</v>
          </cell>
          <cell r="B462" t="str">
            <v>Q1-23</v>
          </cell>
          <cell r="C462" t="str">
            <v>Europe Operations OU</v>
          </cell>
          <cell r="D462">
            <v>2674345</v>
          </cell>
          <cell r="E462" t="str">
            <v>Amazon EU SARL, succursale Italiana</v>
          </cell>
          <cell r="F462" t="str">
            <v>5HGHPU5O</v>
          </cell>
          <cell r="G462" t="str">
            <v>B07W7KMK4Y</v>
          </cell>
          <cell r="H462" t="str">
            <v>920-010488</v>
          </cell>
          <cell r="I462" t="str">
            <v>OE INVOICES</v>
          </cell>
          <cell r="J462">
            <v>44421963568</v>
          </cell>
          <cell r="K462">
            <v>44691</v>
          </cell>
          <cell r="L462">
            <v>34</v>
          </cell>
          <cell r="M462" t="str">
            <v>EUR</v>
          </cell>
          <cell r="N462">
            <v>510.48</v>
          </cell>
          <cell r="O462">
            <v>63.81</v>
          </cell>
          <cell r="P462">
            <v>8</v>
          </cell>
          <cell r="Q462">
            <v>8</v>
          </cell>
          <cell r="R462">
            <v>0</v>
          </cell>
        </row>
        <row r="463">
          <cell r="A463" t="str">
            <v>5HGHPU5OB07W7KT2B3</v>
          </cell>
          <cell r="B463" t="str">
            <v>Q1-23</v>
          </cell>
          <cell r="C463" t="str">
            <v>Europe Operations OU</v>
          </cell>
          <cell r="D463">
            <v>2674345</v>
          </cell>
          <cell r="E463" t="str">
            <v>Amazon EU SARL, succursale Italiana</v>
          </cell>
          <cell r="F463" t="str">
            <v>5HGHPU5O</v>
          </cell>
          <cell r="G463" t="str">
            <v>B07W7KT2B3</v>
          </cell>
          <cell r="H463" t="str">
            <v>981-000864</v>
          </cell>
          <cell r="I463" t="str">
            <v>OE INVOICES</v>
          </cell>
          <cell r="J463">
            <v>44421963568</v>
          </cell>
          <cell r="K463">
            <v>44691</v>
          </cell>
          <cell r="L463">
            <v>35</v>
          </cell>
          <cell r="M463" t="str">
            <v>EUR</v>
          </cell>
          <cell r="N463">
            <v>628.96</v>
          </cell>
          <cell r="O463">
            <v>78.62</v>
          </cell>
          <cell r="P463">
            <v>8</v>
          </cell>
          <cell r="Q463">
            <v>8</v>
          </cell>
          <cell r="R463">
            <v>0</v>
          </cell>
        </row>
        <row r="464">
          <cell r="A464" t="str">
            <v>5HGHPU5OB07W7MKLNT</v>
          </cell>
          <cell r="B464" t="str">
            <v>Q1-23</v>
          </cell>
          <cell r="C464" t="str">
            <v>Europe Operations OU</v>
          </cell>
          <cell r="D464">
            <v>2674345</v>
          </cell>
          <cell r="E464" t="str">
            <v>Amazon EU SARL, succursale Italiana</v>
          </cell>
          <cell r="F464" t="str">
            <v>5HGHPU5O</v>
          </cell>
          <cell r="G464" t="str">
            <v>B07W7MKLNT</v>
          </cell>
          <cell r="H464" t="str">
            <v>910-005943</v>
          </cell>
          <cell r="I464" t="str">
            <v>OE INVOICES</v>
          </cell>
          <cell r="J464">
            <v>44421963568</v>
          </cell>
          <cell r="K464">
            <v>44691</v>
          </cell>
          <cell r="L464">
            <v>36</v>
          </cell>
          <cell r="M464" t="str">
            <v>EUR</v>
          </cell>
          <cell r="N464">
            <v>2348.92</v>
          </cell>
          <cell r="O464">
            <v>83.89</v>
          </cell>
          <cell r="P464">
            <v>28</v>
          </cell>
          <cell r="Q464">
            <v>28</v>
          </cell>
          <cell r="R464">
            <v>0</v>
          </cell>
        </row>
        <row r="465">
          <cell r="A465" t="str">
            <v>5HGHPU5OB07W7MQMDF</v>
          </cell>
          <cell r="B465" t="str">
            <v>Q1-23</v>
          </cell>
          <cell r="C465" t="str">
            <v>Europe Operations OU</v>
          </cell>
          <cell r="D465">
            <v>2674345</v>
          </cell>
          <cell r="E465" t="str">
            <v>Amazon EU SARL, succursale Italiana</v>
          </cell>
          <cell r="F465" t="str">
            <v>5HGHPU5O</v>
          </cell>
          <cell r="G465" t="str">
            <v>B07W7MQMDF</v>
          </cell>
          <cell r="H465" t="str">
            <v>920-010077</v>
          </cell>
          <cell r="I465" t="str">
            <v>OE INVOICES</v>
          </cell>
          <cell r="J465">
            <v>44421963568</v>
          </cell>
          <cell r="K465">
            <v>44691</v>
          </cell>
          <cell r="L465">
            <v>37</v>
          </cell>
          <cell r="M465" t="str">
            <v>EUR</v>
          </cell>
          <cell r="N465">
            <v>272.24</v>
          </cell>
          <cell r="O465">
            <v>68.06</v>
          </cell>
          <cell r="P465">
            <v>4</v>
          </cell>
          <cell r="Q465">
            <v>4</v>
          </cell>
          <cell r="R465">
            <v>0</v>
          </cell>
        </row>
        <row r="466">
          <cell r="A466" t="str">
            <v>5HGHPU5OB07W8P4PDD</v>
          </cell>
          <cell r="B466" t="str">
            <v>Q1-23</v>
          </cell>
          <cell r="C466" t="str">
            <v>Europe Operations OU</v>
          </cell>
          <cell r="D466">
            <v>2674345</v>
          </cell>
          <cell r="E466" t="str">
            <v>Amazon EU SARL, succursale Italiana</v>
          </cell>
          <cell r="F466" t="str">
            <v>5HGHPU5O</v>
          </cell>
          <cell r="G466" t="str">
            <v>B07W8P4PDD</v>
          </cell>
          <cell r="H466" t="str">
            <v>910-006474</v>
          </cell>
          <cell r="I466" t="str">
            <v>OE INVOICES</v>
          </cell>
          <cell r="J466">
            <v>44421963568</v>
          </cell>
          <cell r="K466">
            <v>44691</v>
          </cell>
          <cell r="L466">
            <v>38</v>
          </cell>
          <cell r="M466" t="str">
            <v>EUR</v>
          </cell>
          <cell r="N466">
            <v>1113.5999999999999</v>
          </cell>
          <cell r="O466">
            <v>46.4</v>
          </cell>
          <cell r="P466">
            <v>24</v>
          </cell>
          <cell r="Q466">
            <v>24</v>
          </cell>
          <cell r="R466">
            <v>0</v>
          </cell>
        </row>
        <row r="467">
          <cell r="A467" t="str">
            <v>5HXMAQACB005DVR56I</v>
          </cell>
          <cell r="B467" t="str">
            <v>Q1-23</v>
          </cell>
          <cell r="C467" t="str">
            <v>Europe Operations OU</v>
          </cell>
          <cell r="D467">
            <v>2674345</v>
          </cell>
          <cell r="E467" t="str">
            <v>Amazon EU SARL, succursale Italiana</v>
          </cell>
          <cell r="F467" t="str">
            <v>5HXMAQAC</v>
          </cell>
          <cell r="G467" t="str">
            <v>B005DVR56I</v>
          </cell>
          <cell r="H467" t="str">
            <v>981-000350</v>
          </cell>
          <cell r="I467" t="str">
            <v>OE INVOICES</v>
          </cell>
          <cell r="J467">
            <v>44421955103</v>
          </cell>
          <cell r="K467">
            <v>44677</v>
          </cell>
          <cell r="L467">
            <v>1</v>
          </cell>
          <cell r="M467" t="str">
            <v>EUR</v>
          </cell>
          <cell r="N467">
            <v>58.56</v>
          </cell>
          <cell r="O467">
            <v>14.64</v>
          </cell>
          <cell r="P467">
            <v>4</v>
          </cell>
          <cell r="Q467">
            <v>4</v>
          </cell>
          <cell r="R467">
            <v>0</v>
          </cell>
        </row>
        <row r="468">
          <cell r="A468" t="str">
            <v>5HXMAQACB005DVR572</v>
          </cell>
          <cell r="B468" t="str">
            <v>Q1-23</v>
          </cell>
          <cell r="C468" t="str">
            <v>Europe Operations OU</v>
          </cell>
          <cell r="D468">
            <v>2674345</v>
          </cell>
          <cell r="E468" t="str">
            <v>Amazon EU SARL, succursale Italiana</v>
          </cell>
          <cell r="F468" t="str">
            <v>5HXMAQAC</v>
          </cell>
          <cell r="G468" t="str">
            <v>B005DVR572</v>
          </cell>
          <cell r="H468" t="str">
            <v>981-000368</v>
          </cell>
          <cell r="I468" t="str">
            <v>OE INVOICES</v>
          </cell>
          <cell r="J468">
            <v>44421954908</v>
          </cell>
          <cell r="K468">
            <v>44677</v>
          </cell>
          <cell r="L468">
            <v>1</v>
          </cell>
          <cell r="M468" t="str">
            <v>EUR</v>
          </cell>
          <cell r="N468">
            <v>58.56</v>
          </cell>
          <cell r="O468">
            <v>14.64</v>
          </cell>
          <cell r="P468">
            <v>4</v>
          </cell>
          <cell r="Q468">
            <v>4</v>
          </cell>
          <cell r="R468">
            <v>0</v>
          </cell>
        </row>
        <row r="469">
          <cell r="A469" t="str">
            <v>5HXMAQACB00CJ5FP04</v>
          </cell>
          <cell r="B469" t="str">
            <v>Q1-23</v>
          </cell>
          <cell r="C469" t="str">
            <v>Europe Operations OU</v>
          </cell>
          <cell r="D469">
            <v>2674345</v>
          </cell>
          <cell r="E469" t="str">
            <v>Amazon EU SARL, succursale Italiana</v>
          </cell>
          <cell r="F469" t="str">
            <v>5HXMAQAC</v>
          </cell>
          <cell r="G469" t="str">
            <v>B00CJ5FP04</v>
          </cell>
          <cell r="H469" t="str">
            <v>940-000135</v>
          </cell>
          <cell r="I469" t="str">
            <v>OE INVOICES</v>
          </cell>
          <cell r="J469">
            <v>44421955103</v>
          </cell>
          <cell r="K469">
            <v>44677</v>
          </cell>
          <cell r="L469">
            <v>2</v>
          </cell>
          <cell r="M469" t="str">
            <v>EUR</v>
          </cell>
          <cell r="N469">
            <v>73.84</v>
          </cell>
          <cell r="O469">
            <v>18.46</v>
          </cell>
          <cell r="P469">
            <v>4</v>
          </cell>
          <cell r="Q469">
            <v>4</v>
          </cell>
          <cell r="R469">
            <v>0</v>
          </cell>
        </row>
        <row r="470">
          <cell r="A470" t="str">
            <v>5HXMAQACB01DKTP3PY</v>
          </cell>
          <cell r="B470" t="str">
            <v>Q1-23</v>
          </cell>
          <cell r="C470" t="str">
            <v>Europe Operations OU</v>
          </cell>
          <cell r="D470">
            <v>2674345</v>
          </cell>
          <cell r="E470" t="str">
            <v>Amazon EU SARL, succursale Italiana</v>
          </cell>
          <cell r="F470" t="str">
            <v>5HXMAQAC</v>
          </cell>
          <cell r="G470" t="str">
            <v>B01DKTP3PY</v>
          </cell>
          <cell r="H470" t="str">
            <v>943-000099</v>
          </cell>
          <cell r="I470" t="str">
            <v>OE INVOICES</v>
          </cell>
          <cell r="J470">
            <v>44421955103</v>
          </cell>
          <cell r="K470">
            <v>44677</v>
          </cell>
          <cell r="L470">
            <v>3</v>
          </cell>
          <cell r="M470" t="str">
            <v>EUR</v>
          </cell>
          <cell r="N470">
            <v>379.68</v>
          </cell>
          <cell r="O470">
            <v>15.82</v>
          </cell>
          <cell r="P470">
            <v>24</v>
          </cell>
          <cell r="Q470">
            <v>24</v>
          </cell>
          <cell r="R470">
            <v>0</v>
          </cell>
        </row>
        <row r="471">
          <cell r="A471" t="str">
            <v>5HXMAQACB0711V7BV6</v>
          </cell>
          <cell r="B471" t="str">
            <v>Q1-23</v>
          </cell>
          <cell r="C471" t="str">
            <v>Europe Operations OU</v>
          </cell>
          <cell r="D471">
            <v>2674345</v>
          </cell>
          <cell r="E471" t="str">
            <v>Amazon EU SARL, succursale Italiana</v>
          </cell>
          <cell r="F471" t="str">
            <v>5HXMAQAC</v>
          </cell>
          <cell r="G471" t="str">
            <v>B0711V7BV6</v>
          </cell>
          <cell r="H471" t="str">
            <v>939-001531</v>
          </cell>
          <cell r="I471" t="str">
            <v>OE INVOICES</v>
          </cell>
          <cell r="J471">
            <v>44421955103</v>
          </cell>
          <cell r="K471">
            <v>44677</v>
          </cell>
          <cell r="L471">
            <v>4</v>
          </cell>
          <cell r="M471" t="str">
            <v>EUR</v>
          </cell>
          <cell r="N471">
            <v>2697</v>
          </cell>
          <cell r="O471">
            <v>44.95</v>
          </cell>
          <cell r="P471">
            <v>60</v>
          </cell>
          <cell r="Q471">
            <v>60</v>
          </cell>
          <cell r="R471">
            <v>0</v>
          </cell>
        </row>
        <row r="472">
          <cell r="A472" t="str">
            <v>5HXMAQACB07MTXLFXV</v>
          </cell>
          <cell r="B472" t="str">
            <v>Q1-23</v>
          </cell>
          <cell r="C472" t="str">
            <v>Europe Operations OU</v>
          </cell>
          <cell r="D472">
            <v>2674345</v>
          </cell>
          <cell r="E472" t="str">
            <v>Amazon EU SARL, succursale Italiana</v>
          </cell>
          <cell r="F472" t="str">
            <v>5HXMAQAC</v>
          </cell>
          <cell r="G472" t="str">
            <v>B07MTXLFXV</v>
          </cell>
          <cell r="H472" t="str">
            <v>981-000770</v>
          </cell>
          <cell r="I472" t="str">
            <v>OE INVOICES</v>
          </cell>
          <cell r="J472">
            <v>44421954908</v>
          </cell>
          <cell r="K472">
            <v>44677</v>
          </cell>
          <cell r="L472">
            <v>2</v>
          </cell>
          <cell r="M472" t="str">
            <v>EUR</v>
          </cell>
          <cell r="N472">
            <v>28358.400000000001</v>
          </cell>
          <cell r="O472">
            <v>42.2</v>
          </cell>
          <cell r="P472">
            <v>672</v>
          </cell>
          <cell r="Q472">
            <v>672</v>
          </cell>
          <cell r="R472">
            <v>0</v>
          </cell>
        </row>
        <row r="473">
          <cell r="A473" t="str">
            <v>5HXMAQACB07MTY5HH8</v>
          </cell>
          <cell r="B473" t="str">
            <v>Q1-23</v>
          </cell>
          <cell r="C473" t="str">
            <v>Europe Operations OU</v>
          </cell>
          <cell r="D473">
            <v>2674345</v>
          </cell>
          <cell r="E473" t="str">
            <v>Amazon EU SARL, succursale Italiana</v>
          </cell>
          <cell r="F473" t="str">
            <v>5HXMAQAC</v>
          </cell>
          <cell r="G473" t="str">
            <v>B07MTY5HH8</v>
          </cell>
          <cell r="H473" t="str">
            <v>981-000750</v>
          </cell>
          <cell r="I473" t="str">
            <v>OE INVOICES</v>
          </cell>
          <cell r="J473">
            <v>44421955103</v>
          </cell>
          <cell r="K473">
            <v>44677</v>
          </cell>
          <cell r="L473">
            <v>5</v>
          </cell>
          <cell r="M473" t="str">
            <v>EUR</v>
          </cell>
          <cell r="N473">
            <v>1886.88</v>
          </cell>
          <cell r="O473">
            <v>78.62</v>
          </cell>
          <cell r="P473">
            <v>24</v>
          </cell>
          <cell r="Q473">
            <v>24</v>
          </cell>
          <cell r="R473">
            <v>0</v>
          </cell>
        </row>
        <row r="474">
          <cell r="A474" t="str">
            <v>5HXMAQACB07PRYFGXG</v>
          </cell>
          <cell r="B474" t="str">
            <v>Q1-23</v>
          </cell>
          <cell r="C474" t="str">
            <v>Europe Operations OU</v>
          </cell>
          <cell r="D474">
            <v>2674345</v>
          </cell>
          <cell r="E474" t="str">
            <v>Amazon EU SARL, succursale Italiana</v>
          </cell>
          <cell r="F474" t="str">
            <v>5HXMAQAC</v>
          </cell>
          <cell r="G474" t="str">
            <v>B07PRYFGXG</v>
          </cell>
          <cell r="H474" t="str">
            <v>939-001659</v>
          </cell>
          <cell r="I474" t="str">
            <v>OE INVOICES</v>
          </cell>
          <cell r="J474">
            <v>44421955103</v>
          </cell>
          <cell r="K474">
            <v>44677</v>
          </cell>
          <cell r="L474">
            <v>6</v>
          </cell>
          <cell r="M474" t="str">
            <v>EUR</v>
          </cell>
          <cell r="N474">
            <v>6175.36</v>
          </cell>
          <cell r="O474">
            <v>192.98</v>
          </cell>
          <cell r="P474">
            <v>32</v>
          </cell>
          <cell r="Q474">
            <v>32</v>
          </cell>
          <cell r="R474">
            <v>0</v>
          </cell>
        </row>
        <row r="475">
          <cell r="A475" t="str">
            <v>5HXMAQACB07VWZHCNX</v>
          </cell>
          <cell r="B475" t="str">
            <v>Q1-23</v>
          </cell>
          <cell r="C475" t="str">
            <v>Europe Operations OU</v>
          </cell>
          <cell r="D475">
            <v>2674345</v>
          </cell>
          <cell r="E475" t="str">
            <v>Amazon EU SARL, succursale Italiana</v>
          </cell>
          <cell r="F475" t="str">
            <v>5HXMAQAC</v>
          </cell>
          <cell r="G475" t="str">
            <v>B07VWZHCNX</v>
          </cell>
          <cell r="H475" t="str">
            <v>956-000001</v>
          </cell>
          <cell r="I475" t="str">
            <v>OE INVOICES</v>
          </cell>
          <cell r="J475">
            <v>44421955103</v>
          </cell>
          <cell r="K475">
            <v>44677</v>
          </cell>
          <cell r="L475">
            <v>7</v>
          </cell>
          <cell r="M475" t="str">
            <v>EUR</v>
          </cell>
          <cell r="N475">
            <v>88.16</v>
          </cell>
          <cell r="O475">
            <v>11.02</v>
          </cell>
          <cell r="P475">
            <v>8</v>
          </cell>
          <cell r="Q475">
            <v>8</v>
          </cell>
          <cell r="R475">
            <v>0</v>
          </cell>
        </row>
        <row r="476">
          <cell r="A476" t="str">
            <v>5HXMAQACB07W4DG8RQ</v>
          </cell>
          <cell r="B476" t="str">
            <v>Q1-23</v>
          </cell>
          <cell r="C476" t="str">
            <v>Europe Operations OU</v>
          </cell>
          <cell r="D476">
            <v>2674345</v>
          </cell>
          <cell r="E476" t="str">
            <v>Amazon EU SARL, succursale Italiana</v>
          </cell>
          <cell r="F476" t="str">
            <v>5HXMAQAC</v>
          </cell>
          <cell r="G476" t="str">
            <v>B07W4DG8RQ</v>
          </cell>
          <cell r="H476" t="str">
            <v>943-000434</v>
          </cell>
          <cell r="I476" t="str">
            <v>OE INVOICES</v>
          </cell>
          <cell r="J476">
            <v>44421955103</v>
          </cell>
          <cell r="K476">
            <v>44677</v>
          </cell>
          <cell r="L476">
            <v>8</v>
          </cell>
          <cell r="M476" t="str">
            <v>EUR</v>
          </cell>
          <cell r="N476">
            <v>105.48</v>
          </cell>
          <cell r="O476">
            <v>26.37</v>
          </cell>
          <cell r="P476">
            <v>4</v>
          </cell>
          <cell r="Q476">
            <v>4</v>
          </cell>
          <cell r="R476">
            <v>0</v>
          </cell>
        </row>
        <row r="477">
          <cell r="A477" t="str">
            <v>5HXMAQACB07W5JK3Z2</v>
          </cell>
          <cell r="B477" t="str">
            <v>Q1-23</v>
          </cell>
          <cell r="C477" t="str">
            <v>Europe Operations OU</v>
          </cell>
          <cell r="D477">
            <v>2674345</v>
          </cell>
          <cell r="E477" t="str">
            <v>Amazon EU SARL, succursale Italiana</v>
          </cell>
          <cell r="F477" t="str">
            <v>5HXMAQAC</v>
          </cell>
          <cell r="G477" t="str">
            <v>B07W5JK3Z2</v>
          </cell>
          <cell r="H477" t="str">
            <v>956-000052</v>
          </cell>
          <cell r="I477" t="str">
            <v>OE INVOICES</v>
          </cell>
          <cell r="J477">
            <v>44421955103</v>
          </cell>
          <cell r="K477">
            <v>44677</v>
          </cell>
          <cell r="L477">
            <v>9</v>
          </cell>
          <cell r="M477" t="str">
            <v>EUR</v>
          </cell>
          <cell r="N477">
            <v>484.8</v>
          </cell>
          <cell r="O477">
            <v>8.08</v>
          </cell>
          <cell r="P477">
            <v>60</v>
          </cell>
          <cell r="Q477">
            <v>60</v>
          </cell>
          <cell r="R477">
            <v>0</v>
          </cell>
        </row>
        <row r="478">
          <cell r="A478" t="str">
            <v>5HXMAQACB07W5JKBMG</v>
          </cell>
          <cell r="B478" t="str">
            <v>Q1-23</v>
          </cell>
          <cell r="C478" t="str">
            <v>Europe Operations OU</v>
          </cell>
          <cell r="D478">
            <v>2674345</v>
          </cell>
          <cell r="E478" t="str">
            <v>Amazon EU SARL, succursale Italiana</v>
          </cell>
          <cell r="F478" t="str">
            <v>5HXMAQAC</v>
          </cell>
          <cell r="G478" t="str">
            <v>B07W5JKBMG</v>
          </cell>
          <cell r="H478" t="str">
            <v>943-000450</v>
          </cell>
          <cell r="I478" t="str">
            <v>OE INVOICES</v>
          </cell>
          <cell r="J478">
            <v>44421955103</v>
          </cell>
          <cell r="K478">
            <v>44677</v>
          </cell>
          <cell r="L478">
            <v>10</v>
          </cell>
          <cell r="M478" t="str">
            <v>EUR</v>
          </cell>
          <cell r="N478">
            <v>1106.4000000000001</v>
          </cell>
          <cell r="O478">
            <v>27.66</v>
          </cell>
          <cell r="P478">
            <v>40</v>
          </cell>
          <cell r="Q478">
            <v>40</v>
          </cell>
          <cell r="R478">
            <v>0</v>
          </cell>
        </row>
        <row r="479">
          <cell r="A479" t="str">
            <v>5HXMAQACB07W5JKLRF</v>
          </cell>
          <cell r="B479" t="str">
            <v>Q1-23</v>
          </cell>
          <cell r="C479" t="str">
            <v>Europe Operations OU</v>
          </cell>
          <cell r="D479">
            <v>2674345</v>
          </cell>
          <cell r="E479" t="str">
            <v>Amazon EU SARL, succursale Italiana</v>
          </cell>
          <cell r="F479" t="str">
            <v>5HXMAQAC</v>
          </cell>
          <cell r="G479" t="str">
            <v>B07W5JKLRF</v>
          </cell>
          <cell r="H479" t="str">
            <v>939-002064</v>
          </cell>
          <cell r="I479" t="str">
            <v>OE INVOICES</v>
          </cell>
          <cell r="J479">
            <v>44421955103</v>
          </cell>
          <cell r="K479">
            <v>44677</v>
          </cell>
          <cell r="L479">
            <v>11</v>
          </cell>
          <cell r="M479" t="str">
            <v>EUR</v>
          </cell>
          <cell r="N479">
            <v>331.92</v>
          </cell>
          <cell r="O479">
            <v>41.49</v>
          </cell>
          <cell r="P479">
            <v>8</v>
          </cell>
          <cell r="Q479">
            <v>8</v>
          </cell>
          <cell r="R479">
            <v>0</v>
          </cell>
        </row>
        <row r="480">
          <cell r="A480" t="str">
            <v>5HXMAQACB07W6HDNPG</v>
          </cell>
          <cell r="B480" t="str">
            <v>Q1-23</v>
          </cell>
          <cell r="C480" t="str">
            <v>Europe Operations OU</v>
          </cell>
          <cell r="D480">
            <v>2674345</v>
          </cell>
          <cell r="E480" t="str">
            <v>Amazon EU SARL, succursale Italiana</v>
          </cell>
          <cell r="F480" t="str">
            <v>5HXMAQAC</v>
          </cell>
          <cell r="G480" t="str">
            <v>B07W6HDNPG</v>
          </cell>
          <cell r="H480" t="str">
            <v>939-002057</v>
          </cell>
          <cell r="I480" t="str">
            <v>OE INVOICES</v>
          </cell>
          <cell r="J480">
            <v>44421955103</v>
          </cell>
          <cell r="K480">
            <v>44677</v>
          </cell>
          <cell r="L480">
            <v>12</v>
          </cell>
          <cell r="M480" t="str">
            <v>EUR</v>
          </cell>
          <cell r="N480">
            <v>1493.64</v>
          </cell>
          <cell r="O480">
            <v>41.49</v>
          </cell>
          <cell r="P480">
            <v>36</v>
          </cell>
          <cell r="Q480">
            <v>36</v>
          </cell>
          <cell r="R480">
            <v>0</v>
          </cell>
        </row>
        <row r="481">
          <cell r="A481" t="str">
            <v>5HXMAQACB07W6JNK1Z</v>
          </cell>
          <cell r="B481" t="str">
            <v>Q1-23</v>
          </cell>
          <cell r="C481" t="str">
            <v>Europe Operations OU</v>
          </cell>
          <cell r="D481">
            <v>2674345</v>
          </cell>
          <cell r="E481" t="str">
            <v>Amazon EU SARL, succursale Italiana</v>
          </cell>
          <cell r="F481" t="str">
            <v>5HXMAQAC</v>
          </cell>
          <cell r="G481" t="str">
            <v>B07W6JNK1Z</v>
          </cell>
          <cell r="H481" t="str">
            <v>981-001018</v>
          </cell>
          <cell r="I481" t="str">
            <v>OE INVOICES</v>
          </cell>
          <cell r="J481">
            <v>44421955103</v>
          </cell>
          <cell r="K481">
            <v>44677</v>
          </cell>
          <cell r="L481">
            <v>13</v>
          </cell>
          <cell r="M481" t="str">
            <v>EUR</v>
          </cell>
          <cell r="N481">
            <v>1034.04</v>
          </cell>
          <cell r="O481">
            <v>36.93</v>
          </cell>
          <cell r="P481">
            <v>28</v>
          </cell>
          <cell r="Q481">
            <v>28</v>
          </cell>
          <cell r="R481">
            <v>0</v>
          </cell>
        </row>
        <row r="482">
          <cell r="A482" t="str">
            <v>5HXMAQACB07W7LNLM8</v>
          </cell>
          <cell r="B482" t="str">
            <v>Q1-23</v>
          </cell>
          <cell r="C482" t="str">
            <v>Europe Operations OU</v>
          </cell>
          <cell r="D482">
            <v>2674345</v>
          </cell>
          <cell r="E482" t="str">
            <v>Amazon EU SARL, succursale Italiana</v>
          </cell>
          <cell r="F482" t="str">
            <v>5HXMAQAC</v>
          </cell>
          <cell r="G482" t="str">
            <v>B07W7LNLM8</v>
          </cell>
          <cell r="H482" t="str">
            <v>943-000714</v>
          </cell>
          <cell r="I482" t="str">
            <v>OE INVOICES</v>
          </cell>
          <cell r="J482">
            <v>44421955103</v>
          </cell>
          <cell r="K482">
            <v>44677</v>
          </cell>
          <cell r="L482">
            <v>14</v>
          </cell>
          <cell r="M482" t="str">
            <v>EUR</v>
          </cell>
          <cell r="N482">
            <v>105.48</v>
          </cell>
          <cell r="O482">
            <v>26.37</v>
          </cell>
          <cell r="P482">
            <v>4</v>
          </cell>
          <cell r="Q482">
            <v>4</v>
          </cell>
          <cell r="R482">
            <v>0</v>
          </cell>
        </row>
        <row r="483">
          <cell r="A483" t="str">
            <v>5IZH76JAB0038NRMKW</v>
          </cell>
          <cell r="B483" t="str">
            <v>Q1-23</v>
          </cell>
          <cell r="C483" t="str">
            <v>Europe Operations OU</v>
          </cell>
          <cell r="D483">
            <v>2674345</v>
          </cell>
          <cell r="E483" t="str">
            <v>Amazon EU SARL, succursale Italiana</v>
          </cell>
          <cell r="F483" t="str">
            <v>5IZH76JA</v>
          </cell>
          <cell r="G483" t="str">
            <v>B0038NRMKW</v>
          </cell>
          <cell r="H483" t="str">
            <v>920-002425</v>
          </cell>
          <cell r="I483" t="str">
            <v>OE INVOICES</v>
          </cell>
          <cell r="J483">
            <v>44421961812</v>
          </cell>
          <cell r="K483">
            <v>44687</v>
          </cell>
          <cell r="L483">
            <v>1</v>
          </cell>
          <cell r="M483" t="str">
            <v>EUR</v>
          </cell>
          <cell r="N483">
            <v>556.88</v>
          </cell>
          <cell r="O483">
            <v>69.61</v>
          </cell>
          <cell r="P483">
            <v>8</v>
          </cell>
          <cell r="Q483">
            <v>8</v>
          </cell>
          <cell r="R483">
            <v>0</v>
          </cell>
        </row>
        <row r="484">
          <cell r="A484" t="str">
            <v>5IZH76JAB003PAMIA2</v>
          </cell>
          <cell r="B484" t="str">
            <v>Q1-23</v>
          </cell>
          <cell r="C484" t="str">
            <v>Europe Operations OU</v>
          </cell>
          <cell r="D484">
            <v>2674345</v>
          </cell>
          <cell r="E484" t="str">
            <v>Amazon EU SARL, succursale Italiana</v>
          </cell>
          <cell r="F484" t="str">
            <v>5IZH76JA</v>
          </cell>
          <cell r="G484" t="str">
            <v>B003PAMIA2</v>
          </cell>
          <cell r="H484" t="str">
            <v>920-002489</v>
          </cell>
          <cell r="I484" t="str">
            <v>OE INVOICES</v>
          </cell>
          <cell r="J484">
            <v>44421961812</v>
          </cell>
          <cell r="K484">
            <v>44687</v>
          </cell>
          <cell r="L484">
            <v>2</v>
          </cell>
          <cell r="M484" t="str">
            <v>EUR</v>
          </cell>
          <cell r="N484">
            <v>298.5</v>
          </cell>
          <cell r="O484">
            <v>9.9499999999999993</v>
          </cell>
          <cell r="P484">
            <v>30</v>
          </cell>
          <cell r="Q484">
            <v>30</v>
          </cell>
          <cell r="R484">
            <v>0</v>
          </cell>
        </row>
        <row r="485">
          <cell r="A485" t="str">
            <v>5IZH76JAB003UPJXIC</v>
          </cell>
          <cell r="B485" t="str">
            <v>Q1-23</v>
          </cell>
          <cell r="C485" t="str">
            <v>Europe Operations OU</v>
          </cell>
          <cell r="D485">
            <v>2674345</v>
          </cell>
          <cell r="E485" t="str">
            <v>Amazon EU SARL, succursale Italiana</v>
          </cell>
          <cell r="F485" t="str">
            <v>5IZH76JA</v>
          </cell>
          <cell r="G485" t="str">
            <v>B003UPJXIC</v>
          </cell>
          <cell r="H485" t="str">
            <v>980-000403</v>
          </cell>
          <cell r="I485" t="str">
            <v>OE INVOICES</v>
          </cell>
          <cell r="J485">
            <v>44421961812</v>
          </cell>
          <cell r="K485">
            <v>44687</v>
          </cell>
          <cell r="L485">
            <v>3</v>
          </cell>
          <cell r="M485" t="str">
            <v>EUR</v>
          </cell>
          <cell r="N485">
            <v>1385.28</v>
          </cell>
          <cell r="O485">
            <v>115.44</v>
          </cell>
          <cell r="P485">
            <v>12</v>
          </cell>
          <cell r="Q485">
            <v>12</v>
          </cell>
          <cell r="R485">
            <v>0</v>
          </cell>
        </row>
        <row r="486">
          <cell r="A486" t="str">
            <v>5IZH76JAB003V4A5VG</v>
          </cell>
          <cell r="B486" t="str">
            <v>Q1-23</v>
          </cell>
          <cell r="C486" t="str">
            <v>Europe Operations OU</v>
          </cell>
          <cell r="D486">
            <v>2674345</v>
          </cell>
          <cell r="E486" t="str">
            <v>Amazon EU SARL, succursale Italiana</v>
          </cell>
          <cell r="F486" t="str">
            <v>5IZH76JA</v>
          </cell>
          <cell r="G486" t="str">
            <v>B003V4A5VG</v>
          </cell>
          <cell r="H486" t="str">
            <v>920-002488</v>
          </cell>
          <cell r="I486" t="str">
            <v>OE INVOICES</v>
          </cell>
          <cell r="J486">
            <v>44421961812</v>
          </cell>
          <cell r="K486">
            <v>44687</v>
          </cell>
          <cell r="L486">
            <v>4</v>
          </cell>
          <cell r="M486" t="str">
            <v>EUR</v>
          </cell>
          <cell r="N486">
            <v>298.5</v>
          </cell>
          <cell r="O486">
            <v>9.9499999999999993</v>
          </cell>
          <cell r="P486">
            <v>30</v>
          </cell>
          <cell r="Q486">
            <v>30</v>
          </cell>
          <cell r="R486">
            <v>0</v>
          </cell>
        </row>
        <row r="487">
          <cell r="A487" t="str">
            <v>5IZH76JAB004CM47VU</v>
          </cell>
          <cell r="B487" t="str">
            <v>Q1-23</v>
          </cell>
          <cell r="C487" t="str">
            <v>Europe Operations OU</v>
          </cell>
          <cell r="D487">
            <v>2674345</v>
          </cell>
          <cell r="E487" t="str">
            <v>Amazon EU SARL, succursale Italiana</v>
          </cell>
          <cell r="F487" t="str">
            <v>5IZH76JA</v>
          </cell>
          <cell r="G487" t="str">
            <v>B004CM47VU</v>
          </cell>
          <cell r="H487" t="str">
            <v>920-002543</v>
          </cell>
          <cell r="I487" t="str">
            <v>OE INVOICES</v>
          </cell>
          <cell r="J487">
            <v>44421961812</v>
          </cell>
          <cell r="K487">
            <v>44687</v>
          </cell>
          <cell r="L487">
            <v>5</v>
          </cell>
          <cell r="M487" t="str">
            <v>EUR</v>
          </cell>
          <cell r="N487">
            <v>1317.6</v>
          </cell>
          <cell r="O487">
            <v>14.64</v>
          </cell>
          <cell r="P487">
            <v>90</v>
          </cell>
          <cell r="Q487">
            <v>90</v>
          </cell>
          <cell r="R487">
            <v>0</v>
          </cell>
        </row>
        <row r="488">
          <cell r="A488" t="str">
            <v>5IZH76JAB0056C69DO</v>
          </cell>
          <cell r="B488" t="str">
            <v>Q1-23</v>
          </cell>
          <cell r="C488" t="str">
            <v>Europe Operations OU</v>
          </cell>
          <cell r="D488">
            <v>2674345</v>
          </cell>
          <cell r="E488" t="str">
            <v>Amazon EU SARL, succursale Italiana</v>
          </cell>
          <cell r="F488" t="str">
            <v>5IZH76JA</v>
          </cell>
          <cell r="G488" t="str">
            <v>B0056C69DO</v>
          </cell>
          <cell r="H488" t="str">
            <v>920-002517</v>
          </cell>
          <cell r="I488" t="str">
            <v>OE INVOICES</v>
          </cell>
          <cell r="J488">
            <v>44421961812</v>
          </cell>
          <cell r="K488">
            <v>44687</v>
          </cell>
          <cell r="L488">
            <v>6</v>
          </cell>
          <cell r="M488" t="str">
            <v>EUR</v>
          </cell>
          <cell r="N488">
            <v>2378</v>
          </cell>
          <cell r="O488">
            <v>8.1999999999999993</v>
          </cell>
          <cell r="P488">
            <v>290</v>
          </cell>
          <cell r="Q488">
            <v>290</v>
          </cell>
          <cell r="R488">
            <v>0</v>
          </cell>
        </row>
        <row r="489">
          <cell r="A489" t="str">
            <v>5IZH76JAB00BT8QIJ4</v>
          </cell>
          <cell r="B489" t="str">
            <v>Q1-23</v>
          </cell>
          <cell r="C489" t="str">
            <v>Europe Operations OU</v>
          </cell>
          <cell r="D489">
            <v>2674345</v>
          </cell>
          <cell r="E489" t="str">
            <v>Amazon EU SARL, succursale Italiana</v>
          </cell>
          <cell r="F489" t="str">
            <v>5IZH76JA</v>
          </cell>
          <cell r="G489" t="str">
            <v>B00BT8QIJ4</v>
          </cell>
          <cell r="H489" t="str">
            <v>920-002522</v>
          </cell>
          <cell r="I489" t="str">
            <v>OE INVOICES</v>
          </cell>
          <cell r="J489">
            <v>44421961812</v>
          </cell>
          <cell r="K489">
            <v>44687</v>
          </cell>
          <cell r="L489">
            <v>7</v>
          </cell>
          <cell r="M489" t="str">
            <v>EUR</v>
          </cell>
          <cell r="N489">
            <v>574</v>
          </cell>
          <cell r="O489">
            <v>8.1999999999999993</v>
          </cell>
          <cell r="P489">
            <v>70</v>
          </cell>
          <cell r="Q489">
            <v>70</v>
          </cell>
          <cell r="R489">
            <v>0</v>
          </cell>
        </row>
        <row r="490">
          <cell r="A490" t="str">
            <v>5IZH76JAB00EJ3RMDM</v>
          </cell>
          <cell r="B490" t="str">
            <v>Q1-23</v>
          </cell>
          <cell r="C490" t="str">
            <v>Europe Operations OU</v>
          </cell>
          <cell r="D490">
            <v>2674345</v>
          </cell>
          <cell r="E490" t="str">
            <v>Amazon EU SARL, succursale Italiana</v>
          </cell>
          <cell r="F490" t="str">
            <v>5IZH76JA</v>
          </cell>
          <cell r="G490" t="str">
            <v>B00EJ3RMDM</v>
          </cell>
          <cell r="H490" t="str">
            <v>920-005210</v>
          </cell>
          <cell r="I490" t="str">
            <v>OE INVOICES</v>
          </cell>
          <cell r="J490">
            <v>44421961812</v>
          </cell>
          <cell r="K490">
            <v>44687</v>
          </cell>
          <cell r="L490">
            <v>8</v>
          </cell>
          <cell r="M490" t="str">
            <v>EUR</v>
          </cell>
          <cell r="N490">
            <v>292.8</v>
          </cell>
          <cell r="O490">
            <v>14.64</v>
          </cell>
          <cell r="P490">
            <v>20</v>
          </cell>
          <cell r="Q490">
            <v>20</v>
          </cell>
          <cell r="R490">
            <v>0</v>
          </cell>
        </row>
        <row r="491">
          <cell r="A491" t="str">
            <v>5IZH76JAB00ITLJB84</v>
          </cell>
          <cell r="B491" t="str">
            <v>Q1-23</v>
          </cell>
          <cell r="C491" t="str">
            <v>Europe Operations OU</v>
          </cell>
          <cell r="D491">
            <v>2674345</v>
          </cell>
          <cell r="E491" t="str">
            <v>Amazon EU SARL, succursale Italiana</v>
          </cell>
          <cell r="F491" t="str">
            <v>5IZH76JA</v>
          </cell>
          <cell r="G491" t="str">
            <v>B00ITLJB84</v>
          </cell>
          <cell r="H491" t="str">
            <v>920-005216</v>
          </cell>
          <cell r="I491" t="str">
            <v>OE INVOICES</v>
          </cell>
          <cell r="J491">
            <v>44421961812</v>
          </cell>
          <cell r="K491">
            <v>44687</v>
          </cell>
          <cell r="L491">
            <v>9</v>
          </cell>
          <cell r="M491" t="str">
            <v>EUR</v>
          </cell>
          <cell r="N491">
            <v>146.4</v>
          </cell>
          <cell r="O491">
            <v>14.64</v>
          </cell>
          <cell r="P491">
            <v>10</v>
          </cell>
          <cell r="Q491">
            <v>10</v>
          </cell>
          <cell r="R491">
            <v>0</v>
          </cell>
        </row>
        <row r="492">
          <cell r="A492" t="str">
            <v>5IZH76JAB01C47ZFLK</v>
          </cell>
          <cell r="B492" t="str">
            <v>Q1-23</v>
          </cell>
          <cell r="C492" t="str">
            <v>Europe Operations OU</v>
          </cell>
          <cell r="D492">
            <v>2674345</v>
          </cell>
          <cell r="E492" t="str">
            <v>Amazon EU SARL, succursale Italiana</v>
          </cell>
          <cell r="F492" t="str">
            <v>5IZH76JA</v>
          </cell>
          <cell r="G492" t="str">
            <v>B01C47ZFLK</v>
          </cell>
          <cell r="H492" t="str">
            <v>920-007913</v>
          </cell>
          <cell r="I492" t="str">
            <v>OE INVOICES</v>
          </cell>
          <cell r="J492">
            <v>44421961812</v>
          </cell>
          <cell r="K492">
            <v>44687</v>
          </cell>
          <cell r="L492">
            <v>10</v>
          </cell>
          <cell r="M492" t="str">
            <v>EUR</v>
          </cell>
          <cell r="N492">
            <v>656</v>
          </cell>
          <cell r="O492">
            <v>20.5</v>
          </cell>
          <cell r="P492">
            <v>32</v>
          </cell>
          <cell r="Q492">
            <v>32</v>
          </cell>
          <cell r="R492">
            <v>0</v>
          </cell>
        </row>
        <row r="493">
          <cell r="A493" t="str">
            <v>5IZH76JAB01I252A34</v>
          </cell>
          <cell r="B493" t="str">
            <v>Q1-23</v>
          </cell>
          <cell r="C493" t="str">
            <v>Europe Operations OU</v>
          </cell>
          <cell r="D493">
            <v>2674345</v>
          </cell>
          <cell r="E493" t="str">
            <v>Amazon EU SARL, succursale Italiana</v>
          </cell>
          <cell r="F493" t="str">
            <v>5IZH76JA</v>
          </cell>
          <cell r="G493" t="str">
            <v>B01I252A34</v>
          </cell>
          <cell r="H493" t="str">
            <v>920-005214</v>
          </cell>
          <cell r="I493" t="str">
            <v>OE INVOICES</v>
          </cell>
          <cell r="J493">
            <v>44421961812</v>
          </cell>
          <cell r="K493">
            <v>44687</v>
          </cell>
          <cell r="L493">
            <v>11</v>
          </cell>
          <cell r="M493" t="str">
            <v>EUR</v>
          </cell>
          <cell r="N493">
            <v>146.4</v>
          </cell>
          <cell r="O493">
            <v>14.64</v>
          </cell>
          <cell r="P493">
            <v>10</v>
          </cell>
          <cell r="Q493">
            <v>10</v>
          </cell>
          <cell r="R493">
            <v>0</v>
          </cell>
        </row>
        <row r="494">
          <cell r="A494" t="str">
            <v>5IZH76JAB01L6L45ES</v>
          </cell>
          <cell r="B494" t="str">
            <v>Q1-23</v>
          </cell>
          <cell r="C494" t="str">
            <v>Europe Operations OU</v>
          </cell>
          <cell r="D494">
            <v>2674345</v>
          </cell>
          <cell r="E494" t="str">
            <v>Amazon EU SARL, succursale Italiana</v>
          </cell>
          <cell r="F494" t="str">
            <v>5IZH76JA</v>
          </cell>
          <cell r="G494" t="str">
            <v>B01L6L45ES</v>
          </cell>
          <cell r="H494" t="str">
            <v>920-008088</v>
          </cell>
          <cell r="I494" t="str">
            <v>OE INVOICES</v>
          </cell>
          <cell r="J494">
            <v>44421961812</v>
          </cell>
          <cell r="K494">
            <v>44687</v>
          </cell>
          <cell r="L494">
            <v>12</v>
          </cell>
          <cell r="M494" t="str">
            <v>EUR</v>
          </cell>
          <cell r="N494">
            <v>2025.6</v>
          </cell>
          <cell r="O494">
            <v>42.2</v>
          </cell>
          <cell r="P494">
            <v>48</v>
          </cell>
          <cell r="Q494">
            <v>48</v>
          </cell>
          <cell r="R494">
            <v>0</v>
          </cell>
        </row>
        <row r="495">
          <cell r="A495" t="str">
            <v>5IZH76JAB01MTG898O</v>
          </cell>
          <cell r="B495" t="str">
            <v>Q1-23</v>
          </cell>
          <cell r="C495" t="str">
            <v>Europe Operations OU</v>
          </cell>
          <cell r="D495">
            <v>2674345</v>
          </cell>
          <cell r="E495" t="str">
            <v>Amazon EU SARL, succursale Italiana</v>
          </cell>
          <cell r="F495" t="str">
            <v>5IZH76JA</v>
          </cell>
          <cell r="G495" t="str">
            <v>B01MTG898O</v>
          </cell>
          <cell r="H495" t="str">
            <v>920-008225</v>
          </cell>
          <cell r="I495" t="str">
            <v>OE INVOICES</v>
          </cell>
          <cell r="J495">
            <v>44421961812</v>
          </cell>
          <cell r="K495">
            <v>44687</v>
          </cell>
          <cell r="L495">
            <v>13</v>
          </cell>
          <cell r="M495" t="str">
            <v>EUR</v>
          </cell>
          <cell r="N495">
            <v>301.64</v>
          </cell>
          <cell r="O495">
            <v>75.41</v>
          </cell>
          <cell r="P495">
            <v>4</v>
          </cell>
          <cell r="Q495">
            <v>4</v>
          </cell>
          <cell r="R495">
            <v>0</v>
          </cell>
        </row>
        <row r="496">
          <cell r="A496" t="str">
            <v>5IZH76JAB06XPXRN4K</v>
          </cell>
          <cell r="B496" t="str">
            <v>Q1-23</v>
          </cell>
          <cell r="C496" t="str">
            <v>Europe Operations OU</v>
          </cell>
          <cell r="D496">
            <v>2674345</v>
          </cell>
          <cell r="E496" t="str">
            <v>Amazon EU SARL, succursale Italiana</v>
          </cell>
          <cell r="F496" t="str">
            <v>5IZH76JA</v>
          </cell>
          <cell r="G496" t="str">
            <v>B06XPXRN4K</v>
          </cell>
          <cell r="H496" t="str">
            <v>920-008304</v>
          </cell>
          <cell r="I496" t="str">
            <v>OE INVOICES</v>
          </cell>
          <cell r="J496">
            <v>44421961812</v>
          </cell>
          <cell r="K496">
            <v>44687</v>
          </cell>
          <cell r="L496">
            <v>14</v>
          </cell>
          <cell r="M496" t="str">
            <v>EUR</v>
          </cell>
          <cell r="N496">
            <v>422.08</v>
          </cell>
          <cell r="O496">
            <v>52.76</v>
          </cell>
          <cell r="P496">
            <v>8</v>
          </cell>
          <cell r="Q496">
            <v>8</v>
          </cell>
          <cell r="R496">
            <v>0</v>
          </cell>
        </row>
        <row r="497">
          <cell r="A497" t="str">
            <v>5IZH76JAB06XQ3V8G7</v>
          </cell>
          <cell r="B497" t="str">
            <v>Q1-23</v>
          </cell>
          <cell r="C497" t="str">
            <v>Europe Operations OU</v>
          </cell>
          <cell r="D497">
            <v>2674345</v>
          </cell>
          <cell r="E497" t="str">
            <v>Amazon EU SARL, succursale Italiana</v>
          </cell>
          <cell r="F497" t="str">
            <v>5IZH76JA</v>
          </cell>
          <cell r="G497" t="str">
            <v>B06XQ3V8G7</v>
          </cell>
          <cell r="H497" t="str">
            <v>920-008305</v>
          </cell>
          <cell r="I497" t="str">
            <v>OE INVOICES</v>
          </cell>
          <cell r="J497">
            <v>44421961812</v>
          </cell>
          <cell r="K497">
            <v>44687</v>
          </cell>
          <cell r="L497">
            <v>15</v>
          </cell>
          <cell r="M497" t="str">
            <v>EUR</v>
          </cell>
          <cell r="N497">
            <v>1266.24</v>
          </cell>
          <cell r="O497">
            <v>52.76</v>
          </cell>
          <cell r="P497">
            <v>24</v>
          </cell>
          <cell r="Q497">
            <v>24</v>
          </cell>
          <cell r="R497">
            <v>0</v>
          </cell>
        </row>
        <row r="498">
          <cell r="A498" t="str">
            <v>5IZH76JAB074C9LZVX</v>
          </cell>
          <cell r="B498" t="str">
            <v>Q1-23</v>
          </cell>
          <cell r="C498" t="str">
            <v>Europe Operations OU</v>
          </cell>
          <cell r="D498">
            <v>2674345</v>
          </cell>
          <cell r="E498" t="str">
            <v>Amazon EU SARL, succursale Italiana</v>
          </cell>
          <cell r="F498" t="str">
            <v>5IZH76JA</v>
          </cell>
          <cell r="G498" t="str">
            <v>B074C9LZVX</v>
          </cell>
          <cell r="H498" t="str">
            <v>920-008389</v>
          </cell>
          <cell r="I498" t="str">
            <v>OE INVOICES</v>
          </cell>
          <cell r="J498">
            <v>44421961812</v>
          </cell>
          <cell r="K498">
            <v>44687</v>
          </cell>
          <cell r="L498">
            <v>16</v>
          </cell>
          <cell r="M498" t="str">
            <v>EUR</v>
          </cell>
          <cell r="N498">
            <v>628.96</v>
          </cell>
          <cell r="O498">
            <v>78.62</v>
          </cell>
          <cell r="P498">
            <v>8</v>
          </cell>
          <cell r="Q498">
            <v>8</v>
          </cell>
          <cell r="R498">
            <v>0</v>
          </cell>
        </row>
        <row r="499">
          <cell r="A499" t="str">
            <v>5IZH76JAB077BT728N</v>
          </cell>
          <cell r="B499" t="str">
            <v>Q1-23</v>
          </cell>
          <cell r="C499" t="str">
            <v>Europe Operations OU</v>
          </cell>
          <cell r="D499">
            <v>2674345</v>
          </cell>
          <cell r="E499" t="str">
            <v>Amazon EU SARL, succursale Italiana</v>
          </cell>
          <cell r="F499" t="str">
            <v>5IZH76JA</v>
          </cell>
          <cell r="G499" t="str">
            <v>B077BT728N</v>
          </cell>
          <cell r="H499" t="str">
            <v>920-008669</v>
          </cell>
          <cell r="I499" t="str">
            <v>OE INVOICES</v>
          </cell>
          <cell r="J499">
            <v>44421961812</v>
          </cell>
          <cell r="K499">
            <v>44687</v>
          </cell>
          <cell r="L499">
            <v>17</v>
          </cell>
          <cell r="M499" t="str">
            <v>EUR</v>
          </cell>
          <cell r="N499">
            <v>1903.2</v>
          </cell>
          <cell r="O499">
            <v>14.64</v>
          </cell>
          <cell r="P499">
            <v>130</v>
          </cell>
          <cell r="Q499">
            <v>130</v>
          </cell>
          <cell r="R499">
            <v>0</v>
          </cell>
        </row>
        <row r="500">
          <cell r="A500" t="str">
            <v>5IZH76JAB0797G6W5K</v>
          </cell>
          <cell r="B500" t="str">
            <v>Q1-23</v>
          </cell>
          <cell r="C500" t="str">
            <v>Europe Operations OU</v>
          </cell>
          <cell r="D500">
            <v>2674345</v>
          </cell>
          <cell r="E500" t="str">
            <v>Amazon EU SARL, succursale Italiana</v>
          </cell>
          <cell r="F500" t="str">
            <v>5IZH76JA</v>
          </cell>
          <cell r="G500" t="str">
            <v>B0797G6W5K</v>
          </cell>
          <cell r="H500" t="str">
            <v>920-008676</v>
          </cell>
          <cell r="I500" t="str">
            <v>OE INVOICES</v>
          </cell>
          <cell r="J500">
            <v>44421961812</v>
          </cell>
          <cell r="K500">
            <v>44687</v>
          </cell>
          <cell r="L500">
            <v>18</v>
          </cell>
          <cell r="M500" t="str">
            <v>EUR</v>
          </cell>
          <cell r="N500">
            <v>1475.64</v>
          </cell>
          <cell r="O500">
            <v>40.99</v>
          </cell>
          <cell r="P500">
            <v>36</v>
          </cell>
          <cell r="Q500">
            <v>36</v>
          </cell>
          <cell r="R500">
            <v>0</v>
          </cell>
        </row>
        <row r="501">
          <cell r="A501" t="str">
            <v>5IZH76JAB07W5JK4LF</v>
          </cell>
          <cell r="B501" t="str">
            <v>Q1-23</v>
          </cell>
          <cell r="C501" t="str">
            <v>Europe Operations OU</v>
          </cell>
          <cell r="D501">
            <v>2674345</v>
          </cell>
          <cell r="E501" t="str">
            <v>Amazon EU SARL, succursale Italiana</v>
          </cell>
          <cell r="F501" t="str">
            <v>5IZH76JA</v>
          </cell>
          <cell r="G501" t="str">
            <v>B07W5JK4LF</v>
          </cell>
          <cell r="H501" t="str">
            <v>920-009797</v>
          </cell>
          <cell r="I501" t="str">
            <v>OE INVOICES</v>
          </cell>
          <cell r="J501">
            <v>44421963820</v>
          </cell>
          <cell r="K501">
            <v>44691</v>
          </cell>
          <cell r="L501">
            <v>1</v>
          </cell>
          <cell r="M501" t="str">
            <v>EUR</v>
          </cell>
          <cell r="N501">
            <v>7308</v>
          </cell>
          <cell r="O501">
            <v>20.3</v>
          </cell>
          <cell r="P501">
            <v>360</v>
          </cell>
          <cell r="Q501">
            <v>360</v>
          </cell>
          <cell r="R501">
            <v>0</v>
          </cell>
        </row>
        <row r="502">
          <cell r="A502" t="str">
            <v>5IZH76JAB07W6GVS5C</v>
          </cell>
          <cell r="B502" t="str">
            <v>Q1-23</v>
          </cell>
          <cell r="C502" t="str">
            <v>Europe Operations OU</v>
          </cell>
          <cell r="D502">
            <v>2674345</v>
          </cell>
          <cell r="E502" t="str">
            <v>Amazon EU SARL, succursale Italiana</v>
          </cell>
          <cell r="F502" t="str">
            <v>5IZH76JA</v>
          </cell>
          <cell r="G502" t="str">
            <v>B07W6GVS5C</v>
          </cell>
          <cell r="H502" t="str">
            <v>920-009439</v>
          </cell>
          <cell r="I502" t="str">
            <v>OE INVOICES</v>
          </cell>
          <cell r="J502">
            <v>44421963820</v>
          </cell>
          <cell r="K502">
            <v>44691</v>
          </cell>
          <cell r="L502">
            <v>2</v>
          </cell>
          <cell r="M502" t="str">
            <v>EUR</v>
          </cell>
          <cell r="N502">
            <v>168.8</v>
          </cell>
          <cell r="O502">
            <v>42.2</v>
          </cell>
          <cell r="P502">
            <v>4</v>
          </cell>
          <cell r="Q502">
            <v>4</v>
          </cell>
          <cell r="R502">
            <v>0</v>
          </cell>
        </row>
        <row r="503">
          <cell r="A503" t="str">
            <v>5JTB5LYOB00AZKNPZC</v>
          </cell>
          <cell r="B503" t="str">
            <v>Q1-23</v>
          </cell>
          <cell r="C503" t="str">
            <v>Europe Operations OU</v>
          </cell>
          <cell r="D503">
            <v>2674345</v>
          </cell>
          <cell r="E503" t="str">
            <v>Amazon EU SARL, succursale Italiana</v>
          </cell>
          <cell r="F503" t="str">
            <v>5JTB5LYO</v>
          </cell>
          <cell r="G503" t="str">
            <v>B00AZKNPZC</v>
          </cell>
          <cell r="H503" t="str">
            <v>910-003357</v>
          </cell>
          <cell r="I503" t="str">
            <v>OE INVOICES</v>
          </cell>
          <cell r="J503">
            <v>44421976096</v>
          </cell>
          <cell r="K503">
            <v>44704</v>
          </cell>
          <cell r="L503">
            <v>1</v>
          </cell>
          <cell r="M503" t="str">
            <v>EUR</v>
          </cell>
          <cell r="N503">
            <v>7995.2</v>
          </cell>
          <cell r="O503">
            <v>5.26</v>
          </cell>
          <cell r="P503">
            <v>1520</v>
          </cell>
          <cell r="Q503">
            <v>1520</v>
          </cell>
          <cell r="R503">
            <v>0</v>
          </cell>
        </row>
        <row r="504">
          <cell r="A504" t="str">
            <v>5KSSWWOJB003K1FXTO</v>
          </cell>
          <cell r="B504" t="str">
            <v>Q1-23</v>
          </cell>
          <cell r="C504" t="str">
            <v>Europe Operations OU</v>
          </cell>
          <cell r="D504">
            <v>2674345</v>
          </cell>
          <cell r="E504" t="str">
            <v>Amazon EU SARL, succursale Italiana</v>
          </cell>
          <cell r="F504" t="str">
            <v>5KSSWWOJ</v>
          </cell>
          <cell r="G504" t="str">
            <v>B003K1FXTO</v>
          </cell>
          <cell r="H504" t="str">
            <v>920-002552</v>
          </cell>
          <cell r="I504" t="str">
            <v>OE INVOICES</v>
          </cell>
          <cell r="J504">
            <v>44421958396</v>
          </cell>
          <cell r="K504">
            <v>44684</v>
          </cell>
          <cell r="L504">
            <v>1</v>
          </cell>
          <cell r="M504" t="str">
            <v>EUR</v>
          </cell>
          <cell r="N504">
            <v>2928</v>
          </cell>
          <cell r="O504">
            <v>14.64</v>
          </cell>
          <cell r="P504">
            <v>200</v>
          </cell>
          <cell r="Q504">
            <v>200</v>
          </cell>
          <cell r="R504">
            <v>0</v>
          </cell>
        </row>
        <row r="505">
          <cell r="A505" t="str">
            <v>5KSSWWOJB00BCE30RS</v>
          </cell>
          <cell r="B505" t="str">
            <v>Q1-23</v>
          </cell>
          <cell r="C505" t="str">
            <v>Europe Operations OU</v>
          </cell>
          <cell r="D505">
            <v>2674345</v>
          </cell>
          <cell r="E505" t="str">
            <v>Amazon EU SARL, succursale Italiana</v>
          </cell>
          <cell r="F505" t="str">
            <v>5KSSWWOJ</v>
          </cell>
          <cell r="G505" t="str">
            <v>B00BCE30RS</v>
          </cell>
          <cell r="H505" t="str">
            <v>920-004511</v>
          </cell>
          <cell r="I505" t="str">
            <v>OE INVOICES</v>
          </cell>
          <cell r="J505">
            <v>44421958396</v>
          </cell>
          <cell r="K505">
            <v>44684</v>
          </cell>
          <cell r="L505">
            <v>2</v>
          </cell>
          <cell r="M505" t="str">
            <v>EUR</v>
          </cell>
          <cell r="N505">
            <v>45387.96</v>
          </cell>
          <cell r="O505">
            <v>23.42</v>
          </cell>
          <cell r="P505">
            <v>1938</v>
          </cell>
          <cell r="Q505">
            <v>1938</v>
          </cell>
          <cell r="R505">
            <v>0</v>
          </cell>
        </row>
        <row r="506">
          <cell r="A506" t="str">
            <v>5M9TC4YVB00745IE1Q</v>
          </cell>
          <cell r="B506" t="str">
            <v>Q1-23</v>
          </cell>
          <cell r="C506" t="str">
            <v>Europe Operations OU</v>
          </cell>
          <cell r="D506">
            <v>2674345</v>
          </cell>
          <cell r="E506" t="str">
            <v>Amazon EU SARL, succursale Italiana</v>
          </cell>
          <cell r="F506" t="str">
            <v>5M9TC4YV</v>
          </cell>
          <cell r="G506" t="str">
            <v>B00745IE1Q</v>
          </cell>
          <cell r="H506" t="str">
            <v>910-002731</v>
          </cell>
          <cell r="I506" t="str">
            <v>OE INVOICES</v>
          </cell>
          <cell r="J506">
            <v>44421949613</v>
          </cell>
          <cell r="K506">
            <v>44670</v>
          </cell>
          <cell r="L506">
            <v>1</v>
          </cell>
          <cell r="M506" t="str">
            <v>EUR</v>
          </cell>
          <cell r="N506">
            <v>1124.1600000000001</v>
          </cell>
          <cell r="O506">
            <v>11.71</v>
          </cell>
          <cell r="P506">
            <v>96</v>
          </cell>
          <cell r="Q506">
            <v>96</v>
          </cell>
          <cell r="R506">
            <v>0</v>
          </cell>
        </row>
        <row r="507">
          <cell r="A507" t="str">
            <v>5M9TC4YVB00CJ5FP2C</v>
          </cell>
          <cell r="B507" t="str">
            <v>Q1-23</v>
          </cell>
          <cell r="C507" t="str">
            <v>Europe Operations OU</v>
          </cell>
          <cell r="D507">
            <v>2674345</v>
          </cell>
          <cell r="E507" t="str">
            <v>Amazon EU SARL, succursale Italiana</v>
          </cell>
          <cell r="F507" t="str">
            <v>5M9TC4YV</v>
          </cell>
          <cell r="G507" t="str">
            <v>B00CJ5FP2C</v>
          </cell>
          <cell r="H507" t="str">
            <v>940-000145</v>
          </cell>
          <cell r="I507" t="str">
            <v>OE INVOICES</v>
          </cell>
          <cell r="J507">
            <v>44421949613</v>
          </cell>
          <cell r="K507">
            <v>44670</v>
          </cell>
          <cell r="L507">
            <v>2</v>
          </cell>
          <cell r="M507" t="str">
            <v>EUR</v>
          </cell>
          <cell r="N507">
            <v>105.48</v>
          </cell>
          <cell r="O507">
            <v>26.37</v>
          </cell>
          <cell r="P507">
            <v>4</v>
          </cell>
          <cell r="Q507">
            <v>4</v>
          </cell>
          <cell r="R507">
            <v>0</v>
          </cell>
        </row>
        <row r="508">
          <cell r="A508" t="str">
            <v>5M9TC4YVB00EUUXFFS</v>
          </cell>
          <cell r="B508" t="str">
            <v>Q1-23</v>
          </cell>
          <cell r="C508" t="str">
            <v>Europe Operations OU</v>
          </cell>
          <cell r="D508">
            <v>2674345</v>
          </cell>
          <cell r="E508" t="str">
            <v>Amazon EU SARL, succursale Italiana</v>
          </cell>
          <cell r="F508" t="str">
            <v>5M9TC4YV</v>
          </cell>
          <cell r="G508" t="str">
            <v>B00EUUXFFS</v>
          </cell>
          <cell r="H508" t="str">
            <v>980-000814</v>
          </cell>
          <cell r="I508" t="str">
            <v>OE INVOICES</v>
          </cell>
          <cell r="J508">
            <v>44421949613</v>
          </cell>
          <cell r="K508">
            <v>44670</v>
          </cell>
          <cell r="L508">
            <v>3</v>
          </cell>
          <cell r="M508" t="str">
            <v>EUR</v>
          </cell>
          <cell r="N508">
            <v>1968</v>
          </cell>
          <cell r="O508">
            <v>20.5</v>
          </cell>
          <cell r="P508">
            <v>96</v>
          </cell>
          <cell r="Q508">
            <v>96</v>
          </cell>
          <cell r="R508">
            <v>0</v>
          </cell>
        </row>
        <row r="509">
          <cell r="A509" t="str">
            <v>5M9TC4YVB00FSF2OSS</v>
          </cell>
          <cell r="B509" t="str">
            <v>Q1-23</v>
          </cell>
          <cell r="C509" t="str">
            <v>Europe Operations OU</v>
          </cell>
          <cell r="D509">
            <v>2674345</v>
          </cell>
          <cell r="E509" t="str">
            <v>Amazon EU SARL, succursale Italiana</v>
          </cell>
          <cell r="F509" t="str">
            <v>5M9TC4YV</v>
          </cell>
          <cell r="G509" t="str">
            <v>B00FSF2OSS</v>
          </cell>
          <cell r="H509" t="str">
            <v>980-000812</v>
          </cell>
          <cell r="I509" t="str">
            <v>OE INVOICES</v>
          </cell>
          <cell r="J509">
            <v>44421950100</v>
          </cell>
          <cell r="K509">
            <v>44670</v>
          </cell>
          <cell r="L509">
            <v>1</v>
          </cell>
          <cell r="M509" t="str">
            <v>EUR</v>
          </cell>
          <cell r="N509">
            <v>117.12</v>
          </cell>
          <cell r="O509">
            <v>29.28</v>
          </cell>
          <cell r="P509">
            <v>4</v>
          </cell>
          <cell r="Q509">
            <v>4</v>
          </cell>
          <cell r="R509">
            <v>0</v>
          </cell>
        </row>
        <row r="510">
          <cell r="A510" t="str">
            <v>5M9TC4YVB00L8VNQ88</v>
          </cell>
          <cell r="B510" t="str">
            <v>Q1-23</v>
          </cell>
          <cell r="C510" t="str">
            <v>Europe Operations OU</v>
          </cell>
          <cell r="D510">
            <v>2674345</v>
          </cell>
          <cell r="E510" t="str">
            <v>Amazon EU SARL, succursale Italiana</v>
          </cell>
          <cell r="F510" t="str">
            <v>5M9TC4YV</v>
          </cell>
          <cell r="G510" t="str">
            <v>B00L8VNQ88</v>
          </cell>
          <cell r="H510" t="str">
            <v>910-004067</v>
          </cell>
          <cell r="I510" t="str">
            <v>OE INVOICES</v>
          </cell>
          <cell r="J510">
            <v>44421949613</v>
          </cell>
          <cell r="K510">
            <v>44670</v>
          </cell>
          <cell r="L510">
            <v>4</v>
          </cell>
          <cell r="M510" t="str">
            <v>EUR</v>
          </cell>
          <cell r="N510">
            <v>886.32</v>
          </cell>
          <cell r="O510">
            <v>36.93</v>
          </cell>
          <cell r="P510">
            <v>24</v>
          </cell>
          <cell r="Q510">
            <v>24</v>
          </cell>
          <cell r="R510">
            <v>0</v>
          </cell>
        </row>
        <row r="511">
          <cell r="A511" t="str">
            <v>5M9TC4YVB00VHHWNMI</v>
          </cell>
          <cell r="B511" t="str">
            <v>Q1-23</v>
          </cell>
          <cell r="C511" t="str">
            <v>Europe Operations OU</v>
          </cell>
          <cell r="D511">
            <v>2674345</v>
          </cell>
          <cell r="E511" t="str">
            <v>Amazon EU SARL, succursale Italiana</v>
          </cell>
          <cell r="F511" t="str">
            <v>5M9TC4YV</v>
          </cell>
          <cell r="G511" t="str">
            <v>B00VHHWNMI</v>
          </cell>
          <cell r="H511" t="str">
            <v>920-007127</v>
          </cell>
          <cell r="I511" t="str">
            <v>OE INVOICES</v>
          </cell>
          <cell r="J511">
            <v>44421949613</v>
          </cell>
          <cell r="K511">
            <v>44670</v>
          </cell>
          <cell r="L511">
            <v>5</v>
          </cell>
          <cell r="M511" t="str">
            <v>EUR</v>
          </cell>
          <cell r="N511">
            <v>292.8</v>
          </cell>
          <cell r="O511">
            <v>29.28</v>
          </cell>
          <cell r="P511">
            <v>10</v>
          </cell>
          <cell r="Q511">
            <v>10</v>
          </cell>
          <cell r="R511">
            <v>0</v>
          </cell>
        </row>
        <row r="512">
          <cell r="A512" t="str">
            <v>5M9TC4YVB01N5NYRES</v>
          </cell>
          <cell r="B512" t="str">
            <v>Q1-23</v>
          </cell>
          <cell r="C512" t="str">
            <v>Europe Operations OU</v>
          </cell>
          <cell r="D512">
            <v>2674345</v>
          </cell>
          <cell r="E512" t="str">
            <v>Amazon EU SARL, succursale Italiana</v>
          </cell>
          <cell r="F512" t="str">
            <v>5M9TC4YV</v>
          </cell>
          <cell r="G512" t="str">
            <v>B01N5NYRES</v>
          </cell>
          <cell r="H512" t="str">
            <v>960-001106</v>
          </cell>
          <cell r="I512" t="str">
            <v>OE INVOICES</v>
          </cell>
          <cell r="J512">
            <v>44421950100</v>
          </cell>
          <cell r="K512">
            <v>44670</v>
          </cell>
          <cell r="L512">
            <v>2</v>
          </cell>
          <cell r="M512" t="str">
            <v>EUR</v>
          </cell>
          <cell r="N512">
            <v>154868.76</v>
          </cell>
          <cell r="O512">
            <v>159.33000000000001</v>
          </cell>
          <cell r="P512">
            <v>972</v>
          </cell>
          <cell r="Q512">
            <v>972</v>
          </cell>
          <cell r="R512">
            <v>0</v>
          </cell>
        </row>
        <row r="513">
          <cell r="A513" t="str">
            <v>5M9TC4YVB072R4BL6S</v>
          </cell>
          <cell r="B513" t="str">
            <v>Q1-23</v>
          </cell>
          <cell r="C513" t="str">
            <v>Europe Operations OU</v>
          </cell>
          <cell r="D513">
            <v>2674345</v>
          </cell>
          <cell r="E513" t="str">
            <v>Amazon EU SARL, succursale Italiana</v>
          </cell>
          <cell r="F513" t="str">
            <v>5M9TC4YV</v>
          </cell>
          <cell r="G513" t="str">
            <v>B072R4BL6S</v>
          </cell>
          <cell r="H513" t="str">
            <v>989-000405</v>
          </cell>
          <cell r="I513" t="str">
            <v>OE INVOICES</v>
          </cell>
          <cell r="J513">
            <v>44421949613</v>
          </cell>
          <cell r="K513">
            <v>44670</v>
          </cell>
          <cell r="L513">
            <v>6</v>
          </cell>
          <cell r="M513" t="str">
            <v>EUR</v>
          </cell>
          <cell r="N513">
            <v>664</v>
          </cell>
          <cell r="O513">
            <v>166</v>
          </cell>
          <cell r="P513">
            <v>4</v>
          </cell>
          <cell r="Q513">
            <v>4</v>
          </cell>
          <cell r="R513">
            <v>0</v>
          </cell>
        </row>
        <row r="514">
          <cell r="A514" t="str">
            <v>5M9TC4YVB07FNHV4MW</v>
          </cell>
          <cell r="B514" t="str">
            <v>Q1-23</v>
          </cell>
          <cell r="C514" t="str">
            <v>Europe Operations OU</v>
          </cell>
          <cell r="D514">
            <v>2674345</v>
          </cell>
          <cell r="E514" t="str">
            <v>Amazon EU SARL, succursale Italiana</v>
          </cell>
          <cell r="F514" t="str">
            <v>5M9TC4YV</v>
          </cell>
          <cell r="G514" t="str">
            <v>B07FNHV4MW</v>
          </cell>
          <cell r="H514" t="str">
            <v>910-005448</v>
          </cell>
          <cell r="I514" t="str">
            <v>OE INVOICES</v>
          </cell>
          <cell r="J514">
            <v>44421949613</v>
          </cell>
          <cell r="K514">
            <v>44670</v>
          </cell>
          <cell r="L514">
            <v>7</v>
          </cell>
          <cell r="M514" t="str">
            <v>EUR</v>
          </cell>
          <cell r="N514">
            <v>42322.879999999997</v>
          </cell>
          <cell r="O514">
            <v>69.61</v>
          </cell>
          <cell r="P514">
            <v>608</v>
          </cell>
          <cell r="Q514">
            <v>608</v>
          </cell>
          <cell r="R514">
            <v>0</v>
          </cell>
        </row>
        <row r="515">
          <cell r="A515" t="str">
            <v>5M9TC4YVB07GDYYN38</v>
          </cell>
          <cell r="B515" t="str">
            <v>Q1-23</v>
          </cell>
          <cell r="C515" t="str">
            <v>Europe Operations OU</v>
          </cell>
          <cell r="D515">
            <v>2674345</v>
          </cell>
          <cell r="E515" t="str">
            <v>Amazon EU SARL, succursale Italiana</v>
          </cell>
          <cell r="F515" t="str">
            <v>5M9TC4YV</v>
          </cell>
          <cell r="G515" t="str">
            <v>B07GDYYN38</v>
          </cell>
          <cell r="H515" t="str">
            <v>910-005489</v>
          </cell>
          <cell r="I515" t="str">
            <v>OE INVOICES</v>
          </cell>
          <cell r="J515">
            <v>44421949613</v>
          </cell>
          <cell r="K515">
            <v>44670</v>
          </cell>
          <cell r="L515">
            <v>8</v>
          </cell>
          <cell r="M515" t="str">
            <v>EUR</v>
          </cell>
          <cell r="N515">
            <v>263.39999999999998</v>
          </cell>
          <cell r="O515">
            <v>8.7799999999999994</v>
          </cell>
          <cell r="P515">
            <v>30</v>
          </cell>
          <cell r="Q515">
            <v>30</v>
          </cell>
          <cell r="R515">
            <v>0</v>
          </cell>
        </row>
        <row r="516">
          <cell r="A516" t="str">
            <v>5M9TC4YVB07S69F4HC</v>
          </cell>
          <cell r="B516" t="str">
            <v>Q1-23</v>
          </cell>
          <cell r="C516" t="str">
            <v>Europe Operations OU</v>
          </cell>
          <cell r="D516">
            <v>2674345</v>
          </cell>
          <cell r="E516" t="str">
            <v>Amazon EU SARL, succursale Italiana</v>
          </cell>
          <cell r="F516" t="str">
            <v>5M9TC4YV</v>
          </cell>
          <cell r="G516" t="str">
            <v>B07S69F4HC</v>
          </cell>
          <cell r="H516" t="str">
            <v>910-005632</v>
          </cell>
          <cell r="I516" t="str">
            <v>OE INVOICES</v>
          </cell>
          <cell r="J516">
            <v>44421949613</v>
          </cell>
          <cell r="K516">
            <v>44670</v>
          </cell>
          <cell r="L516">
            <v>9</v>
          </cell>
          <cell r="M516" t="str">
            <v>EUR</v>
          </cell>
          <cell r="N516">
            <v>3545.28</v>
          </cell>
          <cell r="O516">
            <v>36.93</v>
          </cell>
          <cell r="P516">
            <v>96</v>
          </cell>
          <cell r="Q516">
            <v>96</v>
          </cell>
          <cell r="R516">
            <v>0</v>
          </cell>
        </row>
        <row r="517">
          <cell r="A517" t="str">
            <v>5M9TC4YVB07VCS1895</v>
          </cell>
          <cell r="B517" t="str">
            <v>Q1-23</v>
          </cell>
          <cell r="C517" t="str">
            <v>Europe Operations OU</v>
          </cell>
          <cell r="D517">
            <v>2674345</v>
          </cell>
          <cell r="E517" t="str">
            <v>Amazon EU SARL, succursale Italiana</v>
          </cell>
          <cell r="F517" t="str">
            <v>5M9TC4YV</v>
          </cell>
          <cell r="G517" t="str">
            <v>B07VCS1895</v>
          </cell>
          <cell r="H517" t="str">
            <v>920-009188</v>
          </cell>
          <cell r="I517" t="str">
            <v>OE INVOICES</v>
          </cell>
          <cell r="J517">
            <v>44421949613</v>
          </cell>
          <cell r="K517">
            <v>44670</v>
          </cell>
          <cell r="L517">
            <v>10</v>
          </cell>
          <cell r="M517" t="str">
            <v>EUR</v>
          </cell>
          <cell r="N517">
            <v>5901.84</v>
          </cell>
          <cell r="O517">
            <v>35.130000000000003</v>
          </cell>
          <cell r="P517">
            <v>168</v>
          </cell>
          <cell r="Q517">
            <v>168</v>
          </cell>
          <cell r="R517">
            <v>0</v>
          </cell>
        </row>
        <row r="518">
          <cell r="A518" t="str">
            <v>5M9TC4YVB07VFVRZ6Y</v>
          </cell>
          <cell r="B518" t="str">
            <v>Q1-23</v>
          </cell>
          <cell r="C518" t="str">
            <v>Europe Operations OU</v>
          </cell>
          <cell r="D518">
            <v>2674345</v>
          </cell>
          <cell r="E518" t="str">
            <v>Amazon EU SARL, succursale Italiana</v>
          </cell>
          <cell r="F518" t="str">
            <v>5M9TC4YV</v>
          </cell>
          <cell r="G518" t="str">
            <v>B07VFVRZ6Y</v>
          </cell>
          <cell r="H518" t="str">
            <v>920-009202</v>
          </cell>
          <cell r="I518" t="str">
            <v>OE INVOICES</v>
          </cell>
          <cell r="J518">
            <v>44421949613</v>
          </cell>
          <cell r="K518">
            <v>44670</v>
          </cell>
          <cell r="L518">
            <v>11</v>
          </cell>
          <cell r="M518" t="str">
            <v>EUR</v>
          </cell>
          <cell r="N518">
            <v>1545.72</v>
          </cell>
          <cell r="O518">
            <v>35.130000000000003</v>
          </cell>
          <cell r="P518">
            <v>44</v>
          </cell>
          <cell r="Q518">
            <v>44</v>
          </cell>
          <cell r="R518">
            <v>0</v>
          </cell>
        </row>
        <row r="519">
          <cell r="A519" t="str">
            <v>5M9TC4YVB07W4DGCMV</v>
          </cell>
          <cell r="B519" t="str">
            <v>Q1-23</v>
          </cell>
          <cell r="C519" t="str">
            <v>Europe Operations OU</v>
          </cell>
          <cell r="D519">
            <v>2674345</v>
          </cell>
          <cell r="E519" t="str">
            <v>Amazon EU SARL, succursale Italiana</v>
          </cell>
          <cell r="F519" t="str">
            <v>5M9TC4YV</v>
          </cell>
          <cell r="G519" t="str">
            <v>B07W4DGCMV</v>
          </cell>
          <cell r="H519" t="str">
            <v>920-009865</v>
          </cell>
          <cell r="I519" t="str">
            <v>OE INVOICES</v>
          </cell>
          <cell r="J519">
            <v>44421949613</v>
          </cell>
          <cell r="K519">
            <v>44670</v>
          </cell>
          <cell r="L519">
            <v>12</v>
          </cell>
          <cell r="M519" t="str">
            <v>EUR</v>
          </cell>
          <cell r="N519">
            <v>234.24</v>
          </cell>
          <cell r="O519">
            <v>29.28</v>
          </cell>
          <cell r="P519">
            <v>8</v>
          </cell>
          <cell r="Q519">
            <v>8</v>
          </cell>
          <cell r="R519">
            <v>0</v>
          </cell>
        </row>
        <row r="520">
          <cell r="A520" t="str">
            <v>5M9TC4YVB07W4DHQJ9</v>
          </cell>
          <cell r="B520" t="str">
            <v>Q1-23</v>
          </cell>
          <cell r="C520" t="str">
            <v>Europe Operations OU</v>
          </cell>
          <cell r="D520">
            <v>2674345</v>
          </cell>
          <cell r="E520" t="str">
            <v>Amazon EU SARL, succursale Italiana</v>
          </cell>
          <cell r="F520" t="str">
            <v>5M9TC4YV</v>
          </cell>
          <cell r="G520" t="str">
            <v>B07W4DHQJ9</v>
          </cell>
          <cell r="H520" t="str">
            <v>910-005872</v>
          </cell>
          <cell r="I520" t="str">
            <v>OE INVOICES</v>
          </cell>
          <cell r="J520">
            <v>44421949613</v>
          </cell>
          <cell r="K520">
            <v>44670</v>
          </cell>
          <cell r="L520">
            <v>13</v>
          </cell>
          <cell r="M520" t="str">
            <v>EUR</v>
          </cell>
          <cell r="N520">
            <v>3480</v>
          </cell>
          <cell r="O520">
            <v>29</v>
          </cell>
          <cell r="P520">
            <v>120</v>
          </cell>
          <cell r="Q520">
            <v>120</v>
          </cell>
          <cell r="R520">
            <v>0</v>
          </cell>
        </row>
        <row r="521">
          <cell r="A521" t="str">
            <v>5M9TC4YVB07W4DHS5B</v>
          </cell>
          <cell r="B521" t="str">
            <v>Q1-23</v>
          </cell>
          <cell r="C521" t="str">
            <v>Europe Operations OU</v>
          </cell>
          <cell r="D521">
            <v>2674345</v>
          </cell>
          <cell r="E521" t="str">
            <v>Amazon EU SARL, succursale Italiana</v>
          </cell>
          <cell r="F521" t="str">
            <v>5M9TC4YV</v>
          </cell>
          <cell r="G521" t="str">
            <v>B07W4DHS5B</v>
          </cell>
          <cell r="H521" t="str">
            <v>960-001297</v>
          </cell>
          <cell r="I521" t="str">
            <v>OE INVOICES</v>
          </cell>
          <cell r="J521">
            <v>44421949613</v>
          </cell>
          <cell r="K521">
            <v>44670</v>
          </cell>
          <cell r="L521">
            <v>14</v>
          </cell>
          <cell r="M521" t="str">
            <v>EUR</v>
          </cell>
          <cell r="N521">
            <v>13282.56</v>
          </cell>
          <cell r="O521">
            <v>92.24</v>
          </cell>
          <cell r="P521">
            <v>144</v>
          </cell>
          <cell r="Q521">
            <v>144</v>
          </cell>
          <cell r="R521">
            <v>0</v>
          </cell>
        </row>
        <row r="522">
          <cell r="A522" t="str">
            <v>5M9TC4YVB07W4DHT47</v>
          </cell>
          <cell r="B522" t="str">
            <v>Q1-23</v>
          </cell>
          <cell r="C522" t="str">
            <v>Europe Operations OU</v>
          </cell>
          <cell r="D522">
            <v>2674345</v>
          </cell>
          <cell r="E522" t="str">
            <v>Amazon EU SARL, succursale Italiana</v>
          </cell>
          <cell r="F522" t="str">
            <v>5M9TC4YV</v>
          </cell>
          <cell r="G522" t="str">
            <v>B07W4DHT47</v>
          </cell>
          <cell r="H522" t="str">
            <v>910-006034</v>
          </cell>
          <cell r="I522" t="str">
            <v>OE INVOICES</v>
          </cell>
          <cell r="J522">
            <v>44421951823</v>
          </cell>
          <cell r="K522">
            <v>44672</v>
          </cell>
          <cell r="L522">
            <v>1</v>
          </cell>
          <cell r="M522" t="str">
            <v>EUR</v>
          </cell>
          <cell r="N522">
            <v>10833.6</v>
          </cell>
          <cell r="O522">
            <v>29.28</v>
          </cell>
          <cell r="P522">
            <v>370</v>
          </cell>
          <cell r="Q522">
            <v>370</v>
          </cell>
          <cell r="R522">
            <v>0</v>
          </cell>
        </row>
        <row r="523">
          <cell r="A523" t="str">
            <v>5M9TC4YVB07W5JHM12</v>
          </cell>
          <cell r="B523" t="str">
            <v>Q1-23</v>
          </cell>
          <cell r="C523" t="str">
            <v>Europe Operations OU</v>
          </cell>
          <cell r="D523">
            <v>2674345</v>
          </cell>
          <cell r="E523" t="str">
            <v>Amazon EU SARL, succursale Italiana</v>
          </cell>
          <cell r="F523" t="str">
            <v>5M9TC4YV</v>
          </cell>
          <cell r="G523" t="str">
            <v>B07W5JHM12</v>
          </cell>
          <cell r="H523" t="str">
            <v>910-006236</v>
          </cell>
          <cell r="I523" t="str">
            <v>OE INVOICES</v>
          </cell>
          <cell r="J523">
            <v>44421949613</v>
          </cell>
          <cell r="K523">
            <v>44670</v>
          </cell>
          <cell r="L523">
            <v>15</v>
          </cell>
          <cell r="M523" t="str">
            <v>EUR</v>
          </cell>
          <cell r="N523">
            <v>263.5</v>
          </cell>
          <cell r="O523">
            <v>26.35</v>
          </cell>
          <cell r="P523">
            <v>10</v>
          </cell>
          <cell r="Q523">
            <v>10</v>
          </cell>
          <cell r="R523">
            <v>0</v>
          </cell>
        </row>
        <row r="524">
          <cell r="A524" t="str">
            <v>5M9TC4YVB07W5JK8TR</v>
          </cell>
          <cell r="B524" t="str">
            <v>Q1-23</v>
          </cell>
          <cell r="C524" t="str">
            <v>Europe Operations OU</v>
          </cell>
          <cell r="D524">
            <v>2674345</v>
          </cell>
          <cell r="E524" t="str">
            <v>Amazon EU SARL, succursale Italiana</v>
          </cell>
          <cell r="F524" t="str">
            <v>5M9TC4YV</v>
          </cell>
          <cell r="G524" t="str">
            <v>B07W5JK8TR</v>
          </cell>
          <cell r="H524" t="str">
            <v>910-006098</v>
          </cell>
          <cell r="I524" t="str">
            <v>OE INVOICES</v>
          </cell>
          <cell r="J524">
            <v>44421949613</v>
          </cell>
          <cell r="K524">
            <v>44670</v>
          </cell>
          <cell r="L524">
            <v>16</v>
          </cell>
          <cell r="M524" t="str">
            <v>EUR</v>
          </cell>
          <cell r="N524">
            <v>569.76</v>
          </cell>
          <cell r="O524">
            <v>47.48</v>
          </cell>
          <cell r="P524">
            <v>12</v>
          </cell>
          <cell r="Q524">
            <v>12</v>
          </cell>
          <cell r="R524">
            <v>0</v>
          </cell>
        </row>
        <row r="525">
          <cell r="A525" t="str">
            <v>5M9TC4YVB07W5JKNB9</v>
          </cell>
          <cell r="B525" t="str">
            <v>Q1-23</v>
          </cell>
          <cell r="C525" t="str">
            <v>Europe Operations OU</v>
          </cell>
          <cell r="D525">
            <v>2674345</v>
          </cell>
          <cell r="E525" t="str">
            <v>Amazon EU SARL, succursale Italiana</v>
          </cell>
          <cell r="F525" t="str">
            <v>5M9TC4YV</v>
          </cell>
          <cell r="G525" t="str">
            <v>B07W5JKNB9</v>
          </cell>
          <cell r="H525" t="str">
            <v>920-010522</v>
          </cell>
          <cell r="I525" t="str">
            <v>OE INVOICES</v>
          </cell>
          <cell r="J525">
            <v>44421949613</v>
          </cell>
          <cell r="K525">
            <v>44670</v>
          </cell>
          <cell r="L525">
            <v>17</v>
          </cell>
          <cell r="M525" t="str">
            <v>EUR</v>
          </cell>
          <cell r="N525">
            <v>510.48</v>
          </cell>
          <cell r="O525">
            <v>63.81</v>
          </cell>
          <cell r="P525">
            <v>8</v>
          </cell>
          <cell r="Q525">
            <v>8</v>
          </cell>
          <cell r="R525">
            <v>0</v>
          </cell>
        </row>
        <row r="526">
          <cell r="A526" t="str">
            <v>5M9TC4YVB07W5JKPJX</v>
          </cell>
          <cell r="B526" t="str">
            <v>Q1-23</v>
          </cell>
          <cell r="C526" t="str">
            <v>Europe Operations OU</v>
          </cell>
          <cell r="D526">
            <v>2674345</v>
          </cell>
          <cell r="E526" t="str">
            <v>Amazon EU SARL, succursale Italiana</v>
          </cell>
          <cell r="F526" t="str">
            <v>5M9TC4YV</v>
          </cell>
          <cell r="G526" t="str">
            <v>B07W5JKPJX</v>
          </cell>
          <cell r="H526" t="str">
            <v>910-005881</v>
          </cell>
          <cell r="I526" t="str">
            <v>OE INVOICES</v>
          </cell>
          <cell r="J526">
            <v>44421949613</v>
          </cell>
          <cell r="K526">
            <v>44670</v>
          </cell>
          <cell r="L526">
            <v>18</v>
          </cell>
          <cell r="M526" t="str">
            <v>EUR</v>
          </cell>
          <cell r="N526">
            <v>335.56</v>
          </cell>
          <cell r="O526">
            <v>83.89</v>
          </cell>
          <cell r="P526">
            <v>4</v>
          </cell>
          <cell r="Q526">
            <v>4</v>
          </cell>
          <cell r="R526">
            <v>0</v>
          </cell>
        </row>
        <row r="527">
          <cell r="A527" t="str">
            <v>5M9TC4YVB07W6GY48B</v>
          </cell>
          <cell r="B527" t="str">
            <v>Q1-23</v>
          </cell>
          <cell r="C527" t="str">
            <v>Europe Operations OU</v>
          </cell>
          <cell r="D527">
            <v>2674345</v>
          </cell>
          <cell r="E527" t="str">
            <v>Amazon EU SARL, succursale Italiana</v>
          </cell>
          <cell r="F527" t="str">
            <v>5M9TC4YV</v>
          </cell>
          <cell r="G527" t="str">
            <v>B07W6GY48B</v>
          </cell>
          <cell r="H527" t="str">
            <v>920-009406</v>
          </cell>
          <cell r="I527" t="str">
            <v>OE INVOICES</v>
          </cell>
          <cell r="J527">
            <v>44421949613</v>
          </cell>
          <cell r="K527">
            <v>44670</v>
          </cell>
          <cell r="L527">
            <v>19</v>
          </cell>
          <cell r="M527" t="str">
            <v>EUR</v>
          </cell>
          <cell r="N527">
            <v>5197.4399999999996</v>
          </cell>
          <cell r="O527">
            <v>81.209999999999994</v>
          </cell>
          <cell r="P527">
            <v>64</v>
          </cell>
          <cell r="Q527">
            <v>64</v>
          </cell>
          <cell r="R527">
            <v>0</v>
          </cell>
        </row>
        <row r="528">
          <cell r="A528" t="str">
            <v>5M9TC4YVB07W6HBPSX</v>
          </cell>
          <cell r="B528" t="str">
            <v>Q1-23</v>
          </cell>
          <cell r="C528" t="str">
            <v>Europe Operations OU</v>
          </cell>
          <cell r="D528">
            <v>2674345</v>
          </cell>
          <cell r="E528" t="str">
            <v>Amazon EU SARL, succursale Italiana</v>
          </cell>
          <cell r="F528" t="str">
            <v>5M9TC4YV</v>
          </cell>
          <cell r="G528" t="str">
            <v>B07W6HBPSX</v>
          </cell>
          <cell r="H528" t="str">
            <v>981-001101</v>
          </cell>
          <cell r="I528" t="str">
            <v>OE INVOICES</v>
          </cell>
          <cell r="J528">
            <v>44421949613</v>
          </cell>
          <cell r="K528">
            <v>44670</v>
          </cell>
          <cell r="L528">
            <v>20</v>
          </cell>
          <cell r="M528" t="str">
            <v>EUR</v>
          </cell>
          <cell r="N528">
            <v>7541.04</v>
          </cell>
          <cell r="O528">
            <v>145.02000000000001</v>
          </cell>
          <cell r="P528">
            <v>52</v>
          </cell>
          <cell r="Q528">
            <v>52</v>
          </cell>
          <cell r="R528">
            <v>0</v>
          </cell>
        </row>
        <row r="529">
          <cell r="A529" t="str">
            <v>5M9TC4YVB07W6JG6Z7</v>
          </cell>
          <cell r="B529" t="str">
            <v>Q1-23</v>
          </cell>
          <cell r="C529" t="str">
            <v>Europe Operations OU</v>
          </cell>
          <cell r="D529">
            <v>2674345</v>
          </cell>
          <cell r="E529" t="str">
            <v>Amazon EU SARL, succursale Italiana</v>
          </cell>
          <cell r="F529" t="str">
            <v>5M9TC4YV</v>
          </cell>
          <cell r="G529" t="str">
            <v>B07W6JG6Z7</v>
          </cell>
          <cell r="H529" t="str">
            <v>910-005694</v>
          </cell>
          <cell r="I529" t="str">
            <v>OE INVOICES</v>
          </cell>
          <cell r="J529">
            <v>44421949613</v>
          </cell>
          <cell r="K529">
            <v>44670</v>
          </cell>
          <cell r="L529">
            <v>21</v>
          </cell>
          <cell r="M529" t="str">
            <v>EUR</v>
          </cell>
          <cell r="N529">
            <v>183397.12</v>
          </cell>
          <cell r="O529">
            <v>75.41</v>
          </cell>
          <cell r="P529">
            <v>2432</v>
          </cell>
          <cell r="Q529">
            <v>2432</v>
          </cell>
          <cell r="R529">
            <v>0</v>
          </cell>
        </row>
        <row r="530">
          <cell r="A530" t="str">
            <v>5M9TC4YVB07W7KBRHZ</v>
          </cell>
          <cell r="B530" t="str">
            <v>Q1-23</v>
          </cell>
          <cell r="C530" t="str">
            <v>Europe Operations OU</v>
          </cell>
          <cell r="D530">
            <v>2674345</v>
          </cell>
          <cell r="E530" t="str">
            <v>Amazon EU SARL, succursale Italiana</v>
          </cell>
          <cell r="F530" t="str">
            <v>5M9TC4YV</v>
          </cell>
          <cell r="G530" t="str">
            <v>B07W7KBRHZ</v>
          </cell>
          <cell r="H530" t="str">
            <v>943-000285</v>
          </cell>
          <cell r="I530" t="str">
            <v>OE INVOICES</v>
          </cell>
          <cell r="J530">
            <v>44421951823</v>
          </cell>
          <cell r="K530">
            <v>44672</v>
          </cell>
          <cell r="L530">
            <v>2</v>
          </cell>
          <cell r="M530" t="str">
            <v>EUR</v>
          </cell>
          <cell r="N530">
            <v>1327.68</v>
          </cell>
          <cell r="O530">
            <v>27.66</v>
          </cell>
          <cell r="P530">
            <v>48</v>
          </cell>
          <cell r="Q530">
            <v>48</v>
          </cell>
          <cell r="R530">
            <v>0</v>
          </cell>
        </row>
        <row r="531">
          <cell r="A531" t="str">
            <v>5M9TC4YVB07W7KTTMZ</v>
          </cell>
          <cell r="B531" t="str">
            <v>Q1-23</v>
          </cell>
          <cell r="C531" t="str">
            <v>Europe Operations OU</v>
          </cell>
          <cell r="D531">
            <v>2674345</v>
          </cell>
          <cell r="E531" t="str">
            <v>Amazon EU SARL, succursale Italiana</v>
          </cell>
          <cell r="F531" t="str">
            <v>5M9TC4YV</v>
          </cell>
          <cell r="G531" t="str">
            <v>B07W7KTTMZ</v>
          </cell>
          <cell r="H531" t="str">
            <v>920-010489</v>
          </cell>
          <cell r="I531" t="str">
            <v>OE INVOICES</v>
          </cell>
          <cell r="J531">
            <v>44421949613</v>
          </cell>
          <cell r="K531">
            <v>44670</v>
          </cell>
          <cell r="L531">
            <v>22</v>
          </cell>
          <cell r="M531" t="str">
            <v>EUR</v>
          </cell>
          <cell r="N531">
            <v>255.24</v>
          </cell>
          <cell r="O531">
            <v>63.81</v>
          </cell>
          <cell r="P531">
            <v>4</v>
          </cell>
          <cell r="Q531">
            <v>4</v>
          </cell>
          <cell r="R531">
            <v>0</v>
          </cell>
        </row>
        <row r="532">
          <cell r="A532" t="str">
            <v>5M9TC4YVB07W7LMCF9</v>
          </cell>
          <cell r="B532" t="str">
            <v>Q1-23</v>
          </cell>
          <cell r="C532" t="str">
            <v>Europe Operations OU</v>
          </cell>
          <cell r="D532">
            <v>2674345</v>
          </cell>
          <cell r="E532" t="str">
            <v>Amazon EU SARL, succursale Italiana</v>
          </cell>
          <cell r="F532" t="str">
            <v>5M9TC4YV</v>
          </cell>
          <cell r="G532" t="str">
            <v>B07W7LMCF9</v>
          </cell>
          <cell r="H532" t="str">
            <v>920-009553</v>
          </cell>
          <cell r="I532" t="str">
            <v>OE INVOICES</v>
          </cell>
          <cell r="J532">
            <v>44421949613</v>
          </cell>
          <cell r="K532">
            <v>44670</v>
          </cell>
          <cell r="L532">
            <v>23</v>
          </cell>
          <cell r="M532" t="str">
            <v>EUR</v>
          </cell>
          <cell r="N532">
            <v>9350.84</v>
          </cell>
          <cell r="O532">
            <v>75.41</v>
          </cell>
          <cell r="P532">
            <v>124</v>
          </cell>
          <cell r="Q532">
            <v>124</v>
          </cell>
          <cell r="R532">
            <v>0</v>
          </cell>
        </row>
        <row r="533">
          <cell r="A533" t="str">
            <v>5M9TC4YVB07W7MKLNT</v>
          </cell>
          <cell r="B533" t="str">
            <v>Q1-23</v>
          </cell>
          <cell r="C533" t="str">
            <v>Europe Operations OU</v>
          </cell>
          <cell r="D533">
            <v>2674345</v>
          </cell>
          <cell r="E533" t="str">
            <v>Amazon EU SARL, succursale Italiana</v>
          </cell>
          <cell r="F533" t="str">
            <v>5M9TC4YV</v>
          </cell>
          <cell r="G533" t="str">
            <v>B07W7MKLNT</v>
          </cell>
          <cell r="H533" t="str">
            <v>910-005943</v>
          </cell>
          <cell r="I533" t="str">
            <v>OE INVOICES</v>
          </cell>
          <cell r="J533">
            <v>44421949613</v>
          </cell>
          <cell r="K533">
            <v>44670</v>
          </cell>
          <cell r="L533">
            <v>24</v>
          </cell>
          <cell r="M533" t="str">
            <v>EUR</v>
          </cell>
          <cell r="N533">
            <v>6375.64</v>
          </cell>
          <cell r="O533">
            <v>83.89</v>
          </cell>
          <cell r="P533">
            <v>76</v>
          </cell>
          <cell r="Q533">
            <v>76</v>
          </cell>
          <cell r="R533">
            <v>0</v>
          </cell>
        </row>
        <row r="534">
          <cell r="A534" t="str">
            <v>5T4PO9JGB07W5JKB91</v>
          </cell>
          <cell r="B534" t="str">
            <v>Q1-23</v>
          </cell>
          <cell r="C534" t="str">
            <v>Europe Operations OU</v>
          </cell>
          <cell r="D534">
            <v>2674345</v>
          </cell>
          <cell r="E534" t="str">
            <v>Amazon EU SARL, succursale Italiana</v>
          </cell>
          <cell r="F534" t="str">
            <v>5T4PO9JG</v>
          </cell>
          <cell r="G534" t="str">
            <v>B07W5JKB91</v>
          </cell>
          <cell r="H534" t="str">
            <v>984-001688</v>
          </cell>
          <cell r="I534" t="str">
            <v>OE INVOICES</v>
          </cell>
          <cell r="J534">
            <v>44421973833</v>
          </cell>
          <cell r="K534">
            <v>44699</v>
          </cell>
          <cell r="L534">
            <v>1</v>
          </cell>
          <cell r="M534" t="str">
            <v>EUR</v>
          </cell>
          <cell r="N534">
            <v>240.27</v>
          </cell>
          <cell r="O534">
            <v>240.27</v>
          </cell>
          <cell r="P534">
            <v>1</v>
          </cell>
          <cell r="Q534">
            <v>1</v>
          </cell>
          <cell r="R534">
            <v>0</v>
          </cell>
        </row>
        <row r="535">
          <cell r="A535" t="str">
            <v>5TC236HGB07H3HGS9R</v>
          </cell>
          <cell r="B535" t="str">
            <v>Q1-23</v>
          </cell>
          <cell r="C535" t="str">
            <v>Europe Operations OU</v>
          </cell>
          <cell r="D535">
            <v>2674345</v>
          </cell>
          <cell r="E535" t="str">
            <v>Amazon EU SARL, succursale Italiana</v>
          </cell>
          <cell r="F535" t="str">
            <v>5TC236HG</v>
          </cell>
          <cell r="G535" t="str">
            <v>B07H3HGS9R</v>
          </cell>
          <cell r="H535" t="str">
            <v>910-005508</v>
          </cell>
          <cell r="I535" t="str">
            <v>OE INVOICES</v>
          </cell>
          <cell r="J535">
            <v>44421963419</v>
          </cell>
          <cell r="K535">
            <v>44691</v>
          </cell>
          <cell r="L535">
            <v>1</v>
          </cell>
          <cell r="M535" t="str">
            <v>EUR</v>
          </cell>
          <cell r="N535">
            <v>351</v>
          </cell>
          <cell r="O535">
            <v>5.85</v>
          </cell>
          <cell r="P535">
            <v>60</v>
          </cell>
          <cell r="Q535">
            <v>60</v>
          </cell>
          <cell r="R535">
            <v>0</v>
          </cell>
        </row>
        <row r="536">
          <cell r="A536" t="str">
            <v>5UESXM5PB00IOIJQ46</v>
          </cell>
          <cell r="B536" t="str">
            <v>Q1-23</v>
          </cell>
          <cell r="C536" t="str">
            <v>Europe Operations OU</v>
          </cell>
          <cell r="D536">
            <v>2674345</v>
          </cell>
          <cell r="E536" t="str">
            <v>Amazon EU SARL, succursale Italiana</v>
          </cell>
          <cell r="F536" t="str">
            <v>5UESXM5P</v>
          </cell>
          <cell r="G536" t="str">
            <v>B00IOIJQ46</v>
          </cell>
          <cell r="H536" t="str">
            <v>920-003169</v>
          </cell>
          <cell r="I536" t="str">
            <v>OE INVOICES</v>
          </cell>
          <cell r="J536">
            <v>44421963816</v>
          </cell>
          <cell r="K536">
            <v>44691</v>
          </cell>
          <cell r="L536">
            <v>1</v>
          </cell>
          <cell r="M536" t="str">
            <v>EUR</v>
          </cell>
          <cell r="N536">
            <v>280.95999999999998</v>
          </cell>
          <cell r="O536">
            <v>17.559999999999999</v>
          </cell>
          <cell r="P536">
            <v>16</v>
          </cell>
          <cell r="Q536">
            <v>16</v>
          </cell>
          <cell r="R536">
            <v>0</v>
          </cell>
        </row>
        <row r="537">
          <cell r="A537" t="str">
            <v>5UESXM5PB00JKDN6RW</v>
          </cell>
          <cell r="B537" t="str">
            <v>Q1-23</v>
          </cell>
          <cell r="C537" t="str">
            <v>Europe Operations OU</v>
          </cell>
          <cell r="D537">
            <v>2674345</v>
          </cell>
          <cell r="E537" t="str">
            <v>Amazon EU SARL, succursale Italiana</v>
          </cell>
          <cell r="F537" t="str">
            <v>5UESXM5P</v>
          </cell>
          <cell r="G537" t="str">
            <v>B00JKDN6RW</v>
          </cell>
          <cell r="H537" t="str">
            <v>980-000942</v>
          </cell>
          <cell r="I537" t="str">
            <v>OE INVOICES</v>
          </cell>
          <cell r="J537">
            <v>44421963816</v>
          </cell>
          <cell r="K537">
            <v>44691</v>
          </cell>
          <cell r="L537">
            <v>2</v>
          </cell>
          <cell r="M537" t="str">
            <v>EUR</v>
          </cell>
          <cell r="N537">
            <v>140.52000000000001</v>
          </cell>
          <cell r="O537">
            <v>35.130000000000003</v>
          </cell>
          <cell r="P537">
            <v>4</v>
          </cell>
          <cell r="Q537">
            <v>4</v>
          </cell>
          <cell r="R537">
            <v>0</v>
          </cell>
        </row>
        <row r="538">
          <cell r="A538" t="str">
            <v>5UESXM5PB01DIJIE1Q</v>
          </cell>
          <cell r="B538" t="str">
            <v>Q1-23</v>
          </cell>
          <cell r="C538" t="str">
            <v>Europe Operations OU</v>
          </cell>
          <cell r="D538">
            <v>2674345</v>
          </cell>
          <cell r="E538" t="str">
            <v>Amazon EU SARL, succursale Italiana</v>
          </cell>
          <cell r="F538" t="str">
            <v>5UESXM5P</v>
          </cell>
          <cell r="G538" t="str">
            <v>B01DIJIE1Q</v>
          </cell>
          <cell r="H538" t="str">
            <v>943-000100</v>
          </cell>
          <cell r="I538" t="str">
            <v>OE INVOICES</v>
          </cell>
          <cell r="J538">
            <v>44421963816</v>
          </cell>
          <cell r="K538">
            <v>44691</v>
          </cell>
          <cell r="L538">
            <v>3</v>
          </cell>
          <cell r="M538" t="str">
            <v>EUR</v>
          </cell>
          <cell r="N538">
            <v>126.56</v>
          </cell>
          <cell r="O538">
            <v>15.82</v>
          </cell>
          <cell r="P538">
            <v>8</v>
          </cell>
          <cell r="Q538">
            <v>8</v>
          </cell>
          <cell r="R538">
            <v>0</v>
          </cell>
        </row>
        <row r="539">
          <cell r="A539" t="str">
            <v>5UESXM5PB0748NCPN5</v>
          </cell>
          <cell r="B539" t="str">
            <v>Q1-23</v>
          </cell>
          <cell r="C539" t="str">
            <v>Europe Operations OU</v>
          </cell>
          <cell r="D539">
            <v>2674345</v>
          </cell>
          <cell r="E539" t="str">
            <v>Amazon EU SARL, succursale Italiana</v>
          </cell>
          <cell r="F539" t="str">
            <v>5UESXM5P</v>
          </cell>
          <cell r="G539" t="str">
            <v>B0748NCPN5</v>
          </cell>
          <cell r="H539" t="str">
            <v>960-001194</v>
          </cell>
          <cell r="I539" t="str">
            <v>OE INVOICES</v>
          </cell>
          <cell r="J539">
            <v>44421963816</v>
          </cell>
          <cell r="K539">
            <v>44691</v>
          </cell>
          <cell r="L539">
            <v>4</v>
          </cell>
          <cell r="M539" t="str">
            <v>EUR</v>
          </cell>
          <cell r="N539">
            <v>1155.5999999999999</v>
          </cell>
          <cell r="O539">
            <v>144.44999999999999</v>
          </cell>
          <cell r="P539">
            <v>8</v>
          </cell>
          <cell r="Q539">
            <v>8</v>
          </cell>
          <cell r="R539">
            <v>0</v>
          </cell>
        </row>
        <row r="540">
          <cell r="A540" t="str">
            <v>5UESXM5PB07L9FLRPD</v>
          </cell>
          <cell r="B540" t="str">
            <v>Q1-23</v>
          </cell>
          <cell r="C540" t="str">
            <v>Europe Operations OU</v>
          </cell>
          <cell r="D540">
            <v>2674345</v>
          </cell>
          <cell r="E540" t="str">
            <v>Amazon EU SARL, succursale Italiana</v>
          </cell>
          <cell r="F540" t="str">
            <v>5UESXM5P</v>
          </cell>
          <cell r="G540" t="str">
            <v>B07L9FLRPD</v>
          </cell>
          <cell r="H540" t="str">
            <v>910-005440</v>
          </cell>
          <cell r="I540" t="str">
            <v>OE INVOICES</v>
          </cell>
          <cell r="J540">
            <v>44421963816</v>
          </cell>
          <cell r="K540">
            <v>44691</v>
          </cell>
          <cell r="L540">
            <v>5</v>
          </cell>
          <cell r="M540" t="str">
            <v>EUR</v>
          </cell>
          <cell r="N540">
            <v>168.8</v>
          </cell>
          <cell r="O540">
            <v>42.2</v>
          </cell>
          <cell r="P540">
            <v>4</v>
          </cell>
          <cell r="Q540">
            <v>4</v>
          </cell>
          <cell r="R540">
            <v>0</v>
          </cell>
        </row>
        <row r="541">
          <cell r="A541" t="str">
            <v>5UESXM5PB07TQ6G276</v>
          </cell>
          <cell r="B541" t="str">
            <v>Q1-23</v>
          </cell>
          <cell r="C541" t="str">
            <v>Europe Operations OU</v>
          </cell>
          <cell r="D541">
            <v>2674345</v>
          </cell>
          <cell r="E541" t="str">
            <v>Amazon EU SARL, succursale Italiana</v>
          </cell>
          <cell r="F541" t="str">
            <v>5UESXM5P</v>
          </cell>
          <cell r="G541" t="str">
            <v>B07TQ6G276</v>
          </cell>
          <cell r="H541" t="str">
            <v>981-000812</v>
          </cell>
          <cell r="I541" t="str">
            <v>OE INVOICES</v>
          </cell>
          <cell r="J541">
            <v>44421963816</v>
          </cell>
          <cell r="K541">
            <v>44691</v>
          </cell>
          <cell r="L541">
            <v>6</v>
          </cell>
          <cell r="M541" t="str">
            <v>EUR</v>
          </cell>
          <cell r="N541">
            <v>422.08</v>
          </cell>
          <cell r="O541">
            <v>52.76</v>
          </cell>
          <cell r="P541">
            <v>8</v>
          </cell>
          <cell r="Q541">
            <v>8</v>
          </cell>
          <cell r="R541">
            <v>0</v>
          </cell>
        </row>
        <row r="542">
          <cell r="A542" t="str">
            <v>5UESXM5PB07W4DGCMV</v>
          </cell>
          <cell r="B542" t="str">
            <v>Q1-23</v>
          </cell>
          <cell r="C542" t="str">
            <v>Europe Operations OU</v>
          </cell>
          <cell r="D542">
            <v>2674345</v>
          </cell>
          <cell r="E542" t="str">
            <v>Amazon EU SARL, succursale Italiana</v>
          </cell>
          <cell r="F542" t="str">
            <v>5UESXM5P</v>
          </cell>
          <cell r="G542" t="str">
            <v>B07W4DGCMV</v>
          </cell>
          <cell r="H542" t="str">
            <v>920-009865</v>
          </cell>
          <cell r="I542" t="str">
            <v>OE INVOICES</v>
          </cell>
          <cell r="J542">
            <v>44421963816</v>
          </cell>
          <cell r="K542">
            <v>44691</v>
          </cell>
          <cell r="L542">
            <v>7</v>
          </cell>
          <cell r="M542" t="str">
            <v>EUR</v>
          </cell>
          <cell r="N542">
            <v>234.24</v>
          </cell>
          <cell r="O542">
            <v>29.28</v>
          </cell>
          <cell r="P542">
            <v>8</v>
          </cell>
          <cell r="Q542">
            <v>8</v>
          </cell>
          <cell r="R542">
            <v>0</v>
          </cell>
        </row>
        <row r="543">
          <cell r="A543" t="str">
            <v>5UESXM5PB07W4DHMVB</v>
          </cell>
          <cell r="B543" t="str">
            <v>Q1-23</v>
          </cell>
          <cell r="C543" t="str">
            <v>Europe Operations OU</v>
          </cell>
          <cell r="D543">
            <v>2674345</v>
          </cell>
          <cell r="E543" t="str">
            <v>Amazon EU SARL, succursale Italiana</v>
          </cell>
          <cell r="F543" t="str">
            <v>5UESXM5P</v>
          </cell>
          <cell r="G543" t="str">
            <v>B07W4DHMVB</v>
          </cell>
          <cell r="H543" t="str">
            <v>981-001074</v>
          </cell>
          <cell r="I543" t="str">
            <v>OE INVOICES</v>
          </cell>
          <cell r="J543">
            <v>44421963816</v>
          </cell>
          <cell r="K543">
            <v>44691</v>
          </cell>
          <cell r="L543">
            <v>8</v>
          </cell>
          <cell r="M543" t="str">
            <v>EUR</v>
          </cell>
          <cell r="N543">
            <v>337.6</v>
          </cell>
          <cell r="O543">
            <v>42.2</v>
          </cell>
          <cell r="P543">
            <v>8</v>
          </cell>
          <cell r="Q543">
            <v>8</v>
          </cell>
          <cell r="R543">
            <v>0</v>
          </cell>
        </row>
        <row r="544">
          <cell r="A544" t="str">
            <v>5UESXM5PB07W5JK8TR</v>
          </cell>
          <cell r="B544" t="str">
            <v>Q1-23</v>
          </cell>
          <cell r="C544" t="str">
            <v>Europe Operations OU</v>
          </cell>
          <cell r="D544">
            <v>2674345</v>
          </cell>
          <cell r="E544" t="str">
            <v>Amazon EU SARL, succursale Italiana</v>
          </cell>
          <cell r="F544" t="str">
            <v>5UESXM5P</v>
          </cell>
          <cell r="G544" t="str">
            <v>B07W5JK8TR</v>
          </cell>
          <cell r="H544" t="str">
            <v>910-006098</v>
          </cell>
          <cell r="I544" t="str">
            <v>OE INVOICES</v>
          </cell>
          <cell r="J544">
            <v>44421963816</v>
          </cell>
          <cell r="K544">
            <v>44691</v>
          </cell>
          <cell r="L544">
            <v>9</v>
          </cell>
          <cell r="M544" t="str">
            <v>EUR</v>
          </cell>
          <cell r="N544">
            <v>189.92</v>
          </cell>
          <cell r="O544">
            <v>47.48</v>
          </cell>
          <cell r="P544">
            <v>4</v>
          </cell>
          <cell r="Q544">
            <v>4</v>
          </cell>
          <cell r="R544">
            <v>0</v>
          </cell>
        </row>
        <row r="545">
          <cell r="A545" t="str">
            <v>5UESXM5PB07W6G822Y</v>
          </cell>
          <cell r="B545" t="str">
            <v>Q1-23</v>
          </cell>
          <cell r="C545" t="str">
            <v>Europe Operations OU</v>
          </cell>
          <cell r="D545">
            <v>2674345</v>
          </cell>
          <cell r="E545" t="str">
            <v>Amazon EU SARL, succursale Italiana</v>
          </cell>
          <cell r="F545" t="str">
            <v>5UESXM5P</v>
          </cell>
          <cell r="G545" t="str">
            <v>B07W6G822Y</v>
          </cell>
          <cell r="H545" t="str">
            <v>981-000984</v>
          </cell>
          <cell r="I545" t="str">
            <v>OE INVOICES</v>
          </cell>
          <cell r="J545">
            <v>44421963816</v>
          </cell>
          <cell r="K545">
            <v>44691</v>
          </cell>
          <cell r="L545">
            <v>10</v>
          </cell>
          <cell r="M545" t="str">
            <v>EUR</v>
          </cell>
          <cell r="N545">
            <v>263.7</v>
          </cell>
          <cell r="O545">
            <v>26.37</v>
          </cell>
          <cell r="P545">
            <v>10</v>
          </cell>
          <cell r="Q545">
            <v>10</v>
          </cell>
          <cell r="R545">
            <v>0</v>
          </cell>
        </row>
        <row r="546">
          <cell r="A546" t="str">
            <v>5UESXM5PB07W6HPP3R</v>
          </cell>
          <cell r="B546" t="str">
            <v>Q1-23</v>
          </cell>
          <cell r="C546" t="str">
            <v>Europe Operations OU</v>
          </cell>
          <cell r="D546">
            <v>2674345</v>
          </cell>
          <cell r="E546" t="str">
            <v>Amazon EU SARL, succursale Italiana</v>
          </cell>
          <cell r="F546" t="str">
            <v>5UESXM5P</v>
          </cell>
          <cell r="G546" t="str">
            <v>B07W6HPP3R</v>
          </cell>
          <cell r="H546" t="str">
            <v>920-010303</v>
          </cell>
          <cell r="I546" t="str">
            <v>OE INVOICES</v>
          </cell>
          <cell r="J546">
            <v>44421963816</v>
          </cell>
          <cell r="K546">
            <v>44691</v>
          </cell>
          <cell r="L546">
            <v>11</v>
          </cell>
          <cell r="M546" t="str">
            <v>EUR</v>
          </cell>
          <cell r="N546">
            <v>928.16</v>
          </cell>
          <cell r="O546">
            <v>116.02</v>
          </cell>
          <cell r="P546">
            <v>8</v>
          </cell>
          <cell r="Q546">
            <v>8</v>
          </cell>
          <cell r="R546">
            <v>0</v>
          </cell>
        </row>
        <row r="547">
          <cell r="A547" t="str">
            <v>5UESXM5PB07W7KV5KF</v>
          </cell>
          <cell r="B547" t="str">
            <v>Q1-23</v>
          </cell>
          <cell r="C547" t="str">
            <v>Europe Operations OU</v>
          </cell>
          <cell r="D547">
            <v>2674345</v>
          </cell>
          <cell r="E547" t="str">
            <v>Amazon EU SARL, succursale Italiana</v>
          </cell>
          <cell r="F547" t="str">
            <v>5UESXM5P</v>
          </cell>
          <cell r="G547" t="str">
            <v>B07W7KV5KF</v>
          </cell>
          <cell r="H547" t="str">
            <v>910-005991</v>
          </cell>
          <cell r="I547" t="str">
            <v>OE INVOICES</v>
          </cell>
          <cell r="J547">
            <v>44421963816</v>
          </cell>
          <cell r="K547">
            <v>44691</v>
          </cell>
          <cell r="L547">
            <v>12</v>
          </cell>
          <cell r="M547" t="str">
            <v>EUR</v>
          </cell>
          <cell r="N547">
            <v>580</v>
          </cell>
          <cell r="O547">
            <v>58</v>
          </cell>
          <cell r="P547">
            <v>10</v>
          </cell>
          <cell r="Q547">
            <v>10</v>
          </cell>
          <cell r="R547">
            <v>0</v>
          </cell>
        </row>
        <row r="548">
          <cell r="A548" t="str">
            <v>5WP5GFZIB00544XJDM</v>
          </cell>
          <cell r="B548" t="str">
            <v>Q1-23</v>
          </cell>
          <cell r="C548" t="str">
            <v>Europe Operations OU</v>
          </cell>
          <cell r="D548">
            <v>2674345</v>
          </cell>
          <cell r="E548" t="str">
            <v>Amazon EU SARL, succursale Italiana</v>
          </cell>
          <cell r="F548" t="str">
            <v>5WP5GFZI</v>
          </cell>
          <cell r="G548" t="str">
            <v>B00544XJDM</v>
          </cell>
          <cell r="H548" t="str">
            <v>910-002239</v>
          </cell>
          <cell r="I548" t="str">
            <v>OE INVOICES</v>
          </cell>
          <cell r="J548">
            <v>44421958331</v>
          </cell>
          <cell r="K548">
            <v>44684</v>
          </cell>
          <cell r="L548">
            <v>1</v>
          </cell>
          <cell r="M548" t="str">
            <v>EUR</v>
          </cell>
          <cell r="N548">
            <v>99.5</v>
          </cell>
          <cell r="O548">
            <v>9.9499999999999993</v>
          </cell>
          <cell r="P548">
            <v>10</v>
          </cell>
          <cell r="Q548">
            <v>10</v>
          </cell>
          <cell r="R548">
            <v>0</v>
          </cell>
        </row>
        <row r="549">
          <cell r="A549" t="str">
            <v>5WP5GFZIB07W4DGC27</v>
          </cell>
          <cell r="B549" t="str">
            <v>Q1-23</v>
          </cell>
          <cell r="C549" t="str">
            <v>Europe Operations OU</v>
          </cell>
          <cell r="D549">
            <v>2674345</v>
          </cell>
          <cell r="E549" t="str">
            <v>Amazon EU SARL, succursale Italiana</v>
          </cell>
          <cell r="F549" t="str">
            <v>5WP5GFZI</v>
          </cell>
          <cell r="G549" t="str">
            <v>B07W4DGC27</v>
          </cell>
          <cell r="H549" t="str">
            <v>910-006473</v>
          </cell>
          <cell r="I549" t="str">
            <v>OE INVOICES</v>
          </cell>
          <cell r="J549">
            <v>44421955100</v>
          </cell>
          <cell r="K549">
            <v>44677</v>
          </cell>
          <cell r="L549">
            <v>1</v>
          </cell>
          <cell r="M549" t="str">
            <v>EUR</v>
          </cell>
          <cell r="N549">
            <v>1113.5999999999999</v>
          </cell>
          <cell r="O549">
            <v>46.4</v>
          </cell>
          <cell r="P549">
            <v>24</v>
          </cell>
          <cell r="Q549">
            <v>24</v>
          </cell>
          <cell r="R549">
            <v>0</v>
          </cell>
        </row>
        <row r="550">
          <cell r="A550" t="str">
            <v>5WP5GFZIB07W4DH9CW</v>
          </cell>
          <cell r="B550" t="str">
            <v>Q1-23</v>
          </cell>
          <cell r="C550" t="str">
            <v>Europe Operations OU</v>
          </cell>
          <cell r="D550">
            <v>2674345</v>
          </cell>
          <cell r="E550" t="str">
            <v>Amazon EU SARL, succursale Italiana</v>
          </cell>
          <cell r="F550" t="str">
            <v>5WP5GFZI</v>
          </cell>
          <cell r="G550" t="str">
            <v>B07W4DH9CW</v>
          </cell>
          <cell r="H550" t="str">
            <v>910-005907</v>
          </cell>
          <cell r="I550" t="str">
            <v>OE INVOICES</v>
          </cell>
          <cell r="J550">
            <v>44421955100</v>
          </cell>
          <cell r="K550">
            <v>44677</v>
          </cell>
          <cell r="L550">
            <v>2</v>
          </cell>
          <cell r="M550" t="str">
            <v>EUR</v>
          </cell>
          <cell r="N550">
            <v>1404.8</v>
          </cell>
          <cell r="O550">
            <v>8.7799999999999994</v>
          </cell>
          <cell r="P550">
            <v>160</v>
          </cell>
          <cell r="Q550">
            <v>160</v>
          </cell>
          <cell r="R550">
            <v>0</v>
          </cell>
        </row>
        <row r="551">
          <cell r="A551" t="str">
            <v>5WP5GFZIB07W5JK4VQ</v>
          </cell>
          <cell r="B551" t="str">
            <v>Q1-23</v>
          </cell>
          <cell r="C551" t="str">
            <v>Europe Operations OU</v>
          </cell>
          <cell r="D551">
            <v>2674345</v>
          </cell>
          <cell r="E551" t="str">
            <v>Amazon EU SARL, succursale Italiana</v>
          </cell>
          <cell r="F551" t="str">
            <v>5WP5GFZI</v>
          </cell>
          <cell r="G551" t="str">
            <v>B07W5JK4VQ</v>
          </cell>
          <cell r="H551" t="str">
            <v>910-005908</v>
          </cell>
          <cell r="I551" t="str">
            <v>OE INVOICES</v>
          </cell>
          <cell r="J551">
            <v>44421958331</v>
          </cell>
          <cell r="K551">
            <v>44684</v>
          </cell>
          <cell r="L551">
            <v>2</v>
          </cell>
          <cell r="M551" t="str">
            <v>EUR</v>
          </cell>
          <cell r="N551">
            <v>263.39999999999998</v>
          </cell>
          <cell r="O551">
            <v>8.7799999999999994</v>
          </cell>
          <cell r="P551">
            <v>30</v>
          </cell>
          <cell r="Q551">
            <v>30</v>
          </cell>
          <cell r="R551">
            <v>0</v>
          </cell>
        </row>
        <row r="552">
          <cell r="A552" t="str">
            <v>61WQ77QSB01GRE7W9O</v>
          </cell>
          <cell r="B552" t="str">
            <v>Q1-23</v>
          </cell>
          <cell r="C552" t="str">
            <v>Europe Operations OU</v>
          </cell>
          <cell r="D552">
            <v>2674345</v>
          </cell>
          <cell r="E552" t="str">
            <v>Amazon EU SARL, succursale Italiana</v>
          </cell>
          <cell r="F552" t="str">
            <v>61WQ77QS</v>
          </cell>
          <cell r="G552" t="str">
            <v>B01GRE7W9O</v>
          </cell>
          <cell r="H552" t="str">
            <v>960-001076</v>
          </cell>
          <cell r="I552" t="str">
            <v>OE INVOICES</v>
          </cell>
          <cell r="J552">
            <v>44421952269</v>
          </cell>
          <cell r="K552">
            <v>44672</v>
          </cell>
          <cell r="L552">
            <v>1</v>
          </cell>
          <cell r="M552" t="str">
            <v>EUR</v>
          </cell>
          <cell r="N552">
            <v>2906.8</v>
          </cell>
          <cell r="O552">
            <v>72.67</v>
          </cell>
          <cell r="P552">
            <v>40</v>
          </cell>
          <cell r="Q552">
            <v>40</v>
          </cell>
          <cell r="R552">
            <v>0</v>
          </cell>
        </row>
        <row r="553">
          <cell r="A553" t="str">
            <v>61WQ77QSB07GS6ZS8J</v>
          </cell>
          <cell r="B553" t="str">
            <v>Q1-23</v>
          </cell>
          <cell r="C553" t="str">
            <v>Europe Operations OU</v>
          </cell>
          <cell r="D553">
            <v>2674345</v>
          </cell>
          <cell r="E553" t="str">
            <v>Amazon EU SARL, succursale Italiana</v>
          </cell>
          <cell r="F553" t="str">
            <v>61WQ77QS</v>
          </cell>
          <cell r="G553" t="str">
            <v>B07GS6ZS8J</v>
          </cell>
          <cell r="H553" t="str">
            <v>910-005470</v>
          </cell>
          <cell r="I553" t="str">
            <v>OE INVOICES</v>
          </cell>
          <cell r="J553">
            <v>44421952269</v>
          </cell>
          <cell r="K553">
            <v>44672</v>
          </cell>
          <cell r="L553">
            <v>2</v>
          </cell>
          <cell r="M553" t="str">
            <v>EUR</v>
          </cell>
          <cell r="N553">
            <v>45200.959999999999</v>
          </cell>
          <cell r="O553">
            <v>47.48</v>
          </cell>
          <cell r="P553">
            <v>952</v>
          </cell>
          <cell r="Q553">
            <v>952</v>
          </cell>
          <cell r="R553">
            <v>0</v>
          </cell>
        </row>
        <row r="554">
          <cell r="A554" t="str">
            <v>68K72QXCB003V4A5UW</v>
          </cell>
          <cell r="B554" t="str">
            <v>Q1-23</v>
          </cell>
          <cell r="C554" t="str">
            <v>Europe Operations OU</v>
          </cell>
          <cell r="D554">
            <v>2674345</v>
          </cell>
          <cell r="E554" t="str">
            <v>Amazon EU SARL, succursale Italiana</v>
          </cell>
          <cell r="F554" t="str">
            <v>68K72QXC</v>
          </cell>
          <cell r="G554" t="str">
            <v>B003V4A5UW</v>
          </cell>
          <cell r="H554" t="str">
            <v>920-002539</v>
          </cell>
          <cell r="I554" t="str">
            <v>OE INVOICES</v>
          </cell>
          <cell r="J554">
            <v>44421961196</v>
          </cell>
          <cell r="K554">
            <v>44687</v>
          </cell>
          <cell r="L554">
            <v>1</v>
          </cell>
          <cell r="M554" t="str">
            <v>EUR</v>
          </cell>
          <cell r="N554">
            <v>292.8</v>
          </cell>
          <cell r="O554">
            <v>14.64</v>
          </cell>
          <cell r="P554">
            <v>20</v>
          </cell>
          <cell r="Q554">
            <v>20</v>
          </cell>
          <cell r="R554">
            <v>0</v>
          </cell>
        </row>
        <row r="555">
          <cell r="A555" t="str">
            <v>68K72QXCB01MCXJWD1</v>
          </cell>
          <cell r="B555" t="str">
            <v>Q1-23</v>
          </cell>
          <cell r="C555" t="str">
            <v>Europe Operations OU</v>
          </cell>
          <cell r="D555">
            <v>2674345</v>
          </cell>
          <cell r="E555" t="str">
            <v>Amazon EU SARL, succursale Italiana</v>
          </cell>
          <cell r="F555" t="str">
            <v>68K72QXC</v>
          </cell>
          <cell r="G555" t="str">
            <v>B01MCXJWD1</v>
          </cell>
          <cell r="H555" t="str">
            <v>945-000004</v>
          </cell>
          <cell r="I555" t="str">
            <v>OE INVOICES</v>
          </cell>
          <cell r="J555">
            <v>44421961196</v>
          </cell>
          <cell r="K555">
            <v>44687</v>
          </cell>
          <cell r="L555">
            <v>2</v>
          </cell>
          <cell r="M555" t="str">
            <v>EUR</v>
          </cell>
          <cell r="N555">
            <v>335.56</v>
          </cell>
          <cell r="O555">
            <v>83.89</v>
          </cell>
          <cell r="P555">
            <v>4</v>
          </cell>
          <cell r="Q555">
            <v>4</v>
          </cell>
          <cell r="R555">
            <v>0</v>
          </cell>
        </row>
        <row r="556">
          <cell r="A556" t="str">
            <v>68K72QXCB078MHS3SC</v>
          </cell>
          <cell r="B556" t="str">
            <v>Q1-23</v>
          </cell>
          <cell r="C556" t="str">
            <v>Europe Operations OU</v>
          </cell>
          <cell r="D556">
            <v>2674345</v>
          </cell>
          <cell r="E556" t="str">
            <v>Amazon EU SARL, succursale Italiana</v>
          </cell>
          <cell r="F556" t="str">
            <v>68K72QXC</v>
          </cell>
          <cell r="G556" t="str">
            <v>B078MHS3SC</v>
          </cell>
          <cell r="H556" t="str">
            <v>988-000247</v>
          </cell>
          <cell r="I556" t="str">
            <v>OE INVOICES</v>
          </cell>
          <cell r="J556">
            <v>44421961196</v>
          </cell>
          <cell r="K556">
            <v>44687</v>
          </cell>
          <cell r="L556">
            <v>3</v>
          </cell>
          <cell r="M556" t="str">
            <v>EUR</v>
          </cell>
          <cell r="N556">
            <v>1272.72</v>
          </cell>
          <cell r="O556">
            <v>159.09</v>
          </cell>
          <cell r="P556">
            <v>8</v>
          </cell>
          <cell r="Q556">
            <v>8</v>
          </cell>
          <cell r="R556">
            <v>0</v>
          </cell>
        </row>
        <row r="557">
          <cell r="A557" t="str">
            <v>68K72QXCB07JGCM9QM</v>
          </cell>
          <cell r="B557" t="str">
            <v>Q1-23</v>
          </cell>
          <cell r="C557" t="str">
            <v>Europe Operations OU</v>
          </cell>
          <cell r="D557">
            <v>2674345</v>
          </cell>
          <cell r="E557" t="str">
            <v>Amazon EU SARL, succursale Italiana</v>
          </cell>
          <cell r="F557" t="str">
            <v>68K72QXC</v>
          </cell>
          <cell r="G557" t="str">
            <v>B07JGCM9QM</v>
          </cell>
          <cell r="H557" t="str">
            <v>945-000062</v>
          </cell>
          <cell r="I557" t="str">
            <v>OE INVOICES</v>
          </cell>
          <cell r="J557">
            <v>44421961196</v>
          </cell>
          <cell r="K557">
            <v>44687</v>
          </cell>
          <cell r="L557">
            <v>4</v>
          </cell>
          <cell r="M557" t="str">
            <v>EUR</v>
          </cell>
          <cell r="N557">
            <v>1177.68</v>
          </cell>
          <cell r="O557">
            <v>147.21</v>
          </cell>
          <cell r="P557">
            <v>8</v>
          </cell>
          <cell r="Q557">
            <v>8</v>
          </cell>
          <cell r="R557">
            <v>0</v>
          </cell>
        </row>
        <row r="558">
          <cell r="A558" t="str">
            <v>6D1HFTMSB003LNXT7Y</v>
          </cell>
          <cell r="B558" t="str">
            <v>Q1-23</v>
          </cell>
          <cell r="C558" t="str">
            <v>Europe Operations OU</v>
          </cell>
          <cell r="D558">
            <v>2674345</v>
          </cell>
          <cell r="E558" t="str">
            <v>Amazon EU SARL, succursale Italiana</v>
          </cell>
          <cell r="F558" t="str">
            <v>6D1HFTMS</v>
          </cell>
          <cell r="G558" t="str">
            <v>B003LNXT7Y</v>
          </cell>
          <cell r="H558" t="str">
            <v>980-000413</v>
          </cell>
          <cell r="I558" t="str">
            <v>OE INVOICES</v>
          </cell>
          <cell r="J558">
            <v>44421961187</v>
          </cell>
          <cell r="K558">
            <v>44687</v>
          </cell>
          <cell r="L558">
            <v>1</v>
          </cell>
          <cell r="M558" t="str">
            <v>EUR</v>
          </cell>
          <cell r="N558">
            <v>983.64</v>
          </cell>
          <cell r="O558">
            <v>35.130000000000003</v>
          </cell>
          <cell r="P558">
            <v>28</v>
          </cell>
          <cell r="Q558">
            <v>28</v>
          </cell>
          <cell r="R558">
            <v>0</v>
          </cell>
        </row>
        <row r="559">
          <cell r="A559" t="str">
            <v>6D1HFTMSB004IO5BMQ</v>
          </cell>
          <cell r="B559" t="str">
            <v>Q1-23</v>
          </cell>
          <cell r="C559" t="str">
            <v>Europe Operations OU</v>
          </cell>
          <cell r="D559">
            <v>2674345</v>
          </cell>
          <cell r="E559" t="str">
            <v>Amazon EU SARL, succursale Italiana</v>
          </cell>
          <cell r="F559" t="str">
            <v>6D1HFTMS</v>
          </cell>
          <cell r="G559" t="str">
            <v>B004IO5BMQ</v>
          </cell>
          <cell r="H559" t="str">
            <v>910-002201</v>
          </cell>
          <cell r="I559" t="str">
            <v>OE INVOICES</v>
          </cell>
          <cell r="J559">
            <v>44421961187</v>
          </cell>
          <cell r="K559">
            <v>44687</v>
          </cell>
          <cell r="L559">
            <v>2</v>
          </cell>
          <cell r="M559" t="str">
            <v>EUR</v>
          </cell>
          <cell r="N559">
            <v>585.6</v>
          </cell>
          <cell r="O559">
            <v>14.64</v>
          </cell>
          <cell r="P559">
            <v>40</v>
          </cell>
          <cell r="Q559">
            <v>40</v>
          </cell>
          <cell r="R559">
            <v>0</v>
          </cell>
        </row>
        <row r="560">
          <cell r="A560" t="str">
            <v>6D1HFTMSB00552K0GM</v>
          </cell>
          <cell r="B560" t="str">
            <v>Q1-23</v>
          </cell>
          <cell r="C560" t="str">
            <v>Europe Operations OU</v>
          </cell>
          <cell r="D560">
            <v>2674345</v>
          </cell>
          <cell r="E560" t="str">
            <v>Amazon EU SARL, succursale Italiana</v>
          </cell>
          <cell r="F560" t="str">
            <v>6D1HFTMS</v>
          </cell>
          <cell r="G560" t="str">
            <v>B00552K0GM</v>
          </cell>
          <cell r="H560" t="str">
            <v>910-002235</v>
          </cell>
          <cell r="I560" t="str">
            <v>OE INVOICES</v>
          </cell>
          <cell r="J560">
            <v>44421961187</v>
          </cell>
          <cell r="K560">
            <v>44687</v>
          </cell>
          <cell r="L560">
            <v>3</v>
          </cell>
          <cell r="M560" t="str">
            <v>EUR</v>
          </cell>
          <cell r="N560">
            <v>3383</v>
          </cell>
          <cell r="O560">
            <v>9.9499999999999993</v>
          </cell>
          <cell r="P560">
            <v>340</v>
          </cell>
          <cell r="Q560">
            <v>340</v>
          </cell>
          <cell r="R560">
            <v>0</v>
          </cell>
        </row>
        <row r="561">
          <cell r="A561" t="str">
            <v>6D1HFTMSB006ZLK9SQ</v>
          </cell>
          <cell r="B561" t="str">
            <v>Q1-23</v>
          </cell>
          <cell r="C561" t="str">
            <v>Europe Operations OU</v>
          </cell>
          <cell r="D561">
            <v>2674345</v>
          </cell>
          <cell r="E561" t="str">
            <v>Amazon EU SARL, succursale Italiana</v>
          </cell>
          <cell r="F561" t="str">
            <v>6D1HFTMS</v>
          </cell>
          <cell r="G561" t="str">
            <v>B006ZLK9SQ</v>
          </cell>
          <cell r="H561" t="str">
            <v>920-003721</v>
          </cell>
          <cell r="I561" t="str">
            <v>OE INVOICES</v>
          </cell>
          <cell r="J561">
            <v>44421961187</v>
          </cell>
          <cell r="K561">
            <v>44687</v>
          </cell>
          <cell r="L561">
            <v>5</v>
          </cell>
          <cell r="M561" t="str">
            <v>EUR</v>
          </cell>
          <cell r="N561">
            <v>280.95999999999998</v>
          </cell>
          <cell r="O561">
            <v>17.559999999999999</v>
          </cell>
          <cell r="P561">
            <v>16</v>
          </cell>
          <cell r="Q561">
            <v>16</v>
          </cell>
          <cell r="R561">
            <v>0</v>
          </cell>
        </row>
        <row r="562">
          <cell r="A562" t="str">
            <v>6D1HFTMSB00745IE1Q</v>
          </cell>
          <cell r="B562" t="str">
            <v>Q1-23</v>
          </cell>
          <cell r="C562" t="str">
            <v>Europe Operations OU</v>
          </cell>
          <cell r="D562">
            <v>2674345</v>
          </cell>
          <cell r="E562" t="str">
            <v>Amazon EU SARL, succursale Italiana</v>
          </cell>
          <cell r="F562" t="str">
            <v>6D1HFTMS</v>
          </cell>
          <cell r="G562" t="str">
            <v>B00745IE1Q</v>
          </cell>
          <cell r="H562" t="str">
            <v>910-002731</v>
          </cell>
          <cell r="I562" t="str">
            <v>OE INVOICES</v>
          </cell>
          <cell r="J562">
            <v>44421961187</v>
          </cell>
          <cell r="K562">
            <v>44687</v>
          </cell>
          <cell r="L562">
            <v>4</v>
          </cell>
          <cell r="M562" t="str">
            <v>EUR</v>
          </cell>
          <cell r="N562">
            <v>93.68</v>
          </cell>
          <cell r="O562">
            <v>11.71</v>
          </cell>
          <cell r="P562">
            <v>8</v>
          </cell>
          <cell r="Q562">
            <v>8</v>
          </cell>
          <cell r="R562">
            <v>0</v>
          </cell>
        </row>
        <row r="563">
          <cell r="A563" t="str">
            <v>6D1HFTMSB00EUUX59O</v>
          </cell>
          <cell r="B563" t="str">
            <v>Q1-23</v>
          </cell>
          <cell r="C563" t="str">
            <v>Europe Operations OU</v>
          </cell>
          <cell r="D563">
            <v>2674345</v>
          </cell>
          <cell r="E563" t="str">
            <v>Amazon EU SARL, succursale Italiana</v>
          </cell>
          <cell r="F563" t="str">
            <v>6D1HFTMS</v>
          </cell>
          <cell r="G563" t="str">
            <v>B00EUUX59O</v>
          </cell>
          <cell r="H563" t="str">
            <v>980-000811</v>
          </cell>
          <cell r="I563" t="str">
            <v>OE INVOICES</v>
          </cell>
          <cell r="J563">
            <v>44421961187</v>
          </cell>
          <cell r="K563">
            <v>44687</v>
          </cell>
          <cell r="L563">
            <v>6</v>
          </cell>
          <cell r="M563" t="str">
            <v>EUR</v>
          </cell>
          <cell r="N563">
            <v>468.48</v>
          </cell>
          <cell r="O563">
            <v>29.28</v>
          </cell>
          <cell r="P563">
            <v>16</v>
          </cell>
          <cell r="Q563">
            <v>16</v>
          </cell>
          <cell r="R563">
            <v>0</v>
          </cell>
        </row>
        <row r="564">
          <cell r="A564" t="str">
            <v>6D1HFTMSB00IJYG4FY</v>
          </cell>
          <cell r="B564" t="str">
            <v>Q1-23</v>
          </cell>
          <cell r="C564" t="str">
            <v>Europe Operations OU</v>
          </cell>
          <cell r="D564">
            <v>2674345</v>
          </cell>
          <cell r="E564" t="str">
            <v>Amazon EU SARL, succursale Italiana</v>
          </cell>
          <cell r="F564" t="str">
            <v>6D1HFTMS</v>
          </cell>
          <cell r="G564" t="str">
            <v>B00IJYG4FY</v>
          </cell>
          <cell r="H564" t="str">
            <v>980-000913</v>
          </cell>
          <cell r="I564" t="str">
            <v>OE INVOICES</v>
          </cell>
          <cell r="J564">
            <v>44421961187</v>
          </cell>
          <cell r="K564">
            <v>44687</v>
          </cell>
          <cell r="L564">
            <v>7</v>
          </cell>
          <cell r="M564" t="str">
            <v>EUR</v>
          </cell>
          <cell r="N564">
            <v>702.72</v>
          </cell>
          <cell r="O564">
            <v>29.28</v>
          </cell>
          <cell r="P564">
            <v>24</v>
          </cell>
          <cell r="Q564">
            <v>24</v>
          </cell>
          <cell r="R564">
            <v>0</v>
          </cell>
        </row>
        <row r="565">
          <cell r="A565" t="str">
            <v>6D1HFTMSB00IRCDT7Y</v>
          </cell>
          <cell r="B565" t="str">
            <v>Q1-23</v>
          </cell>
          <cell r="C565" t="str">
            <v>Europe Operations OU</v>
          </cell>
          <cell r="D565">
            <v>2674345</v>
          </cell>
          <cell r="E565" t="str">
            <v>Amazon EU SARL, succursale Italiana</v>
          </cell>
          <cell r="F565" t="str">
            <v>6D1HFTMS</v>
          </cell>
          <cell r="G565" t="str">
            <v>B00IRCDT7Y</v>
          </cell>
          <cell r="H565" t="str">
            <v>980-000912</v>
          </cell>
          <cell r="I565" t="str">
            <v>OE INVOICES</v>
          </cell>
          <cell r="J565">
            <v>44421961187</v>
          </cell>
          <cell r="K565">
            <v>44687</v>
          </cell>
          <cell r="L565">
            <v>8</v>
          </cell>
          <cell r="M565" t="str">
            <v>EUR</v>
          </cell>
          <cell r="N565">
            <v>2810.88</v>
          </cell>
          <cell r="O565">
            <v>29.28</v>
          </cell>
          <cell r="P565">
            <v>96</v>
          </cell>
          <cell r="Q565">
            <v>96</v>
          </cell>
          <cell r="R565">
            <v>0</v>
          </cell>
        </row>
        <row r="566">
          <cell r="A566" t="str">
            <v>6D1HFTMSB00L8VNQ88</v>
          </cell>
          <cell r="B566" t="str">
            <v>Q1-23</v>
          </cell>
          <cell r="C566" t="str">
            <v>Europe Operations OU</v>
          </cell>
          <cell r="D566">
            <v>2674345</v>
          </cell>
          <cell r="E566" t="str">
            <v>Amazon EU SARL, succursale Italiana</v>
          </cell>
          <cell r="F566" t="str">
            <v>6D1HFTMS</v>
          </cell>
          <cell r="G566" t="str">
            <v>B00L8VNQ88</v>
          </cell>
          <cell r="H566" t="str">
            <v>910-004067</v>
          </cell>
          <cell r="I566" t="str">
            <v>OE INVOICES</v>
          </cell>
          <cell r="J566">
            <v>44421961187</v>
          </cell>
          <cell r="K566">
            <v>44687</v>
          </cell>
          <cell r="L566">
            <v>9</v>
          </cell>
          <cell r="M566" t="str">
            <v>EUR</v>
          </cell>
          <cell r="N566">
            <v>295.44</v>
          </cell>
          <cell r="O566">
            <v>36.93</v>
          </cell>
          <cell r="P566">
            <v>8</v>
          </cell>
          <cell r="Q566">
            <v>8</v>
          </cell>
          <cell r="R566">
            <v>0</v>
          </cell>
        </row>
        <row r="567">
          <cell r="A567" t="str">
            <v>6D1HFTMSB00Q6MR0UO</v>
          </cell>
          <cell r="B567" t="str">
            <v>Q1-23</v>
          </cell>
          <cell r="C567" t="str">
            <v>Europe Operations OU</v>
          </cell>
          <cell r="D567">
            <v>2674345</v>
          </cell>
          <cell r="E567" t="str">
            <v>Amazon EU SARL, succursale Italiana</v>
          </cell>
          <cell r="F567" t="str">
            <v>6D1HFTMS</v>
          </cell>
          <cell r="G567" t="str">
            <v>B00Q6MR0UO</v>
          </cell>
          <cell r="H567" t="str">
            <v>910-004345</v>
          </cell>
          <cell r="I567" t="str">
            <v>OE INVOICES</v>
          </cell>
          <cell r="J567">
            <v>44421961187</v>
          </cell>
          <cell r="K567">
            <v>44687</v>
          </cell>
          <cell r="L567">
            <v>10</v>
          </cell>
          <cell r="M567" t="str">
            <v>EUR</v>
          </cell>
          <cell r="N567">
            <v>474.8</v>
          </cell>
          <cell r="O567">
            <v>23.74</v>
          </cell>
          <cell r="P567">
            <v>20</v>
          </cell>
          <cell r="Q567">
            <v>20</v>
          </cell>
          <cell r="R567">
            <v>0</v>
          </cell>
        </row>
        <row r="568">
          <cell r="A568" t="str">
            <v>6D1HFTMSB00Y0G2L9I</v>
          </cell>
          <cell r="B568" t="str">
            <v>Q1-23</v>
          </cell>
          <cell r="C568" t="str">
            <v>Europe Operations OU</v>
          </cell>
          <cell r="D568">
            <v>2674345</v>
          </cell>
          <cell r="E568" t="str">
            <v>Amazon EU SARL, succursale Italiana</v>
          </cell>
          <cell r="F568" t="str">
            <v>6D1HFTMS</v>
          </cell>
          <cell r="G568" t="str">
            <v>B00Y0G2L9I</v>
          </cell>
          <cell r="H568" t="str">
            <v>920-007135</v>
          </cell>
          <cell r="I568" t="str">
            <v>OE INVOICES</v>
          </cell>
          <cell r="J568">
            <v>44421961187</v>
          </cell>
          <cell r="K568">
            <v>44687</v>
          </cell>
          <cell r="L568">
            <v>11</v>
          </cell>
          <cell r="M568" t="str">
            <v>EUR</v>
          </cell>
          <cell r="N568">
            <v>1464</v>
          </cell>
          <cell r="O568">
            <v>29.28</v>
          </cell>
          <cell r="P568">
            <v>50</v>
          </cell>
          <cell r="Q568">
            <v>50</v>
          </cell>
          <cell r="R568">
            <v>0</v>
          </cell>
        </row>
        <row r="569">
          <cell r="A569" t="str">
            <v>6D1HFTMSB013SL1YXO</v>
          </cell>
          <cell r="B569" t="str">
            <v>Q1-23</v>
          </cell>
          <cell r="C569" t="str">
            <v>Europe Operations OU</v>
          </cell>
          <cell r="D569">
            <v>2674345</v>
          </cell>
          <cell r="E569" t="str">
            <v>Amazon EU SARL, succursale Italiana</v>
          </cell>
          <cell r="F569" t="str">
            <v>6D1HFTMS</v>
          </cell>
          <cell r="G569" t="str">
            <v>B013SL1YXO</v>
          </cell>
          <cell r="H569" t="str">
            <v>920-007580</v>
          </cell>
          <cell r="I569" t="str">
            <v>OE INVOICES</v>
          </cell>
          <cell r="J569">
            <v>44421961187</v>
          </cell>
          <cell r="K569">
            <v>44687</v>
          </cell>
          <cell r="L569">
            <v>12</v>
          </cell>
          <cell r="M569" t="str">
            <v>EUR</v>
          </cell>
          <cell r="N569">
            <v>234.24</v>
          </cell>
          <cell r="O569">
            <v>29.28</v>
          </cell>
          <cell r="P569">
            <v>8</v>
          </cell>
          <cell r="Q569">
            <v>8</v>
          </cell>
          <cell r="R569">
            <v>0</v>
          </cell>
        </row>
        <row r="570">
          <cell r="A570" t="str">
            <v>6D1HFTMSB013SL2050</v>
          </cell>
          <cell r="B570" t="str">
            <v>Q1-23</v>
          </cell>
          <cell r="C570" t="str">
            <v>Europe Operations OU</v>
          </cell>
          <cell r="D570">
            <v>2674345</v>
          </cell>
          <cell r="E570" t="str">
            <v>Amazon EU SARL, succursale Italiana</v>
          </cell>
          <cell r="F570" t="str">
            <v>6D1HFTMS</v>
          </cell>
          <cell r="G570" t="str">
            <v>B013SL2050</v>
          </cell>
          <cell r="H570" t="str">
            <v>920-007574</v>
          </cell>
          <cell r="I570" t="str">
            <v>OE INVOICES</v>
          </cell>
          <cell r="J570">
            <v>44421961187</v>
          </cell>
          <cell r="K570">
            <v>44687</v>
          </cell>
          <cell r="L570">
            <v>13</v>
          </cell>
          <cell r="M570" t="str">
            <v>EUR</v>
          </cell>
          <cell r="N570">
            <v>468.48</v>
          </cell>
          <cell r="O570">
            <v>29.28</v>
          </cell>
          <cell r="P570">
            <v>16</v>
          </cell>
          <cell r="Q570">
            <v>16</v>
          </cell>
          <cell r="R570">
            <v>0</v>
          </cell>
        </row>
        <row r="571">
          <cell r="A571" t="str">
            <v>6D1HFTMSB01DIJIE1Q</v>
          </cell>
          <cell r="B571" t="str">
            <v>Q1-23</v>
          </cell>
          <cell r="C571" t="str">
            <v>Europe Operations OU</v>
          </cell>
          <cell r="D571">
            <v>2674345</v>
          </cell>
          <cell r="E571" t="str">
            <v>Amazon EU SARL, succursale Italiana</v>
          </cell>
          <cell r="F571" t="str">
            <v>6D1HFTMS</v>
          </cell>
          <cell r="G571" t="str">
            <v>B01DIJIE1Q</v>
          </cell>
          <cell r="H571" t="str">
            <v>943-000100</v>
          </cell>
          <cell r="I571" t="str">
            <v>OE INVOICES</v>
          </cell>
          <cell r="J571">
            <v>44421961187</v>
          </cell>
          <cell r="K571">
            <v>44687</v>
          </cell>
          <cell r="L571">
            <v>14</v>
          </cell>
          <cell r="M571" t="str">
            <v>EUR</v>
          </cell>
          <cell r="N571">
            <v>126.56</v>
          </cell>
          <cell r="O571">
            <v>15.82</v>
          </cell>
          <cell r="P571">
            <v>8</v>
          </cell>
          <cell r="Q571">
            <v>8</v>
          </cell>
          <cell r="R571">
            <v>0</v>
          </cell>
        </row>
        <row r="572">
          <cell r="A572" t="str">
            <v>6D1HFTMSB01K7GEAF2</v>
          </cell>
          <cell r="B572" t="str">
            <v>Q1-23</v>
          </cell>
          <cell r="C572" t="str">
            <v>Europe Operations OU</v>
          </cell>
          <cell r="D572">
            <v>2674345</v>
          </cell>
          <cell r="E572" t="str">
            <v>Amazon EU SARL, succursale Italiana</v>
          </cell>
          <cell r="F572" t="str">
            <v>6D1HFTMS</v>
          </cell>
          <cell r="G572" t="str">
            <v>B01K7GEAF2</v>
          </cell>
          <cell r="H572" t="str">
            <v>910-004879</v>
          </cell>
          <cell r="I572" t="str">
            <v>OE INVOICES</v>
          </cell>
          <cell r="J572">
            <v>44421961187</v>
          </cell>
          <cell r="K572">
            <v>44687</v>
          </cell>
          <cell r="L572">
            <v>15</v>
          </cell>
          <cell r="M572" t="str">
            <v>EUR</v>
          </cell>
          <cell r="N572">
            <v>1171.2</v>
          </cell>
          <cell r="O572">
            <v>14.64</v>
          </cell>
          <cell r="P572">
            <v>80</v>
          </cell>
          <cell r="Q572">
            <v>80</v>
          </cell>
          <cell r="R572">
            <v>0</v>
          </cell>
        </row>
        <row r="573">
          <cell r="A573" t="str">
            <v>6D1HFTMSB01K7GEAFC</v>
          </cell>
          <cell r="B573" t="str">
            <v>Q1-23</v>
          </cell>
          <cell r="C573" t="str">
            <v>Europe Operations OU</v>
          </cell>
          <cell r="D573">
            <v>2674345</v>
          </cell>
          <cell r="E573" t="str">
            <v>Amazon EU SARL, succursale Italiana</v>
          </cell>
          <cell r="F573" t="str">
            <v>6D1HFTMS</v>
          </cell>
          <cell r="G573" t="str">
            <v>B01K7GEAFC</v>
          </cell>
          <cell r="H573" t="str">
            <v>910-004909</v>
          </cell>
          <cell r="I573" t="str">
            <v>OE INVOICES</v>
          </cell>
          <cell r="J573">
            <v>44421961187</v>
          </cell>
          <cell r="K573">
            <v>44687</v>
          </cell>
          <cell r="L573">
            <v>16</v>
          </cell>
          <cell r="M573" t="str">
            <v>EUR</v>
          </cell>
          <cell r="N573">
            <v>2576.1999999999998</v>
          </cell>
          <cell r="O573">
            <v>23.42</v>
          </cell>
          <cell r="P573">
            <v>110</v>
          </cell>
          <cell r="Q573">
            <v>110</v>
          </cell>
          <cell r="R573">
            <v>0</v>
          </cell>
        </row>
        <row r="574">
          <cell r="A574" t="str">
            <v>6D1HFTMSB01K7GEFWK</v>
          </cell>
          <cell r="B574" t="str">
            <v>Q1-23</v>
          </cell>
          <cell r="C574" t="str">
            <v>Europe Operations OU</v>
          </cell>
          <cell r="D574">
            <v>2674345</v>
          </cell>
          <cell r="E574" t="str">
            <v>Amazon EU SARL, succursale Italiana</v>
          </cell>
          <cell r="F574" t="str">
            <v>6D1HFTMS</v>
          </cell>
          <cell r="G574" t="str">
            <v>B01K7GEFWK</v>
          </cell>
          <cell r="H574" t="str">
            <v>910-004880</v>
          </cell>
          <cell r="I574" t="str">
            <v>OE INVOICES</v>
          </cell>
          <cell r="J574">
            <v>44421963418</v>
          </cell>
          <cell r="K574">
            <v>44691</v>
          </cell>
          <cell r="L574">
            <v>1</v>
          </cell>
          <cell r="M574" t="str">
            <v>EUR</v>
          </cell>
          <cell r="N574">
            <v>292.8</v>
          </cell>
          <cell r="O574">
            <v>14.64</v>
          </cell>
          <cell r="P574">
            <v>20</v>
          </cell>
          <cell r="Q574">
            <v>20</v>
          </cell>
          <cell r="R574">
            <v>0</v>
          </cell>
        </row>
        <row r="575">
          <cell r="A575" t="str">
            <v>6D1HFTMSB06W547XN2</v>
          </cell>
          <cell r="B575" t="str">
            <v>Q1-23</v>
          </cell>
          <cell r="C575" t="str">
            <v>Europe Operations OU</v>
          </cell>
          <cell r="D575">
            <v>2674345</v>
          </cell>
          <cell r="E575" t="str">
            <v>Amazon EU SARL, succursale Italiana</v>
          </cell>
          <cell r="F575" t="str">
            <v>6D1HFTMS</v>
          </cell>
          <cell r="G575" t="str">
            <v>B06W547XN2</v>
          </cell>
          <cell r="H575" t="str">
            <v>920-008318</v>
          </cell>
          <cell r="I575" t="str">
            <v>OE INVOICES</v>
          </cell>
          <cell r="J575">
            <v>44421961187</v>
          </cell>
          <cell r="K575">
            <v>44687</v>
          </cell>
          <cell r="L575">
            <v>17</v>
          </cell>
          <cell r="M575" t="str">
            <v>EUR</v>
          </cell>
          <cell r="N575">
            <v>561.91999999999996</v>
          </cell>
          <cell r="O575">
            <v>17.559999999999999</v>
          </cell>
          <cell r="P575">
            <v>32</v>
          </cell>
          <cell r="Q575">
            <v>32</v>
          </cell>
          <cell r="R575">
            <v>0</v>
          </cell>
        </row>
        <row r="576">
          <cell r="A576" t="str">
            <v>6D1HFTMSB06XH2VSXM</v>
          </cell>
          <cell r="B576" t="str">
            <v>Q1-23</v>
          </cell>
          <cell r="C576" t="str">
            <v>Europe Operations OU</v>
          </cell>
          <cell r="D576">
            <v>2674345</v>
          </cell>
          <cell r="E576" t="str">
            <v>Amazon EU SARL, succursale Italiana</v>
          </cell>
          <cell r="F576" t="str">
            <v>6D1HFTMS</v>
          </cell>
          <cell r="G576" t="str">
            <v>B06XH2VSXM</v>
          </cell>
          <cell r="H576" t="str">
            <v>910-005166</v>
          </cell>
          <cell r="I576" t="str">
            <v>OE INVOICES</v>
          </cell>
          <cell r="J576">
            <v>44421961187</v>
          </cell>
          <cell r="K576">
            <v>44687</v>
          </cell>
          <cell r="L576">
            <v>18</v>
          </cell>
          <cell r="M576" t="str">
            <v>EUR</v>
          </cell>
          <cell r="N576">
            <v>2108.16</v>
          </cell>
          <cell r="O576">
            <v>87.84</v>
          </cell>
          <cell r="P576">
            <v>24</v>
          </cell>
          <cell r="Q576">
            <v>24</v>
          </cell>
          <cell r="R576">
            <v>0</v>
          </cell>
        </row>
        <row r="577">
          <cell r="A577" t="str">
            <v>6D1HFTMSB07CGNDZR3</v>
          </cell>
          <cell r="B577" t="str">
            <v>Q1-23</v>
          </cell>
          <cell r="C577" t="str">
            <v>Europe Operations OU</v>
          </cell>
          <cell r="D577">
            <v>2674345</v>
          </cell>
          <cell r="E577" t="str">
            <v>Amazon EU SARL, succursale Italiana</v>
          </cell>
          <cell r="F577" t="str">
            <v>6D1HFTMS</v>
          </cell>
          <cell r="G577" t="str">
            <v>B07CGNDZR3</v>
          </cell>
          <cell r="H577" t="str">
            <v>910-005282</v>
          </cell>
          <cell r="I577" t="str">
            <v>OE INVOICES</v>
          </cell>
          <cell r="J577">
            <v>44421963418</v>
          </cell>
          <cell r="K577">
            <v>44691</v>
          </cell>
          <cell r="L577">
            <v>2</v>
          </cell>
          <cell r="M577" t="str">
            <v>EUR</v>
          </cell>
          <cell r="N577">
            <v>886.2</v>
          </cell>
          <cell r="O577">
            <v>31.65</v>
          </cell>
          <cell r="P577">
            <v>28</v>
          </cell>
          <cell r="Q577">
            <v>28</v>
          </cell>
          <cell r="R577">
            <v>0</v>
          </cell>
        </row>
        <row r="578">
          <cell r="A578" t="str">
            <v>6D1HFTMSB07G5XJLWK</v>
          </cell>
          <cell r="B578" t="str">
            <v>Q1-23</v>
          </cell>
          <cell r="C578" t="str">
            <v>Europe Operations OU</v>
          </cell>
          <cell r="D578">
            <v>2674345</v>
          </cell>
          <cell r="E578" t="str">
            <v>Amazon EU SARL, succursale Italiana</v>
          </cell>
          <cell r="F578" t="str">
            <v>6D1HFTMS</v>
          </cell>
          <cell r="G578" t="str">
            <v>B07G5XJLWK</v>
          </cell>
          <cell r="H578" t="str">
            <v>910-005273</v>
          </cell>
          <cell r="I578" t="str">
            <v>OE INVOICES</v>
          </cell>
          <cell r="J578">
            <v>44421961187</v>
          </cell>
          <cell r="K578">
            <v>44687</v>
          </cell>
          <cell r="L578">
            <v>19</v>
          </cell>
          <cell r="M578" t="str">
            <v>EUR</v>
          </cell>
          <cell r="N578">
            <v>272.24</v>
          </cell>
          <cell r="O578">
            <v>68.06</v>
          </cell>
          <cell r="P578">
            <v>4</v>
          </cell>
          <cell r="Q578">
            <v>4</v>
          </cell>
          <cell r="R578">
            <v>0</v>
          </cell>
        </row>
        <row r="579">
          <cell r="A579" t="str">
            <v>6D1HFTMSB07GDYYN38</v>
          </cell>
          <cell r="B579" t="str">
            <v>Q1-23</v>
          </cell>
          <cell r="C579" t="str">
            <v>Europe Operations OU</v>
          </cell>
          <cell r="D579">
            <v>2674345</v>
          </cell>
          <cell r="E579" t="str">
            <v>Amazon EU SARL, succursale Italiana</v>
          </cell>
          <cell r="F579" t="str">
            <v>6D1HFTMS</v>
          </cell>
          <cell r="G579" t="str">
            <v>B07GDYYN38</v>
          </cell>
          <cell r="H579" t="str">
            <v>910-005489</v>
          </cell>
          <cell r="I579" t="str">
            <v>OE INVOICES</v>
          </cell>
          <cell r="J579">
            <v>44421961187</v>
          </cell>
          <cell r="K579">
            <v>44687</v>
          </cell>
          <cell r="L579">
            <v>20</v>
          </cell>
          <cell r="M579" t="str">
            <v>EUR</v>
          </cell>
          <cell r="N579">
            <v>263.39999999999998</v>
          </cell>
          <cell r="O579">
            <v>8.7799999999999994</v>
          </cell>
          <cell r="P579">
            <v>30</v>
          </cell>
          <cell r="Q579">
            <v>30</v>
          </cell>
          <cell r="R579">
            <v>0</v>
          </cell>
        </row>
        <row r="580">
          <cell r="A580" t="str">
            <v>6D1HFTMSB07H3HGVDW</v>
          </cell>
          <cell r="B580" t="str">
            <v>Q1-23</v>
          </cell>
          <cell r="C580" t="str">
            <v>Europe Operations OU</v>
          </cell>
          <cell r="D580">
            <v>2674345</v>
          </cell>
          <cell r="E580" t="str">
            <v>Amazon EU SARL, succursale Italiana</v>
          </cell>
          <cell r="F580" t="str">
            <v>6D1HFTMS</v>
          </cell>
          <cell r="G580" t="str">
            <v>B07H3HGVDW</v>
          </cell>
          <cell r="H580" t="str">
            <v>914-000034</v>
          </cell>
          <cell r="I580" t="str">
            <v>OE INVOICES</v>
          </cell>
          <cell r="J580">
            <v>44421961187</v>
          </cell>
          <cell r="K580">
            <v>44687</v>
          </cell>
          <cell r="L580">
            <v>21</v>
          </cell>
          <cell r="M580" t="str">
            <v>EUR</v>
          </cell>
          <cell r="N580">
            <v>514.32000000000005</v>
          </cell>
          <cell r="O580">
            <v>42.86</v>
          </cell>
          <cell r="P580">
            <v>12</v>
          </cell>
          <cell r="Q580">
            <v>12</v>
          </cell>
          <cell r="R580">
            <v>0</v>
          </cell>
        </row>
        <row r="581">
          <cell r="A581" t="str">
            <v>6D1HFTMSB07S9DR8QG</v>
          </cell>
          <cell r="B581" t="str">
            <v>Q1-23</v>
          </cell>
          <cell r="C581" t="str">
            <v>Europe Operations OU</v>
          </cell>
          <cell r="D581">
            <v>2674345</v>
          </cell>
          <cell r="E581" t="str">
            <v>Amazon EU SARL, succursale Italiana</v>
          </cell>
          <cell r="F581" t="str">
            <v>6D1HFTMS</v>
          </cell>
          <cell r="G581" t="str">
            <v>B07S9DR8QG</v>
          </cell>
          <cell r="H581" t="str">
            <v>910-005641</v>
          </cell>
          <cell r="I581" t="str">
            <v>OE INVOICES</v>
          </cell>
          <cell r="J581">
            <v>44421961187</v>
          </cell>
          <cell r="K581">
            <v>44687</v>
          </cell>
          <cell r="L581">
            <v>22</v>
          </cell>
          <cell r="M581" t="str">
            <v>EUR</v>
          </cell>
          <cell r="N581">
            <v>6542.24</v>
          </cell>
          <cell r="O581">
            <v>52.76</v>
          </cell>
          <cell r="P581">
            <v>124</v>
          </cell>
          <cell r="Q581">
            <v>124</v>
          </cell>
          <cell r="R581">
            <v>0</v>
          </cell>
        </row>
        <row r="582">
          <cell r="A582" t="str">
            <v>6D1HFTMSB07SF2F2LV</v>
          </cell>
          <cell r="B582" t="str">
            <v>Q1-23</v>
          </cell>
          <cell r="C582" t="str">
            <v>Europe Operations OU</v>
          </cell>
          <cell r="D582">
            <v>2674345</v>
          </cell>
          <cell r="E582" t="str">
            <v>Amazon EU SARL, succursale Italiana</v>
          </cell>
          <cell r="F582" t="str">
            <v>6D1HFTMS</v>
          </cell>
          <cell r="G582" t="str">
            <v>B07SF2F2LV</v>
          </cell>
          <cell r="H582" t="str">
            <v>910-005672</v>
          </cell>
          <cell r="I582" t="str">
            <v>OE INVOICES</v>
          </cell>
          <cell r="J582">
            <v>44421961187</v>
          </cell>
          <cell r="K582">
            <v>44687</v>
          </cell>
          <cell r="L582">
            <v>23</v>
          </cell>
          <cell r="M582" t="str">
            <v>EUR</v>
          </cell>
          <cell r="N582">
            <v>2830.32</v>
          </cell>
          <cell r="O582">
            <v>78.62</v>
          </cell>
          <cell r="P582">
            <v>36</v>
          </cell>
          <cell r="Q582">
            <v>36</v>
          </cell>
          <cell r="R582">
            <v>0</v>
          </cell>
        </row>
        <row r="583">
          <cell r="A583" t="str">
            <v>6D1HFTMSB07TQ6G276</v>
          </cell>
          <cell r="B583" t="str">
            <v>Q1-23</v>
          </cell>
          <cell r="C583" t="str">
            <v>Europe Operations OU</v>
          </cell>
          <cell r="D583">
            <v>2674345</v>
          </cell>
          <cell r="E583" t="str">
            <v>Amazon EU SARL, succursale Italiana</v>
          </cell>
          <cell r="F583" t="str">
            <v>6D1HFTMS</v>
          </cell>
          <cell r="G583" t="str">
            <v>B07TQ6G276</v>
          </cell>
          <cell r="H583" t="str">
            <v>981-000812</v>
          </cell>
          <cell r="I583" t="str">
            <v>OE INVOICES</v>
          </cell>
          <cell r="J583">
            <v>44421961187</v>
          </cell>
          <cell r="K583">
            <v>44687</v>
          </cell>
          <cell r="L583">
            <v>24</v>
          </cell>
          <cell r="M583" t="str">
            <v>EUR</v>
          </cell>
          <cell r="N583">
            <v>422.08</v>
          </cell>
          <cell r="O583">
            <v>52.76</v>
          </cell>
          <cell r="P583">
            <v>8</v>
          </cell>
          <cell r="Q583">
            <v>8</v>
          </cell>
          <cell r="R583">
            <v>0</v>
          </cell>
        </row>
        <row r="584">
          <cell r="A584" t="str">
            <v>6D1HFTMSB07VCS18BK</v>
          </cell>
          <cell r="B584" t="str">
            <v>Q1-23</v>
          </cell>
          <cell r="C584" t="str">
            <v>Europe Operations OU</v>
          </cell>
          <cell r="D584">
            <v>2674345</v>
          </cell>
          <cell r="E584" t="str">
            <v>Amazon EU SARL, succursale Italiana</v>
          </cell>
          <cell r="F584" t="str">
            <v>6D1HFTMS</v>
          </cell>
          <cell r="G584" t="str">
            <v>B07VCS18BK</v>
          </cell>
          <cell r="H584" t="str">
            <v>920-009190</v>
          </cell>
          <cell r="I584" t="str">
            <v>OE INVOICES</v>
          </cell>
          <cell r="J584">
            <v>44421961187</v>
          </cell>
          <cell r="K584">
            <v>44687</v>
          </cell>
          <cell r="L584">
            <v>25</v>
          </cell>
          <cell r="M584" t="str">
            <v>EUR</v>
          </cell>
          <cell r="N584">
            <v>1264.68</v>
          </cell>
          <cell r="O584">
            <v>35.130000000000003</v>
          </cell>
          <cell r="P584">
            <v>36</v>
          </cell>
          <cell r="Q584">
            <v>36</v>
          </cell>
          <cell r="R584">
            <v>0</v>
          </cell>
        </row>
        <row r="585">
          <cell r="A585" t="str">
            <v>6D1HFTMSB07VFJT9NM</v>
          </cell>
          <cell r="B585" t="str">
            <v>Q1-23</v>
          </cell>
          <cell r="C585" t="str">
            <v>Europe Operations OU</v>
          </cell>
          <cell r="D585">
            <v>2674345</v>
          </cell>
          <cell r="E585" t="str">
            <v>Amazon EU SARL, succursale Italiana</v>
          </cell>
          <cell r="F585" t="str">
            <v>6D1HFTMS</v>
          </cell>
          <cell r="G585" t="str">
            <v>B07VFJT9NM</v>
          </cell>
          <cell r="H585" t="str">
            <v>910-005716</v>
          </cell>
          <cell r="I585" t="str">
            <v>OE INVOICES</v>
          </cell>
          <cell r="J585">
            <v>44421963418</v>
          </cell>
          <cell r="K585">
            <v>44691</v>
          </cell>
          <cell r="L585">
            <v>3</v>
          </cell>
          <cell r="M585" t="str">
            <v>EUR</v>
          </cell>
          <cell r="N585">
            <v>1756.8</v>
          </cell>
          <cell r="O585">
            <v>14.64</v>
          </cell>
          <cell r="P585">
            <v>120</v>
          </cell>
          <cell r="Q585">
            <v>120</v>
          </cell>
          <cell r="R585">
            <v>0</v>
          </cell>
        </row>
        <row r="586">
          <cell r="A586" t="str">
            <v>6D1HFTMSB07VL9YHC9</v>
          </cell>
          <cell r="B586" t="str">
            <v>Q1-23</v>
          </cell>
          <cell r="C586" t="str">
            <v>Europe Operations OU</v>
          </cell>
          <cell r="D586">
            <v>2674345</v>
          </cell>
          <cell r="E586" t="str">
            <v>Amazon EU SARL, succursale Italiana</v>
          </cell>
          <cell r="F586" t="str">
            <v>6D1HFTMS</v>
          </cell>
          <cell r="G586" t="str">
            <v>B07VL9YHC9</v>
          </cell>
          <cell r="H586" t="str">
            <v>920-009189</v>
          </cell>
          <cell r="I586" t="str">
            <v>OE INVOICES</v>
          </cell>
          <cell r="J586">
            <v>44421961187</v>
          </cell>
          <cell r="K586">
            <v>44687</v>
          </cell>
          <cell r="L586">
            <v>26</v>
          </cell>
          <cell r="M586" t="str">
            <v>EUR</v>
          </cell>
          <cell r="N586">
            <v>421.56</v>
          </cell>
          <cell r="O586">
            <v>35.130000000000003</v>
          </cell>
          <cell r="P586">
            <v>12</v>
          </cell>
          <cell r="Q586">
            <v>12</v>
          </cell>
          <cell r="R586">
            <v>0</v>
          </cell>
        </row>
        <row r="587">
          <cell r="A587" t="str">
            <v>6D1HFTMSB07W4DGC27</v>
          </cell>
          <cell r="B587" t="str">
            <v>Q1-23</v>
          </cell>
          <cell r="C587" t="str">
            <v>Europe Operations OU</v>
          </cell>
          <cell r="D587">
            <v>2674345</v>
          </cell>
          <cell r="E587" t="str">
            <v>Amazon EU SARL, succursale Italiana</v>
          </cell>
          <cell r="F587" t="str">
            <v>6D1HFTMS</v>
          </cell>
          <cell r="G587" t="str">
            <v>B07W4DGC27</v>
          </cell>
          <cell r="H587" t="str">
            <v>910-006473</v>
          </cell>
          <cell r="I587" t="str">
            <v>OE INVOICES</v>
          </cell>
          <cell r="J587">
            <v>44421961187</v>
          </cell>
          <cell r="K587">
            <v>44687</v>
          </cell>
          <cell r="L587">
            <v>27</v>
          </cell>
          <cell r="M587" t="str">
            <v>EUR</v>
          </cell>
          <cell r="N587">
            <v>371.2</v>
          </cell>
          <cell r="O587">
            <v>46.4</v>
          </cell>
          <cell r="P587">
            <v>8</v>
          </cell>
          <cell r="Q587">
            <v>8</v>
          </cell>
          <cell r="R587">
            <v>0</v>
          </cell>
        </row>
        <row r="588">
          <cell r="A588" t="str">
            <v>6D1HFTMSB07W4DH9CW</v>
          </cell>
          <cell r="B588" t="str">
            <v>Q1-23</v>
          </cell>
          <cell r="C588" t="str">
            <v>Europe Operations OU</v>
          </cell>
          <cell r="D588">
            <v>2674345</v>
          </cell>
          <cell r="E588" t="str">
            <v>Amazon EU SARL, succursale Italiana</v>
          </cell>
          <cell r="F588" t="str">
            <v>6D1HFTMS</v>
          </cell>
          <cell r="G588" t="str">
            <v>B07W4DH9CW</v>
          </cell>
          <cell r="H588" t="str">
            <v>910-005907</v>
          </cell>
          <cell r="I588" t="str">
            <v>OE INVOICES</v>
          </cell>
          <cell r="J588">
            <v>44421961187</v>
          </cell>
          <cell r="K588">
            <v>44687</v>
          </cell>
          <cell r="L588">
            <v>28</v>
          </cell>
          <cell r="M588" t="str">
            <v>EUR</v>
          </cell>
          <cell r="N588">
            <v>702.4</v>
          </cell>
          <cell r="O588">
            <v>8.7799999999999994</v>
          </cell>
          <cell r="P588">
            <v>80</v>
          </cell>
          <cell r="Q588">
            <v>80</v>
          </cell>
          <cell r="R588">
            <v>0</v>
          </cell>
        </row>
        <row r="589">
          <cell r="A589" t="str">
            <v>6D1HFTMSB07W4DH9CY</v>
          </cell>
          <cell r="B589" t="str">
            <v>Q1-23</v>
          </cell>
          <cell r="C589" t="str">
            <v>Europe Operations OU</v>
          </cell>
          <cell r="D589">
            <v>2674345</v>
          </cell>
          <cell r="E589" t="str">
            <v>Amazon EU SARL, succursale Italiana</v>
          </cell>
          <cell r="F589" t="str">
            <v>6D1HFTMS</v>
          </cell>
          <cell r="G589" t="str">
            <v>B07W4DH9CY</v>
          </cell>
          <cell r="H589" t="str">
            <v>981-000890</v>
          </cell>
          <cell r="I589" t="str">
            <v>OE INVOICES</v>
          </cell>
          <cell r="J589">
            <v>44421961187</v>
          </cell>
          <cell r="K589">
            <v>44687</v>
          </cell>
          <cell r="L589">
            <v>29</v>
          </cell>
          <cell r="M589" t="str">
            <v>EUR</v>
          </cell>
          <cell r="N589">
            <v>314.48</v>
          </cell>
          <cell r="O589">
            <v>78.62</v>
          </cell>
          <cell r="P589">
            <v>4</v>
          </cell>
          <cell r="Q589">
            <v>4</v>
          </cell>
          <cell r="R589">
            <v>0</v>
          </cell>
        </row>
        <row r="590">
          <cell r="A590" t="str">
            <v>6D1HFTMSB07W4DHMXL</v>
          </cell>
          <cell r="B590" t="str">
            <v>Q1-23</v>
          </cell>
          <cell r="C590" t="str">
            <v>Europe Operations OU</v>
          </cell>
          <cell r="D590">
            <v>2674345</v>
          </cell>
          <cell r="E590" t="str">
            <v>Amazon EU SARL, succursale Italiana</v>
          </cell>
          <cell r="F590" t="str">
            <v>6D1HFTMS</v>
          </cell>
          <cell r="G590" t="str">
            <v>B07W4DHMXL</v>
          </cell>
          <cell r="H590" t="str">
            <v>910-006053</v>
          </cell>
          <cell r="I590" t="str">
            <v>OE INVOICES</v>
          </cell>
          <cell r="J590">
            <v>44421961187</v>
          </cell>
          <cell r="K590">
            <v>44687</v>
          </cell>
          <cell r="L590">
            <v>30</v>
          </cell>
          <cell r="M590" t="str">
            <v>EUR</v>
          </cell>
          <cell r="N590">
            <v>126.6</v>
          </cell>
          <cell r="O590">
            <v>31.65</v>
          </cell>
          <cell r="P590">
            <v>4</v>
          </cell>
          <cell r="Q590">
            <v>4</v>
          </cell>
          <cell r="R590">
            <v>0</v>
          </cell>
        </row>
        <row r="591">
          <cell r="A591" t="str">
            <v>6D1HFTMSB07W4DJDCS</v>
          </cell>
          <cell r="B591" t="str">
            <v>Q1-23</v>
          </cell>
          <cell r="C591" t="str">
            <v>Europe Operations OU</v>
          </cell>
          <cell r="D591">
            <v>2674345</v>
          </cell>
          <cell r="E591" t="str">
            <v>Amazon EU SARL, succursale Italiana</v>
          </cell>
          <cell r="F591" t="str">
            <v>6D1HFTMS</v>
          </cell>
          <cell r="G591" t="str">
            <v>B07W4DJDCS</v>
          </cell>
          <cell r="H591" t="str">
            <v>920-010229</v>
          </cell>
          <cell r="I591" t="str">
            <v>OE INVOICES</v>
          </cell>
          <cell r="J591">
            <v>44421961187</v>
          </cell>
          <cell r="K591">
            <v>44687</v>
          </cell>
          <cell r="L591">
            <v>31</v>
          </cell>
          <cell r="M591" t="str">
            <v>EUR</v>
          </cell>
          <cell r="N591">
            <v>1173.68</v>
          </cell>
          <cell r="O591">
            <v>146.71</v>
          </cell>
          <cell r="P591">
            <v>8</v>
          </cell>
          <cell r="Q591">
            <v>8</v>
          </cell>
          <cell r="R591">
            <v>0</v>
          </cell>
        </row>
        <row r="592">
          <cell r="A592" t="str">
            <v>6D1HFTMSB07W5JHXF8</v>
          </cell>
          <cell r="B592" t="str">
            <v>Q1-23</v>
          </cell>
          <cell r="C592" t="str">
            <v>Europe Operations OU</v>
          </cell>
          <cell r="D592">
            <v>2674345</v>
          </cell>
          <cell r="E592" t="str">
            <v>Amazon EU SARL, succursale Italiana</v>
          </cell>
          <cell r="F592" t="str">
            <v>6D1HFTMS</v>
          </cell>
          <cell r="G592" t="str">
            <v>B07W5JHXF8</v>
          </cell>
          <cell r="H592" t="str">
            <v>920-010398</v>
          </cell>
          <cell r="I592" t="str">
            <v>OE INVOICES</v>
          </cell>
          <cell r="J592">
            <v>44421961187</v>
          </cell>
          <cell r="K592">
            <v>44687</v>
          </cell>
          <cell r="L592">
            <v>32</v>
          </cell>
          <cell r="M592" t="str">
            <v>EUR</v>
          </cell>
          <cell r="N592">
            <v>234.24</v>
          </cell>
          <cell r="O592">
            <v>29.28</v>
          </cell>
          <cell r="P592">
            <v>8</v>
          </cell>
          <cell r="Q592">
            <v>8</v>
          </cell>
          <cell r="R592">
            <v>0</v>
          </cell>
        </row>
        <row r="593">
          <cell r="A593" t="str">
            <v>6D1HFTMSB07W5JK1JN</v>
          </cell>
          <cell r="B593" t="str">
            <v>Q1-23</v>
          </cell>
          <cell r="C593" t="str">
            <v>Europe Operations OU</v>
          </cell>
          <cell r="D593">
            <v>2674345</v>
          </cell>
          <cell r="E593" t="str">
            <v>Amazon EU SARL, succursale Italiana</v>
          </cell>
          <cell r="F593" t="str">
            <v>6D1HFTMS</v>
          </cell>
          <cell r="G593" t="str">
            <v>B07W5JK1JN</v>
          </cell>
          <cell r="H593" t="str">
            <v>920-009415</v>
          </cell>
          <cell r="I593" t="str">
            <v>OE INVOICES</v>
          </cell>
          <cell r="J593">
            <v>44421961187</v>
          </cell>
          <cell r="K593">
            <v>44687</v>
          </cell>
          <cell r="L593">
            <v>33</v>
          </cell>
          <cell r="M593" t="str">
            <v>EUR</v>
          </cell>
          <cell r="N593">
            <v>301.64</v>
          </cell>
          <cell r="O593">
            <v>75.41</v>
          </cell>
          <cell r="P593">
            <v>4</v>
          </cell>
          <cell r="Q593">
            <v>4</v>
          </cell>
          <cell r="R593">
            <v>0</v>
          </cell>
        </row>
        <row r="594">
          <cell r="A594" t="str">
            <v>6D1HFTMSB07W5JK27G</v>
          </cell>
          <cell r="B594" t="str">
            <v>Q1-23</v>
          </cell>
          <cell r="C594" t="str">
            <v>Europe Operations OU</v>
          </cell>
          <cell r="D594">
            <v>2674345</v>
          </cell>
          <cell r="E594" t="str">
            <v>Amazon EU SARL, succursale Italiana</v>
          </cell>
          <cell r="F594" t="str">
            <v>6D1HFTMS</v>
          </cell>
          <cell r="G594" t="str">
            <v>B07W5JK27G</v>
          </cell>
          <cell r="H594" t="str">
            <v>910-005843</v>
          </cell>
          <cell r="I594" t="str">
            <v>OE INVOICES</v>
          </cell>
          <cell r="J594">
            <v>44421961187</v>
          </cell>
          <cell r="K594">
            <v>44687</v>
          </cell>
          <cell r="L594">
            <v>34</v>
          </cell>
          <cell r="M594" t="str">
            <v>EUR</v>
          </cell>
          <cell r="N594">
            <v>234.24</v>
          </cell>
          <cell r="O594">
            <v>29.28</v>
          </cell>
          <cell r="P594">
            <v>8</v>
          </cell>
          <cell r="Q594">
            <v>8</v>
          </cell>
          <cell r="R594">
            <v>0</v>
          </cell>
        </row>
        <row r="595">
          <cell r="A595" t="str">
            <v>6D1HFTMSB07W5JKB92</v>
          </cell>
          <cell r="B595" t="str">
            <v>Q1-23</v>
          </cell>
          <cell r="C595" t="str">
            <v>Europe Operations OU</v>
          </cell>
          <cell r="D595">
            <v>2674345</v>
          </cell>
          <cell r="E595" t="str">
            <v>Amazon EU SARL, succursale Italiana</v>
          </cell>
          <cell r="F595" t="str">
            <v>6D1HFTMS</v>
          </cell>
          <cell r="G595" t="str">
            <v>B07W5JKB92</v>
          </cell>
          <cell r="H595" t="str">
            <v>920-009503</v>
          </cell>
          <cell r="I595" t="str">
            <v>OE INVOICES</v>
          </cell>
          <cell r="J595">
            <v>44421961187</v>
          </cell>
          <cell r="K595">
            <v>44687</v>
          </cell>
          <cell r="L595">
            <v>35</v>
          </cell>
          <cell r="M595" t="str">
            <v>EUR</v>
          </cell>
          <cell r="N595">
            <v>483.32</v>
          </cell>
          <cell r="O595">
            <v>120.83</v>
          </cell>
          <cell r="P595">
            <v>4</v>
          </cell>
          <cell r="Q595">
            <v>4</v>
          </cell>
          <cell r="R595">
            <v>0</v>
          </cell>
        </row>
        <row r="596">
          <cell r="A596" t="str">
            <v>6D1HFTMSB07W5JKHFR</v>
          </cell>
          <cell r="B596" t="str">
            <v>Q1-23</v>
          </cell>
          <cell r="C596" t="str">
            <v>Europe Operations OU</v>
          </cell>
          <cell r="D596">
            <v>2674345</v>
          </cell>
          <cell r="E596" t="str">
            <v>Amazon EU SARL, succursale Italiana</v>
          </cell>
          <cell r="F596" t="str">
            <v>6D1HFTMS</v>
          </cell>
          <cell r="G596" t="str">
            <v>B07W5JKHFR</v>
          </cell>
          <cell r="H596" t="str">
            <v>910-006475</v>
          </cell>
          <cell r="I596" t="str">
            <v>OE INVOICES</v>
          </cell>
          <cell r="J596">
            <v>44421961187</v>
          </cell>
          <cell r="K596">
            <v>44687</v>
          </cell>
          <cell r="L596">
            <v>36</v>
          </cell>
          <cell r="M596" t="str">
            <v>EUR</v>
          </cell>
          <cell r="N596">
            <v>2412.8000000000002</v>
          </cell>
          <cell r="O596">
            <v>46.4</v>
          </cell>
          <cell r="P596">
            <v>52</v>
          </cell>
          <cell r="Q596">
            <v>52</v>
          </cell>
          <cell r="R596">
            <v>0</v>
          </cell>
        </row>
        <row r="597">
          <cell r="A597" t="str">
            <v>6D1HFTMSB07W6HJVDK</v>
          </cell>
          <cell r="B597" t="str">
            <v>Q1-23</v>
          </cell>
          <cell r="C597" t="str">
            <v>Europe Operations OU</v>
          </cell>
          <cell r="D597">
            <v>2674345</v>
          </cell>
          <cell r="E597" t="str">
            <v>Amazon EU SARL, succursale Italiana</v>
          </cell>
          <cell r="F597" t="str">
            <v>6D1HFTMS</v>
          </cell>
          <cell r="G597" t="str">
            <v>B07W6HJVDK</v>
          </cell>
          <cell r="H597" t="str">
            <v>920-010602</v>
          </cell>
          <cell r="I597" t="str">
            <v>OE INVOICES</v>
          </cell>
          <cell r="J597">
            <v>44421961187</v>
          </cell>
          <cell r="K597">
            <v>44687</v>
          </cell>
          <cell r="L597">
            <v>37</v>
          </cell>
          <cell r="M597" t="str">
            <v>EUR</v>
          </cell>
          <cell r="N597">
            <v>2934.4</v>
          </cell>
          <cell r="O597">
            <v>73.36</v>
          </cell>
          <cell r="P597">
            <v>40</v>
          </cell>
          <cell r="Q597">
            <v>40</v>
          </cell>
          <cell r="R597">
            <v>0</v>
          </cell>
        </row>
        <row r="598">
          <cell r="A598" t="str">
            <v>6D1HFTMSB07W6J52LN</v>
          </cell>
          <cell r="B598" t="str">
            <v>Q1-23</v>
          </cell>
          <cell r="C598" t="str">
            <v>Europe Operations OU</v>
          </cell>
          <cell r="D598">
            <v>2674345</v>
          </cell>
          <cell r="E598" t="str">
            <v>Amazon EU SARL, succursale Italiana</v>
          </cell>
          <cell r="F598" t="str">
            <v>6D1HFTMS</v>
          </cell>
          <cell r="G598" t="str">
            <v>B07W6J52LN</v>
          </cell>
          <cell r="H598" t="str">
            <v>910-006054</v>
          </cell>
          <cell r="I598" t="str">
            <v>OE INVOICES</v>
          </cell>
          <cell r="J598">
            <v>44421961187</v>
          </cell>
          <cell r="K598">
            <v>44687</v>
          </cell>
          <cell r="L598">
            <v>38</v>
          </cell>
          <cell r="M598" t="str">
            <v>EUR</v>
          </cell>
          <cell r="N598">
            <v>2658.6</v>
          </cell>
          <cell r="O598">
            <v>31.65</v>
          </cell>
          <cell r="P598">
            <v>84</v>
          </cell>
          <cell r="Q598">
            <v>84</v>
          </cell>
          <cell r="R598">
            <v>0</v>
          </cell>
        </row>
        <row r="599">
          <cell r="A599" t="str">
            <v>6D1HFTMSB07W6JKKBV</v>
          </cell>
          <cell r="B599" t="str">
            <v>Q1-23</v>
          </cell>
          <cell r="C599" t="str">
            <v>Europe Operations OU</v>
          </cell>
          <cell r="D599">
            <v>2674345</v>
          </cell>
          <cell r="E599" t="str">
            <v>Amazon EU SARL, succursale Italiana</v>
          </cell>
          <cell r="F599" t="str">
            <v>6D1HFTMS</v>
          </cell>
          <cell r="G599" t="str">
            <v>B07W6JKKBV</v>
          </cell>
          <cell r="H599" t="str">
            <v>920-010146</v>
          </cell>
          <cell r="I599" t="str">
            <v>OE INVOICES</v>
          </cell>
          <cell r="J599">
            <v>44421961187</v>
          </cell>
          <cell r="K599">
            <v>44687</v>
          </cell>
          <cell r="L599">
            <v>39</v>
          </cell>
          <cell r="M599" t="str">
            <v>EUR</v>
          </cell>
          <cell r="N599">
            <v>1856.32</v>
          </cell>
          <cell r="O599">
            <v>116.02</v>
          </cell>
          <cell r="P599">
            <v>16</v>
          </cell>
          <cell r="Q599">
            <v>16</v>
          </cell>
          <cell r="R599">
            <v>0</v>
          </cell>
        </row>
        <row r="600">
          <cell r="A600" t="str">
            <v>6D1HFTMSB07W6JKL78</v>
          </cell>
          <cell r="B600" t="str">
            <v>Q1-23</v>
          </cell>
          <cell r="C600" t="str">
            <v>Europe Operations OU</v>
          </cell>
          <cell r="D600">
            <v>2674345</v>
          </cell>
          <cell r="E600" t="str">
            <v>Amazon EU SARL, succursale Italiana</v>
          </cell>
          <cell r="F600" t="str">
            <v>6D1HFTMS</v>
          </cell>
          <cell r="G600" t="str">
            <v>B07W6JKL78</v>
          </cell>
          <cell r="H600" t="str">
            <v>910-005650</v>
          </cell>
          <cell r="I600" t="str">
            <v>OE INVOICES</v>
          </cell>
          <cell r="J600">
            <v>44421961187</v>
          </cell>
          <cell r="K600">
            <v>44687</v>
          </cell>
          <cell r="L600">
            <v>40</v>
          </cell>
          <cell r="M600" t="str">
            <v>EUR</v>
          </cell>
          <cell r="N600">
            <v>1055.2</v>
          </cell>
          <cell r="O600">
            <v>52.76</v>
          </cell>
          <cell r="P600">
            <v>20</v>
          </cell>
          <cell r="Q600">
            <v>20</v>
          </cell>
          <cell r="R600">
            <v>0</v>
          </cell>
        </row>
        <row r="601">
          <cell r="A601" t="str">
            <v>6D1HFTMSB07W6JLFZ7</v>
          </cell>
          <cell r="B601" t="str">
            <v>Q1-23</v>
          </cell>
          <cell r="C601" t="str">
            <v>Europe Operations OU</v>
          </cell>
          <cell r="D601">
            <v>2674345</v>
          </cell>
          <cell r="E601" t="str">
            <v>Amazon EU SARL, succursale Italiana</v>
          </cell>
          <cell r="F601" t="str">
            <v>6D1HFTMS</v>
          </cell>
          <cell r="G601" t="str">
            <v>B07W6JLFZ7</v>
          </cell>
          <cell r="H601" t="str">
            <v>910-006478</v>
          </cell>
          <cell r="I601" t="str">
            <v>OE INVOICES</v>
          </cell>
          <cell r="J601">
            <v>44421961187</v>
          </cell>
          <cell r="K601">
            <v>44687</v>
          </cell>
          <cell r="L601">
            <v>41</v>
          </cell>
          <cell r="M601" t="str">
            <v>EUR</v>
          </cell>
          <cell r="N601">
            <v>742.4</v>
          </cell>
          <cell r="O601">
            <v>46.4</v>
          </cell>
          <cell r="P601">
            <v>16</v>
          </cell>
          <cell r="Q601">
            <v>16</v>
          </cell>
          <cell r="R601">
            <v>0</v>
          </cell>
        </row>
        <row r="602">
          <cell r="A602" t="str">
            <v>6D1HFTMSB07W6JM35X</v>
          </cell>
          <cell r="B602" t="str">
            <v>Q1-23</v>
          </cell>
          <cell r="C602" t="str">
            <v>Europe Operations OU</v>
          </cell>
          <cell r="D602">
            <v>2674345</v>
          </cell>
          <cell r="E602" t="str">
            <v>Amazon EU SARL, succursale Italiana</v>
          </cell>
          <cell r="F602" t="str">
            <v>6D1HFTMS</v>
          </cell>
          <cell r="G602" t="str">
            <v>B07W6JM35X</v>
          </cell>
          <cell r="H602" t="str">
            <v>981-001062</v>
          </cell>
          <cell r="I602" t="str">
            <v>OE INVOICES</v>
          </cell>
          <cell r="J602">
            <v>44421961187</v>
          </cell>
          <cell r="K602">
            <v>44687</v>
          </cell>
          <cell r="L602">
            <v>42</v>
          </cell>
          <cell r="M602" t="str">
            <v>EUR</v>
          </cell>
          <cell r="N602">
            <v>506.4</v>
          </cell>
          <cell r="O602">
            <v>42.2</v>
          </cell>
          <cell r="P602">
            <v>12</v>
          </cell>
          <cell r="Q602">
            <v>12</v>
          </cell>
          <cell r="R602">
            <v>0</v>
          </cell>
        </row>
        <row r="603">
          <cell r="A603" t="str">
            <v>6D1HFTMSB07W7JR6BZ</v>
          </cell>
          <cell r="B603" t="str">
            <v>Q1-23</v>
          </cell>
          <cell r="C603" t="str">
            <v>Europe Operations OU</v>
          </cell>
          <cell r="D603">
            <v>2674345</v>
          </cell>
          <cell r="E603" t="str">
            <v>Amazon EU SARL, succursale Italiana</v>
          </cell>
          <cell r="F603" t="str">
            <v>6D1HFTMS</v>
          </cell>
          <cell r="G603" t="str">
            <v>B07W7JR6BZ</v>
          </cell>
          <cell r="H603" t="str">
            <v>910-006255</v>
          </cell>
          <cell r="I603" t="str">
            <v>OE INVOICES</v>
          </cell>
          <cell r="J603">
            <v>44421961187</v>
          </cell>
          <cell r="K603">
            <v>44687</v>
          </cell>
          <cell r="L603">
            <v>43</v>
          </cell>
          <cell r="M603" t="str">
            <v>EUR</v>
          </cell>
          <cell r="N603">
            <v>263.5</v>
          </cell>
          <cell r="O603">
            <v>26.35</v>
          </cell>
          <cell r="P603">
            <v>10</v>
          </cell>
          <cell r="Q603">
            <v>10</v>
          </cell>
          <cell r="R603">
            <v>0</v>
          </cell>
        </row>
        <row r="604">
          <cell r="A604" t="str">
            <v>6D1HFTMSB07W7KMK4Y</v>
          </cell>
          <cell r="B604" t="str">
            <v>Q1-23</v>
          </cell>
          <cell r="C604" t="str">
            <v>Europe Operations OU</v>
          </cell>
          <cell r="D604">
            <v>2674345</v>
          </cell>
          <cell r="E604" t="str">
            <v>Amazon EU SARL, succursale Italiana</v>
          </cell>
          <cell r="F604" t="str">
            <v>6D1HFTMS</v>
          </cell>
          <cell r="G604" t="str">
            <v>B07W7KMK4Y</v>
          </cell>
          <cell r="H604" t="str">
            <v>920-010488</v>
          </cell>
          <cell r="I604" t="str">
            <v>OE INVOICES</v>
          </cell>
          <cell r="J604">
            <v>44421961187</v>
          </cell>
          <cell r="K604">
            <v>44687</v>
          </cell>
          <cell r="L604">
            <v>44</v>
          </cell>
          <cell r="M604" t="str">
            <v>EUR</v>
          </cell>
          <cell r="N604">
            <v>765.72</v>
          </cell>
          <cell r="O604">
            <v>63.81</v>
          </cell>
          <cell r="P604">
            <v>12</v>
          </cell>
          <cell r="Q604">
            <v>12</v>
          </cell>
          <cell r="R604">
            <v>0</v>
          </cell>
        </row>
        <row r="605">
          <cell r="A605" t="str">
            <v>6D1HFTMSB07W7L3DSX</v>
          </cell>
          <cell r="B605" t="str">
            <v>Q1-23</v>
          </cell>
          <cell r="C605" t="str">
            <v>Europe Operations OU</v>
          </cell>
          <cell r="D605">
            <v>2674345</v>
          </cell>
          <cell r="E605" t="str">
            <v>Amazon EU SARL, succursale Italiana</v>
          </cell>
          <cell r="F605" t="str">
            <v>6D1HFTMS</v>
          </cell>
          <cell r="G605" t="str">
            <v>B07W7L3DSX</v>
          </cell>
          <cell r="H605" t="str">
            <v>920-010399</v>
          </cell>
          <cell r="I605" t="str">
            <v>OE INVOICES</v>
          </cell>
          <cell r="J605">
            <v>44421961187</v>
          </cell>
          <cell r="K605">
            <v>44687</v>
          </cell>
          <cell r="L605">
            <v>45</v>
          </cell>
          <cell r="M605" t="str">
            <v>EUR</v>
          </cell>
          <cell r="N605">
            <v>234.24</v>
          </cell>
          <cell r="O605">
            <v>29.28</v>
          </cell>
          <cell r="P605">
            <v>8</v>
          </cell>
          <cell r="Q605">
            <v>8</v>
          </cell>
          <cell r="R605">
            <v>0</v>
          </cell>
        </row>
        <row r="606">
          <cell r="A606" t="str">
            <v>6D1HFTMSB07W7MY2K8</v>
          </cell>
          <cell r="B606" t="str">
            <v>Q1-23</v>
          </cell>
          <cell r="C606" t="str">
            <v>Europe Operations OU</v>
          </cell>
          <cell r="D606">
            <v>2674345</v>
          </cell>
          <cell r="E606" t="str">
            <v>Amazon EU SARL, succursale Italiana</v>
          </cell>
          <cell r="F606" t="str">
            <v>6D1HFTMS</v>
          </cell>
          <cell r="G606" t="str">
            <v>B07W7MY2K8</v>
          </cell>
          <cell r="H606" t="str">
            <v>910-005906</v>
          </cell>
          <cell r="I606" t="str">
            <v>OE INVOICES</v>
          </cell>
          <cell r="J606">
            <v>44421961187</v>
          </cell>
          <cell r="K606">
            <v>44687</v>
          </cell>
          <cell r="L606">
            <v>46</v>
          </cell>
          <cell r="M606" t="str">
            <v>EUR</v>
          </cell>
          <cell r="N606">
            <v>1053.5999999999999</v>
          </cell>
          <cell r="O606">
            <v>8.7799999999999994</v>
          </cell>
          <cell r="P606">
            <v>120</v>
          </cell>
          <cell r="Q606">
            <v>120</v>
          </cell>
          <cell r="R606">
            <v>0</v>
          </cell>
        </row>
        <row r="607">
          <cell r="A607" t="str">
            <v>6D1HFTMSB07W8P4PDD</v>
          </cell>
          <cell r="B607" t="str">
            <v>Q1-23</v>
          </cell>
          <cell r="C607" t="str">
            <v>Europe Operations OU</v>
          </cell>
          <cell r="D607">
            <v>2674345</v>
          </cell>
          <cell r="E607" t="str">
            <v>Amazon EU SARL, succursale Italiana</v>
          </cell>
          <cell r="F607" t="str">
            <v>6D1HFTMS</v>
          </cell>
          <cell r="G607" t="str">
            <v>B07W8P4PDD</v>
          </cell>
          <cell r="H607" t="str">
            <v>910-006474</v>
          </cell>
          <cell r="I607" t="str">
            <v>OE INVOICES</v>
          </cell>
          <cell r="J607">
            <v>44421961187</v>
          </cell>
          <cell r="K607">
            <v>44687</v>
          </cell>
          <cell r="L607">
            <v>47</v>
          </cell>
          <cell r="M607" t="str">
            <v>EUR</v>
          </cell>
          <cell r="N607">
            <v>1299.2</v>
          </cell>
          <cell r="O607">
            <v>46.4</v>
          </cell>
          <cell r="P607">
            <v>28</v>
          </cell>
          <cell r="Q607">
            <v>28</v>
          </cell>
          <cell r="R607">
            <v>0</v>
          </cell>
        </row>
        <row r="608">
          <cell r="A608" t="str">
            <v>6DPU2MKPB003LNXT7Y</v>
          </cell>
          <cell r="B608" t="str">
            <v>Q1-23</v>
          </cell>
          <cell r="C608" t="str">
            <v>Europe Operations OU</v>
          </cell>
          <cell r="D608">
            <v>2674345</v>
          </cell>
          <cell r="E608" t="str">
            <v>Amazon EU SARL, succursale Italiana</v>
          </cell>
          <cell r="F608" t="str">
            <v>6DPU2MKP</v>
          </cell>
          <cell r="G608" t="str">
            <v>B003LNXT7Y</v>
          </cell>
          <cell r="H608" t="str">
            <v>980-000413</v>
          </cell>
          <cell r="I608" t="str">
            <v>OE INVOICES</v>
          </cell>
          <cell r="J608">
            <v>44421973829</v>
          </cell>
          <cell r="K608">
            <v>44699</v>
          </cell>
          <cell r="L608">
            <v>1</v>
          </cell>
          <cell r="M608" t="str">
            <v>EUR</v>
          </cell>
          <cell r="N608">
            <v>772.86</v>
          </cell>
          <cell r="O608">
            <v>35.130000000000003</v>
          </cell>
          <cell r="P608">
            <v>22</v>
          </cell>
          <cell r="Q608">
            <v>22</v>
          </cell>
          <cell r="R608">
            <v>0</v>
          </cell>
        </row>
        <row r="609">
          <cell r="A609" t="str">
            <v>6DPU2MKPB004IO5BMQ</v>
          </cell>
          <cell r="B609" t="str">
            <v>Q1-23</v>
          </cell>
          <cell r="C609" t="str">
            <v>Europe Operations OU</v>
          </cell>
          <cell r="D609">
            <v>2674345</v>
          </cell>
          <cell r="E609" t="str">
            <v>Amazon EU SARL, succursale Italiana</v>
          </cell>
          <cell r="F609" t="str">
            <v>6DPU2MKP</v>
          </cell>
          <cell r="G609" t="str">
            <v>B004IO5BMQ</v>
          </cell>
          <cell r="H609" t="str">
            <v>910-002201</v>
          </cell>
          <cell r="I609" t="str">
            <v>OE INVOICES</v>
          </cell>
          <cell r="J609">
            <v>44421973829</v>
          </cell>
          <cell r="K609">
            <v>44699</v>
          </cell>
          <cell r="L609">
            <v>2</v>
          </cell>
          <cell r="M609" t="str">
            <v>EUR</v>
          </cell>
          <cell r="N609">
            <v>585.6</v>
          </cell>
          <cell r="O609">
            <v>14.64</v>
          </cell>
          <cell r="P609">
            <v>40</v>
          </cell>
          <cell r="Q609">
            <v>40</v>
          </cell>
          <cell r="R609">
            <v>0</v>
          </cell>
        </row>
        <row r="610">
          <cell r="A610" t="str">
            <v>6DPU2MKPB004VPLVI0</v>
          </cell>
          <cell r="B610" t="str">
            <v>Q1-23</v>
          </cell>
          <cell r="C610" t="str">
            <v>Europe Operations OU</v>
          </cell>
          <cell r="D610">
            <v>2674345</v>
          </cell>
          <cell r="E610" t="str">
            <v>Amazon EU SARL, succursale Italiana</v>
          </cell>
          <cell r="F610" t="str">
            <v>6DPU2MKP</v>
          </cell>
          <cell r="G610" t="str">
            <v>B004VPLVI0</v>
          </cell>
          <cell r="H610" t="str">
            <v>910-002142</v>
          </cell>
          <cell r="I610" t="str">
            <v>OE INVOICES</v>
          </cell>
          <cell r="J610">
            <v>44421973843</v>
          </cell>
          <cell r="K610">
            <v>44699</v>
          </cell>
          <cell r="L610">
            <v>1</v>
          </cell>
          <cell r="M610" t="str">
            <v>EUR</v>
          </cell>
          <cell r="N610">
            <v>468.4</v>
          </cell>
          <cell r="O610">
            <v>23.42</v>
          </cell>
          <cell r="P610">
            <v>20</v>
          </cell>
          <cell r="Q610">
            <v>20</v>
          </cell>
          <cell r="R610">
            <v>0</v>
          </cell>
        </row>
        <row r="611">
          <cell r="A611" t="str">
            <v>6DPU2MKPB00564NERG</v>
          </cell>
          <cell r="B611" t="str">
            <v>Q1-23</v>
          </cell>
          <cell r="C611" t="str">
            <v>Europe Operations OU</v>
          </cell>
          <cell r="D611">
            <v>2674345</v>
          </cell>
          <cell r="E611" t="str">
            <v>Amazon EU SARL, succursale Italiana</v>
          </cell>
          <cell r="F611" t="str">
            <v>6DPU2MKP</v>
          </cell>
          <cell r="G611" t="str">
            <v>B00564NERG</v>
          </cell>
          <cell r="H611" t="str">
            <v>920-002491</v>
          </cell>
          <cell r="I611" t="str">
            <v>OE INVOICES</v>
          </cell>
          <cell r="J611">
            <v>44421973829</v>
          </cell>
          <cell r="K611">
            <v>44699</v>
          </cell>
          <cell r="L611">
            <v>3</v>
          </cell>
          <cell r="M611" t="str">
            <v>EUR</v>
          </cell>
          <cell r="N611">
            <v>99.5</v>
          </cell>
          <cell r="O611">
            <v>9.9499999999999993</v>
          </cell>
          <cell r="P611">
            <v>10</v>
          </cell>
          <cell r="Q611">
            <v>10</v>
          </cell>
          <cell r="R611">
            <v>0</v>
          </cell>
        </row>
        <row r="612">
          <cell r="A612" t="str">
            <v>6DPU2MKPB0080IA1J4</v>
          </cell>
          <cell r="B612" t="str">
            <v>Q1-23</v>
          </cell>
          <cell r="C612" t="str">
            <v>Europe Operations OU</v>
          </cell>
          <cell r="D612">
            <v>2674345</v>
          </cell>
          <cell r="E612" t="str">
            <v>Amazon EU SARL, succursale Italiana</v>
          </cell>
          <cell r="F612" t="str">
            <v>6DPU2MKP</v>
          </cell>
          <cell r="G612" t="str">
            <v>B0080IA1J4</v>
          </cell>
          <cell r="H612" t="str">
            <v>960-000867</v>
          </cell>
          <cell r="I612" t="str">
            <v>OE INVOICES</v>
          </cell>
          <cell r="J612">
            <v>44421973829</v>
          </cell>
          <cell r="K612">
            <v>44699</v>
          </cell>
          <cell r="L612">
            <v>4</v>
          </cell>
          <cell r="M612" t="str">
            <v>EUR</v>
          </cell>
          <cell r="N612">
            <v>3984</v>
          </cell>
          <cell r="O612">
            <v>166</v>
          </cell>
          <cell r="P612">
            <v>24</v>
          </cell>
          <cell r="Q612">
            <v>24</v>
          </cell>
          <cell r="R612">
            <v>0</v>
          </cell>
        </row>
        <row r="613">
          <cell r="A613" t="str">
            <v>6DPU2MKPB008S1IOCY</v>
          </cell>
          <cell r="B613" t="str">
            <v>Q1-23</v>
          </cell>
          <cell r="C613" t="str">
            <v>Europe Operations OU</v>
          </cell>
          <cell r="D613">
            <v>2674345</v>
          </cell>
          <cell r="E613" t="str">
            <v>Amazon EU SARL, succursale Italiana</v>
          </cell>
          <cell r="F613" t="str">
            <v>6DPU2MKP</v>
          </cell>
          <cell r="G613" t="str">
            <v>B008S1IOCY</v>
          </cell>
          <cell r="H613" t="str">
            <v>981-000475</v>
          </cell>
          <cell r="I613" t="str">
            <v>OE INVOICES</v>
          </cell>
          <cell r="J613">
            <v>44421973829</v>
          </cell>
          <cell r="K613">
            <v>44699</v>
          </cell>
          <cell r="L613">
            <v>5</v>
          </cell>
          <cell r="M613" t="str">
            <v>EUR</v>
          </cell>
          <cell r="N613">
            <v>656</v>
          </cell>
          <cell r="O613">
            <v>20.5</v>
          </cell>
          <cell r="P613">
            <v>32</v>
          </cell>
          <cell r="Q613">
            <v>32</v>
          </cell>
          <cell r="R613">
            <v>0</v>
          </cell>
        </row>
        <row r="614">
          <cell r="A614" t="str">
            <v>6DPU2MKPB00JKDN6RW</v>
          </cell>
          <cell r="B614" t="str">
            <v>Q1-23</v>
          </cell>
          <cell r="C614" t="str">
            <v>Europe Operations OU</v>
          </cell>
          <cell r="D614">
            <v>2674345</v>
          </cell>
          <cell r="E614" t="str">
            <v>Amazon EU SARL, succursale Italiana</v>
          </cell>
          <cell r="F614" t="str">
            <v>6DPU2MKP</v>
          </cell>
          <cell r="G614" t="str">
            <v>B00JKDN6RW</v>
          </cell>
          <cell r="H614" t="str">
            <v>980-000942</v>
          </cell>
          <cell r="I614" t="str">
            <v>OE INVOICES</v>
          </cell>
          <cell r="J614">
            <v>44421973829</v>
          </cell>
          <cell r="K614">
            <v>44699</v>
          </cell>
          <cell r="L614">
            <v>6</v>
          </cell>
          <cell r="M614" t="str">
            <v>EUR</v>
          </cell>
          <cell r="N614">
            <v>140.52000000000001</v>
          </cell>
          <cell r="O614">
            <v>35.130000000000003</v>
          </cell>
          <cell r="P614">
            <v>4</v>
          </cell>
          <cell r="Q614">
            <v>4</v>
          </cell>
          <cell r="R614">
            <v>0</v>
          </cell>
        </row>
        <row r="615">
          <cell r="A615" t="str">
            <v>6DPU2MKPB00U77CYLE</v>
          </cell>
          <cell r="B615" t="str">
            <v>Q1-23</v>
          </cell>
          <cell r="C615" t="str">
            <v>Europe Operations OU</v>
          </cell>
          <cell r="D615">
            <v>2674345</v>
          </cell>
          <cell r="E615" t="str">
            <v>Amazon EU SARL, succursale Italiana</v>
          </cell>
          <cell r="F615" t="str">
            <v>6DPU2MKP</v>
          </cell>
          <cell r="G615" t="str">
            <v>B00U77CYLE</v>
          </cell>
          <cell r="H615" t="str">
            <v>960-001034</v>
          </cell>
          <cell r="I615" t="str">
            <v>OE INVOICES</v>
          </cell>
          <cell r="J615">
            <v>44421973829</v>
          </cell>
          <cell r="K615">
            <v>44699</v>
          </cell>
          <cell r="L615">
            <v>7</v>
          </cell>
          <cell r="M615" t="str">
            <v>EUR</v>
          </cell>
          <cell r="N615">
            <v>7984.08</v>
          </cell>
          <cell r="O615">
            <v>332.67</v>
          </cell>
          <cell r="P615">
            <v>24</v>
          </cell>
          <cell r="Q615">
            <v>24</v>
          </cell>
          <cell r="R615">
            <v>0</v>
          </cell>
        </row>
        <row r="616">
          <cell r="A616" t="str">
            <v>6DPU2MKPB013SL2050</v>
          </cell>
          <cell r="B616" t="str">
            <v>Q1-23</v>
          </cell>
          <cell r="C616" t="str">
            <v>Europe Operations OU</v>
          </cell>
          <cell r="D616">
            <v>2674345</v>
          </cell>
          <cell r="E616" t="str">
            <v>Amazon EU SARL, succursale Italiana</v>
          </cell>
          <cell r="F616" t="str">
            <v>6DPU2MKP</v>
          </cell>
          <cell r="G616" t="str">
            <v>B013SL2050</v>
          </cell>
          <cell r="H616" t="str">
            <v>920-007574</v>
          </cell>
          <cell r="I616" t="str">
            <v>OE INVOICES</v>
          </cell>
          <cell r="J616">
            <v>44421973829</v>
          </cell>
          <cell r="K616">
            <v>44699</v>
          </cell>
          <cell r="L616">
            <v>8</v>
          </cell>
          <cell r="M616" t="str">
            <v>EUR</v>
          </cell>
          <cell r="N616">
            <v>702.72</v>
          </cell>
          <cell r="O616">
            <v>29.28</v>
          </cell>
          <cell r="P616">
            <v>24</v>
          </cell>
          <cell r="Q616">
            <v>24</v>
          </cell>
          <cell r="R616">
            <v>0</v>
          </cell>
        </row>
        <row r="617">
          <cell r="A617" t="str">
            <v>6DPU2MKPB01DIJIE1Q</v>
          </cell>
          <cell r="B617" t="str">
            <v>Q1-23</v>
          </cell>
          <cell r="C617" t="str">
            <v>Europe Operations OU</v>
          </cell>
          <cell r="D617">
            <v>2674345</v>
          </cell>
          <cell r="E617" t="str">
            <v>Amazon EU SARL, succursale Italiana</v>
          </cell>
          <cell r="F617" t="str">
            <v>6DPU2MKP</v>
          </cell>
          <cell r="G617" t="str">
            <v>B01DIJIE1Q</v>
          </cell>
          <cell r="H617" t="str">
            <v>943-000100</v>
          </cell>
          <cell r="I617" t="str">
            <v>OE INVOICES</v>
          </cell>
          <cell r="J617">
            <v>44421973829</v>
          </cell>
          <cell r="K617">
            <v>44699</v>
          </cell>
          <cell r="L617">
            <v>9</v>
          </cell>
          <cell r="M617" t="str">
            <v>EUR</v>
          </cell>
          <cell r="N617">
            <v>126.56</v>
          </cell>
          <cell r="O617">
            <v>15.82</v>
          </cell>
          <cell r="P617">
            <v>8</v>
          </cell>
          <cell r="Q617">
            <v>8</v>
          </cell>
          <cell r="R617">
            <v>0</v>
          </cell>
        </row>
        <row r="618">
          <cell r="A618" t="str">
            <v>6DPU2MKPB01K7GEAF2</v>
          </cell>
          <cell r="B618" t="str">
            <v>Q1-23</v>
          </cell>
          <cell r="C618" t="str">
            <v>Europe Operations OU</v>
          </cell>
          <cell r="D618">
            <v>2674345</v>
          </cell>
          <cell r="E618" t="str">
            <v>Amazon EU SARL, succursale Italiana</v>
          </cell>
          <cell r="F618" t="str">
            <v>6DPU2MKP</v>
          </cell>
          <cell r="G618" t="str">
            <v>B01K7GEAF2</v>
          </cell>
          <cell r="H618" t="str">
            <v>910-004879</v>
          </cell>
          <cell r="I618" t="str">
            <v>OE INVOICES</v>
          </cell>
          <cell r="J618">
            <v>44421973829</v>
          </cell>
          <cell r="K618">
            <v>44699</v>
          </cell>
          <cell r="L618">
            <v>10</v>
          </cell>
          <cell r="M618" t="str">
            <v>EUR</v>
          </cell>
          <cell r="N618">
            <v>1756.8</v>
          </cell>
          <cell r="O618">
            <v>14.64</v>
          </cell>
          <cell r="P618">
            <v>120</v>
          </cell>
          <cell r="Q618">
            <v>120</v>
          </cell>
          <cell r="R618">
            <v>0</v>
          </cell>
        </row>
        <row r="619">
          <cell r="A619" t="str">
            <v>6DPU2MKPB01MV1GX63</v>
          </cell>
          <cell r="B619" t="str">
            <v>Q1-23</v>
          </cell>
          <cell r="C619" t="str">
            <v>Europe Operations OU</v>
          </cell>
          <cell r="D619">
            <v>2674345</v>
          </cell>
          <cell r="E619" t="str">
            <v>Amazon EU SARL, succursale Italiana</v>
          </cell>
          <cell r="F619" t="str">
            <v>6DPU2MKP</v>
          </cell>
          <cell r="G619" t="str">
            <v>B01MV1GX63</v>
          </cell>
          <cell r="H619" t="str">
            <v>910-005003</v>
          </cell>
          <cell r="I619" t="str">
            <v>OE INVOICES</v>
          </cell>
          <cell r="J619">
            <v>44421973829</v>
          </cell>
          <cell r="K619">
            <v>44699</v>
          </cell>
          <cell r="L619">
            <v>11</v>
          </cell>
          <cell r="M619" t="str">
            <v>EUR</v>
          </cell>
          <cell r="N619">
            <v>76.099999999999994</v>
          </cell>
          <cell r="O619">
            <v>7.61</v>
          </cell>
          <cell r="P619">
            <v>10</v>
          </cell>
          <cell r="Q619">
            <v>10</v>
          </cell>
          <cell r="R619">
            <v>0</v>
          </cell>
        </row>
        <row r="620">
          <cell r="A620" t="str">
            <v>6DPU2MKPB06W547XN2</v>
          </cell>
          <cell r="B620" t="str">
            <v>Q1-23</v>
          </cell>
          <cell r="C620" t="str">
            <v>Europe Operations OU</v>
          </cell>
          <cell r="D620">
            <v>2674345</v>
          </cell>
          <cell r="E620" t="str">
            <v>Amazon EU SARL, succursale Italiana</v>
          </cell>
          <cell r="F620" t="str">
            <v>6DPU2MKP</v>
          </cell>
          <cell r="G620" t="str">
            <v>B06W547XN2</v>
          </cell>
          <cell r="H620" t="str">
            <v>920-008318</v>
          </cell>
          <cell r="I620" t="str">
            <v>OE INVOICES</v>
          </cell>
          <cell r="J620">
            <v>44421973829</v>
          </cell>
          <cell r="K620">
            <v>44699</v>
          </cell>
          <cell r="L620">
            <v>12</v>
          </cell>
          <cell r="M620" t="str">
            <v>EUR</v>
          </cell>
          <cell r="N620">
            <v>140.47999999999999</v>
          </cell>
          <cell r="O620">
            <v>17.559999999999999</v>
          </cell>
          <cell r="P620">
            <v>8</v>
          </cell>
          <cell r="Q620">
            <v>8</v>
          </cell>
          <cell r="R620">
            <v>0</v>
          </cell>
        </row>
        <row r="621">
          <cell r="A621" t="str">
            <v>6DPU2MKPB07G5XJLWK</v>
          </cell>
          <cell r="B621" t="str">
            <v>Q1-23</v>
          </cell>
          <cell r="C621" t="str">
            <v>Europe Operations OU</v>
          </cell>
          <cell r="D621">
            <v>2674345</v>
          </cell>
          <cell r="E621" t="str">
            <v>Amazon EU SARL, succursale Italiana</v>
          </cell>
          <cell r="F621" t="str">
            <v>6DPU2MKP</v>
          </cell>
          <cell r="G621" t="str">
            <v>B07G5XJLWK</v>
          </cell>
          <cell r="H621" t="str">
            <v>910-005273</v>
          </cell>
          <cell r="I621" t="str">
            <v>OE INVOICES</v>
          </cell>
          <cell r="J621">
            <v>44421973829</v>
          </cell>
          <cell r="K621">
            <v>44699</v>
          </cell>
          <cell r="L621">
            <v>13</v>
          </cell>
          <cell r="M621" t="str">
            <v>EUR</v>
          </cell>
          <cell r="N621">
            <v>816.72</v>
          </cell>
          <cell r="O621">
            <v>68.06</v>
          </cell>
          <cell r="P621">
            <v>12</v>
          </cell>
          <cell r="Q621">
            <v>12</v>
          </cell>
          <cell r="R621">
            <v>0</v>
          </cell>
        </row>
        <row r="622">
          <cell r="A622" t="str">
            <v>6DPU2MKPB07G6DL332</v>
          </cell>
          <cell r="B622" t="str">
            <v>Q1-23</v>
          </cell>
          <cell r="C622" t="str">
            <v>Europe Operations OU</v>
          </cell>
          <cell r="D622">
            <v>2674345</v>
          </cell>
          <cell r="E622" t="str">
            <v>Amazon EU SARL, succursale Italiana</v>
          </cell>
          <cell r="F622" t="str">
            <v>6DPU2MKP</v>
          </cell>
          <cell r="G622" t="str">
            <v>B07G6DL332</v>
          </cell>
          <cell r="H622" t="str">
            <v>984-001405</v>
          </cell>
          <cell r="I622" t="str">
            <v>OE INVOICES</v>
          </cell>
          <cell r="J622">
            <v>44421973843</v>
          </cell>
          <cell r="K622">
            <v>44699</v>
          </cell>
          <cell r="L622">
            <v>2</v>
          </cell>
          <cell r="M622" t="str">
            <v>EUR</v>
          </cell>
          <cell r="N622">
            <v>425.96</v>
          </cell>
          <cell r="O622">
            <v>106.49</v>
          </cell>
          <cell r="P622">
            <v>4</v>
          </cell>
          <cell r="Q622">
            <v>4</v>
          </cell>
          <cell r="R622">
            <v>0</v>
          </cell>
        </row>
        <row r="623">
          <cell r="A623" t="str">
            <v>6DPU2MKPB07G6MYMKD</v>
          </cell>
          <cell r="B623" t="str">
            <v>Q1-23</v>
          </cell>
          <cell r="C623" t="str">
            <v>Europe Operations OU</v>
          </cell>
          <cell r="D623">
            <v>2674345</v>
          </cell>
          <cell r="E623" t="str">
            <v>Amazon EU SARL, succursale Italiana</v>
          </cell>
          <cell r="F623" t="str">
            <v>6DPU2MKP</v>
          </cell>
          <cell r="G623" t="str">
            <v>B07G6MYMKD</v>
          </cell>
          <cell r="H623" t="str">
            <v>984-001402</v>
          </cell>
          <cell r="I623" t="str">
            <v>OE INVOICES</v>
          </cell>
          <cell r="J623">
            <v>44421973829</v>
          </cell>
          <cell r="K623">
            <v>44699</v>
          </cell>
          <cell r="L623">
            <v>14</v>
          </cell>
          <cell r="M623" t="str">
            <v>EUR</v>
          </cell>
          <cell r="N623">
            <v>2129.8000000000002</v>
          </cell>
          <cell r="O623">
            <v>106.49</v>
          </cell>
          <cell r="P623">
            <v>20</v>
          </cell>
          <cell r="Q623">
            <v>20</v>
          </cell>
          <cell r="R623">
            <v>0</v>
          </cell>
        </row>
        <row r="624">
          <cell r="A624" t="str">
            <v>6DPU2MKPB07GC4LRQW</v>
          </cell>
          <cell r="B624" t="str">
            <v>Q1-23</v>
          </cell>
          <cell r="C624" t="str">
            <v>Europe Operations OU</v>
          </cell>
          <cell r="D624">
            <v>2674345</v>
          </cell>
          <cell r="E624" t="str">
            <v>Amazon EU SARL, succursale Italiana</v>
          </cell>
          <cell r="F624" t="str">
            <v>6DPU2MKP</v>
          </cell>
          <cell r="G624" t="str">
            <v>B07GC4LRQW</v>
          </cell>
          <cell r="H624" t="str">
            <v>910-005490</v>
          </cell>
          <cell r="I624" t="str">
            <v>OE INVOICES</v>
          </cell>
          <cell r="J624">
            <v>44421973829</v>
          </cell>
          <cell r="K624">
            <v>44699</v>
          </cell>
          <cell r="L624">
            <v>15</v>
          </cell>
          <cell r="M624" t="str">
            <v>EUR</v>
          </cell>
          <cell r="N624">
            <v>614.6</v>
          </cell>
          <cell r="O624">
            <v>8.7799999999999994</v>
          </cell>
          <cell r="P624">
            <v>70</v>
          </cell>
          <cell r="Q624">
            <v>70</v>
          </cell>
          <cell r="R624">
            <v>0</v>
          </cell>
        </row>
        <row r="625">
          <cell r="A625" t="str">
            <v>6DPU2MKPB07VL9YHC9</v>
          </cell>
          <cell r="B625" t="str">
            <v>Q1-23</v>
          </cell>
          <cell r="C625" t="str">
            <v>Europe Operations OU</v>
          </cell>
          <cell r="D625">
            <v>2674345</v>
          </cell>
          <cell r="E625" t="str">
            <v>Amazon EU SARL, succursale Italiana</v>
          </cell>
          <cell r="F625" t="str">
            <v>6DPU2MKP</v>
          </cell>
          <cell r="G625" t="str">
            <v>B07VL9YHC9</v>
          </cell>
          <cell r="H625" t="str">
            <v>920-009189</v>
          </cell>
          <cell r="I625" t="str">
            <v>OE INVOICES</v>
          </cell>
          <cell r="J625">
            <v>44421973829</v>
          </cell>
          <cell r="K625">
            <v>44699</v>
          </cell>
          <cell r="L625">
            <v>16</v>
          </cell>
          <cell r="M625" t="str">
            <v>EUR</v>
          </cell>
          <cell r="N625">
            <v>281.04000000000002</v>
          </cell>
          <cell r="O625">
            <v>35.130000000000003</v>
          </cell>
          <cell r="P625">
            <v>8</v>
          </cell>
          <cell r="Q625">
            <v>8</v>
          </cell>
          <cell r="R625">
            <v>0</v>
          </cell>
        </row>
        <row r="626">
          <cell r="A626" t="str">
            <v>6DPU2MKPB07W4DGCMV</v>
          </cell>
          <cell r="B626" t="str">
            <v>Q1-23</v>
          </cell>
          <cell r="C626" t="str">
            <v>Europe Operations OU</v>
          </cell>
          <cell r="D626">
            <v>2674345</v>
          </cell>
          <cell r="E626" t="str">
            <v>Amazon EU SARL, succursale Italiana</v>
          </cell>
          <cell r="F626" t="str">
            <v>6DPU2MKP</v>
          </cell>
          <cell r="G626" t="str">
            <v>B07W4DGCMV</v>
          </cell>
          <cell r="H626" t="str">
            <v>920-009865</v>
          </cell>
          <cell r="I626" t="str">
            <v>OE INVOICES</v>
          </cell>
          <cell r="J626">
            <v>44421973829</v>
          </cell>
          <cell r="K626">
            <v>44699</v>
          </cell>
          <cell r="L626">
            <v>17</v>
          </cell>
          <cell r="M626" t="str">
            <v>EUR</v>
          </cell>
          <cell r="N626">
            <v>702.72</v>
          </cell>
          <cell r="O626">
            <v>29.28</v>
          </cell>
          <cell r="P626">
            <v>24</v>
          </cell>
          <cell r="Q626">
            <v>24</v>
          </cell>
          <cell r="R626">
            <v>0</v>
          </cell>
        </row>
        <row r="627">
          <cell r="A627" t="str">
            <v>6DPU2MKPB07W4DGLJX</v>
          </cell>
          <cell r="B627" t="str">
            <v>Q1-23</v>
          </cell>
          <cell r="C627" t="str">
            <v>Europe Operations OU</v>
          </cell>
          <cell r="D627">
            <v>2674345</v>
          </cell>
          <cell r="E627" t="str">
            <v>Amazon EU SARL, succursale Italiana</v>
          </cell>
          <cell r="F627" t="str">
            <v>6DPU2MKP</v>
          </cell>
          <cell r="G627" t="str">
            <v>B07W4DGLJX</v>
          </cell>
          <cell r="H627" t="str">
            <v>920-009197</v>
          </cell>
          <cell r="I627" t="str">
            <v>OE INVOICES</v>
          </cell>
          <cell r="J627">
            <v>44421973829</v>
          </cell>
          <cell r="K627">
            <v>44699</v>
          </cell>
          <cell r="L627">
            <v>18</v>
          </cell>
          <cell r="M627" t="str">
            <v>EUR</v>
          </cell>
          <cell r="N627">
            <v>2810.4</v>
          </cell>
          <cell r="O627">
            <v>35.130000000000003</v>
          </cell>
          <cell r="P627">
            <v>80</v>
          </cell>
          <cell r="Q627">
            <v>80</v>
          </cell>
          <cell r="R627">
            <v>0</v>
          </cell>
        </row>
        <row r="628">
          <cell r="A628" t="str">
            <v>6DPU2MKPB07W4DH9CW</v>
          </cell>
          <cell r="B628" t="str">
            <v>Q1-23</v>
          </cell>
          <cell r="C628" t="str">
            <v>Europe Operations OU</v>
          </cell>
          <cell r="D628">
            <v>2674345</v>
          </cell>
          <cell r="E628" t="str">
            <v>Amazon EU SARL, succursale Italiana</v>
          </cell>
          <cell r="F628" t="str">
            <v>6DPU2MKP</v>
          </cell>
          <cell r="G628" t="str">
            <v>B07W4DH9CW</v>
          </cell>
          <cell r="H628" t="str">
            <v>910-005907</v>
          </cell>
          <cell r="I628" t="str">
            <v>OE INVOICES</v>
          </cell>
          <cell r="J628">
            <v>44421973829</v>
          </cell>
          <cell r="K628">
            <v>44699</v>
          </cell>
          <cell r="L628">
            <v>19</v>
          </cell>
          <cell r="M628" t="str">
            <v>EUR</v>
          </cell>
          <cell r="N628">
            <v>878</v>
          </cell>
          <cell r="O628">
            <v>8.7799999999999994</v>
          </cell>
          <cell r="P628">
            <v>100</v>
          </cell>
          <cell r="Q628">
            <v>100</v>
          </cell>
          <cell r="R628">
            <v>0</v>
          </cell>
        </row>
        <row r="629">
          <cell r="A629" t="str">
            <v>6DPU2MKPB07W4DHQJ9</v>
          </cell>
          <cell r="B629" t="str">
            <v>Q1-23</v>
          </cell>
          <cell r="C629" t="str">
            <v>Europe Operations OU</v>
          </cell>
          <cell r="D629">
            <v>2674345</v>
          </cell>
          <cell r="E629" t="str">
            <v>Amazon EU SARL, succursale Italiana</v>
          </cell>
          <cell r="F629" t="str">
            <v>6DPU2MKP</v>
          </cell>
          <cell r="G629" t="str">
            <v>B07W4DHQJ9</v>
          </cell>
          <cell r="H629" t="str">
            <v>910-005872</v>
          </cell>
          <cell r="I629" t="str">
            <v>OE INVOICES</v>
          </cell>
          <cell r="J629">
            <v>44421973843</v>
          </cell>
          <cell r="K629">
            <v>44699</v>
          </cell>
          <cell r="L629">
            <v>3</v>
          </cell>
          <cell r="M629" t="str">
            <v>EUR</v>
          </cell>
          <cell r="N629">
            <v>870</v>
          </cell>
          <cell r="O629">
            <v>29</v>
          </cell>
          <cell r="P629">
            <v>30</v>
          </cell>
          <cell r="Q629">
            <v>30</v>
          </cell>
          <cell r="R629">
            <v>0</v>
          </cell>
        </row>
        <row r="630">
          <cell r="A630" t="str">
            <v>6DPU2MKPB07W4DHS5B</v>
          </cell>
          <cell r="B630" t="str">
            <v>Q1-23</v>
          </cell>
          <cell r="C630" t="str">
            <v>Europe Operations OU</v>
          </cell>
          <cell r="D630">
            <v>2674345</v>
          </cell>
          <cell r="E630" t="str">
            <v>Amazon EU SARL, succursale Italiana</v>
          </cell>
          <cell r="F630" t="str">
            <v>6DPU2MKP</v>
          </cell>
          <cell r="G630" t="str">
            <v>B07W4DHS5B</v>
          </cell>
          <cell r="H630" t="str">
            <v>960-001297</v>
          </cell>
          <cell r="I630" t="str">
            <v>OE INVOICES</v>
          </cell>
          <cell r="J630">
            <v>44421973829</v>
          </cell>
          <cell r="K630">
            <v>44699</v>
          </cell>
          <cell r="L630">
            <v>20</v>
          </cell>
          <cell r="M630" t="str">
            <v>EUR</v>
          </cell>
          <cell r="N630">
            <v>737.92</v>
          </cell>
          <cell r="O630">
            <v>92.24</v>
          </cell>
          <cell r="P630">
            <v>8</v>
          </cell>
          <cell r="Q630">
            <v>8</v>
          </cell>
          <cell r="R630">
            <v>0</v>
          </cell>
        </row>
        <row r="631">
          <cell r="A631" t="str">
            <v>6DPU2MKPB07W4DHXC8</v>
          </cell>
          <cell r="B631" t="str">
            <v>Q1-23</v>
          </cell>
          <cell r="C631" t="str">
            <v>Europe Operations OU</v>
          </cell>
          <cell r="D631">
            <v>2674345</v>
          </cell>
          <cell r="E631" t="str">
            <v>Amazon EU SARL, succursale Italiana</v>
          </cell>
          <cell r="F631" t="str">
            <v>6DPU2MKP</v>
          </cell>
          <cell r="G631" t="str">
            <v>B07W4DHXC8</v>
          </cell>
          <cell r="H631" t="str">
            <v>946-000002</v>
          </cell>
          <cell r="I631" t="str">
            <v>OE INVOICES</v>
          </cell>
          <cell r="J631">
            <v>44421973829</v>
          </cell>
          <cell r="K631">
            <v>44699</v>
          </cell>
          <cell r="L631">
            <v>21</v>
          </cell>
          <cell r="M631" t="str">
            <v>EUR</v>
          </cell>
          <cell r="N631">
            <v>960.72</v>
          </cell>
          <cell r="O631">
            <v>40.03</v>
          </cell>
          <cell r="P631">
            <v>24</v>
          </cell>
          <cell r="Q631">
            <v>24</v>
          </cell>
          <cell r="R631">
            <v>0</v>
          </cell>
        </row>
        <row r="632">
          <cell r="A632" t="str">
            <v>6DPU2MKPB07W5JHXF8</v>
          </cell>
          <cell r="B632" t="str">
            <v>Q1-23</v>
          </cell>
          <cell r="C632" t="str">
            <v>Europe Operations OU</v>
          </cell>
          <cell r="D632">
            <v>2674345</v>
          </cell>
          <cell r="E632" t="str">
            <v>Amazon EU SARL, succursale Italiana</v>
          </cell>
          <cell r="F632" t="str">
            <v>6DPU2MKP</v>
          </cell>
          <cell r="G632" t="str">
            <v>B07W5JHXF8</v>
          </cell>
          <cell r="H632" t="str">
            <v>920-010398</v>
          </cell>
          <cell r="I632" t="str">
            <v>OE INVOICES</v>
          </cell>
          <cell r="J632">
            <v>44421973829</v>
          </cell>
          <cell r="K632">
            <v>44699</v>
          </cell>
          <cell r="L632">
            <v>22</v>
          </cell>
          <cell r="M632" t="str">
            <v>EUR</v>
          </cell>
          <cell r="N632">
            <v>702.72</v>
          </cell>
          <cell r="O632">
            <v>29.28</v>
          </cell>
          <cell r="P632">
            <v>24</v>
          </cell>
          <cell r="Q632">
            <v>24</v>
          </cell>
          <cell r="R632">
            <v>0</v>
          </cell>
        </row>
        <row r="633">
          <cell r="A633" t="str">
            <v>6DPU2MKPB07W5JJ1WH</v>
          </cell>
          <cell r="B633" t="str">
            <v>Q1-23</v>
          </cell>
          <cell r="C633" t="str">
            <v>Europe Operations OU</v>
          </cell>
          <cell r="D633">
            <v>2674345</v>
          </cell>
          <cell r="E633" t="str">
            <v>Amazon EU SARL, succursale Italiana</v>
          </cell>
          <cell r="F633" t="str">
            <v>6DPU2MKP</v>
          </cell>
          <cell r="G633" t="str">
            <v>B07W5JJ1WH</v>
          </cell>
          <cell r="H633" t="str">
            <v>920-009409</v>
          </cell>
          <cell r="I633" t="str">
            <v>OE INVOICES</v>
          </cell>
          <cell r="J633">
            <v>44421973843</v>
          </cell>
          <cell r="K633">
            <v>44699</v>
          </cell>
          <cell r="L633">
            <v>4</v>
          </cell>
          <cell r="M633" t="str">
            <v>EUR</v>
          </cell>
          <cell r="N633">
            <v>4222.96</v>
          </cell>
          <cell r="O633">
            <v>75.41</v>
          </cell>
          <cell r="P633">
            <v>56</v>
          </cell>
          <cell r="Q633">
            <v>56</v>
          </cell>
          <cell r="R633">
            <v>0</v>
          </cell>
        </row>
        <row r="634">
          <cell r="A634" t="str">
            <v>6DPU2MKPB07W5JJ1WM</v>
          </cell>
          <cell r="B634" t="str">
            <v>Q1-23</v>
          </cell>
          <cell r="C634" t="str">
            <v>Europe Operations OU</v>
          </cell>
          <cell r="D634">
            <v>2674345</v>
          </cell>
          <cell r="E634" t="str">
            <v>Amazon EU SARL, succursale Italiana</v>
          </cell>
          <cell r="F634" t="str">
            <v>6DPU2MKP</v>
          </cell>
          <cell r="G634" t="str">
            <v>B07W5JJ1WM</v>
          </cell>
          <cell r="H634" t="str">
            <v>910-005957</v>
          </cell>
          <cell r="I634" t="str">
            <v>OE INVOICES</v>
          </cell>
          <cell r="J634">
            <v>44421973829</v>
          </cell>
          <cell r="K634">
            <v>44699</v>
          </cell>
          <cell r="L634">
            <v>23</v>
          </cell>
          <cell r="M634" t="str">
            <v>EUR</v>
          </cell>
          <cell r="N634">
            <v>335.56</v>
          </cell>
          <cell r="O634">
            <v>83.89</v>
          </cell>
          <cell r="P634">
            <v>4</v>
          </cell>
          <cell r="Q634">
            <v>4</v>
          </cell>
          <cell r="R634">
            <v>0</v>
          </cell>
        </row>
        <row r="635">
          <cell r="A635" t="str">
            <v>6DPU2MKPB07W5JJP7R</v>
          </cell>
          <cell r="B635" t="str">
            <v>Q1-23</v>
          </cell>
          <cell r="C635" t="str">
            <v>Europe Operations OU</v>
          </cell>
          <cell r="D635">
            <v>2674345</v>
          </cell>
          <cell r="E635" t="str">
            <v>Amazon EU SARL, succursale Italiana</v>
          </cell>
          <cell r="F635" t="str">
            <v>6DPU2MKP</v>
          </cell>
          <cell r="G635" t="str">
            <v>B07W5JJP7R</v>
          </cell>
          <cell r="H635" t="str">
            <v>920-009626</v>
          </cell>
          <cell r="I635" t="str">
            <v>OE INVOICES</v>
          </cell>
          <cell r="J635">
            <v>44421973829</v>
          </cell>
          <cell r="K635">
            <v>44699</v>
          </cell>
          <cell r="L635">
            <v>24</v>
          </cell>
          <cell r="M635" t="str">
            <v>EUR</v>
          </cell>
          <cell r="N635">
            <v>1391.84</v>
          </cell>
          <cell r="O635">
            <v>86.99</v>
          </cell>
          <cell r="P635">
            <v>16</v>
          </cell>
          <cell r="Q635">
            <v>16</v>
          </cell>
          <cell r="R635">
            <v>0</v>
          </cell>
        </row>
        <row r="636">
          <cell r="A636" t="str">
            <v>6DPU2MKPB07W5JK27G</v>
          </cell>
          <cell r="B636" t="str">
            <v>Q1-23</v>
          </cell>
          <cell r="C636" t="str">
            <v>Europe Operations OU</v>
          </cell>
          <cell r="D636">
            <v>2674345</v>
          </cell>
          <cell r="E636" t="str">
            <v>Amazon EU SARL, succursale Italiana</v>
          </cell>
          <cell r="F636" t="str">
            <v>6DPU2MKP</v>
          </cell>
          <cell r="G636" t="str">
            <v>B07W5JK27G</v>
          </cell>
          <cell r="H636" t="str">
            <v>910-005843</v>
          </cell>
          <cell r="I636" t="str">
            <v>OE INVOICES</v>
          </cell>
          <cell r="J636">
            <v>44421973829</v>
          </cell>
          <cell r="K636">
            <v>44699</v>
          </cell>
          <cell r="L636">
            <v>25</v>
          </cell>
          <cell r="M636" t="str">
            <v>EUR</v>
          </cell>
          <cell r="N636">
            <v>936.96</v>
          </cell>
          <cell r="O636">
            <v>29.28</v>
          </cell>
          <cell r="P636">
            <v>32</v>
          </cell>
          <cell r="Q636">
            <v>32</v>
          </cell>
          <cell r="R636">
            <v>0</v>
          </cell>
        </row>
        <row r="637">
          <cell r="A637" t="str">
            <v>6DPU2MKPB07W5JK8TR</v>
          </cell>
          <cell r="B637" t="str">
            <v>Q1-23</v>
          </cell>
          <cell r="C637" t="str">
            <v>Europe Operations OU</v>
          </cell>
          <cell r="D637">
            <v>2674345</v>
          </cell>
          <cell r="E637" t="str">
            <v>Amazon EU SARL, succursale Italiana</v>
          </cell>
          <cell r="F637" t="str">
            <v>6DPU2MKP</v>
          </cell>
          <cell r="G637" t="str">
            <v>B07W5JK8TR</v>
          </cell>
          <cell r="H637" t="str">
            <v>910-006098</v>
          </cell>
          <cell r="I637" t="str">
            <v>OE INVOICES</v>
          </cell>
          <cell r="J637">
            <v>44421973829</v>
          </cell>
          <cell r="K637">
            <v>44699</v>
          </cell>
          <cell r="L637">
            <v>26</v>
          </cell>
          <cell r="M637" t="str">
            <v>EUR</v>
          </cell>
          <cell r="N637">
            <v>189.92</v>
          </cell>
          <cell r="O637">
            <v>47.48</v>
          </cell>
          <cell r="P637">
            <v>4</v>
          </cell>
          <cell r="Q637">
            <v>4</v>
          </cell>
          <cell r="R637">
            <v>0</v>
          </cell>
        </row>
        <row r="638">
          <cell r="A638" t="str">
            <v>6DPU2MKPB07W6J829F</v>
          </cell>
          <cell r="B638" t="str">
            <v>Q1-23</v>
          </cell>
          <cell r="C638" t="str">
            <v>Europe Operations OU</v>
          </cell>
          <cell r="D638">
            <v>2674345</v>
          </cell>
          <cell r="E638" t="str">
            <v>Amazon EU SARL, succursale Italiana</v>
          </cell>
          <cell r="F638" t="str">
            <v>6DPU2MKP</v>
          </cell>
          <cell r="G638" t="str">
            <v>B07W6J829F</v>
          </cell>
          <cell r="H638" t="str">
            <v>910-005784</v>
          </cell>
          <cell r="I638" t="str">
            <v>OE INVOICES</v>
          </cell>
          <cell r="J638">
            <v>44421973843</v>
          </cell>
          <cell r="K638">
            <v>44699</v>
          </cell>
          <cell r="L638">
            <v>5</v>
          </cell>
          <cell r="M638" t="str">
            <v>EUR</v>
          </cell>
          <cell r="N638">
            <v>7962.8</v>
          </cell>
          <cell r="O638">
            <v>23.42</v>
          </cell>
          <cell r="P638">
            <v>340</v>
          </cell>
          <cell r="Q638">
            <v>340</v>
          </cell>
          <cell r="R638">
            <v>0</v>
          </cell>
        </row>
        <row r="639">
          <cell r="A639" t="str">
            <v>6DPU2MKPB07W6JLFZ7</v>
          </cell>
          <cell r="B639" t="str">
            <v>Q1-23</v>
          </cell>
          <cell r="C639" t="str">
            <v>Europe Operations OU</v>
          </cell>
          <cell r="D639">
            <v>2674345</v>
          </cell>
          <cell r="E639" t="str">
            <v>Amazon EU SARL, succursale Italiana</v>
          </cell>
          <cell r="F639" t="str">
            <v>6DPU2MKP</v>
          </cell>
          <cell r="G639" t="str">
            <v>B07W6JLFZ7</v>
          </cell>
          <cell r="H639" t="str">
            <v>910-006478</v>
          </cell>
          <cell r="I639" t="str">
            <v>OE INVOICES</v>
          </cell>
          <cell r="J639">
            <v>44421973829</v>
          </cell>
          <cell r="K639">
            <v>44699</v>
          </cell>
          <cell r="L639">
            <v>27</v>
          </cell>
          <cell r="M639" t="str">
            <v>EUR</v>
          </cell>
          <cell r="N639">
            <v>371.2</v>
          </cell>
          <cell r="O639">
            <v>46.4</v>
          </cell>
          <cell r="P639">
            <v>8</v>
          </cell>
          <cell r="Q639">
            <v>8</v>
          </cell>
          <cell r="R639">
            <v>0</v>
          </cell>
        </row>
        <row r="640">
          <cell r="A640" t="str">
            <v>6DPU2MKPB07W6JNF81</v>
          </cell>
          <cell r="B640" t="str">
            <v>Q1-23</v>
          </cell>
          <cell r="C640" t="str">
            <v>Europe Operations OU</v>
          </cell>
          <cell r="D640">
            <v>2674345</v>
          </cell>
          <cell r="E640" t="str">
            <v>Amazon EU SARL, succursale Italiana</v>
          </cell>
          <cell r="F640" t="str">
            <v>6DPU2MKP</v>
          </cell>
          <cell r="G640" t="str">
            <v>B07W6JNF81</v>
          </cell>
          <cell r="H640" t="str">
            <v>920-010212</v>
          </cell>
          <cell r="I640" t="str">
            <v>OE INVOICES</v>
          </cell>
          <cell r="J640">
            <v>44421973829</v>
          </cell>
          <cell r="K640">
            <v>44699</v>
          </cell>
          <cell r="L640">
            <v>28</v>
          </cell>
          <cell r="M640" t="str">
            <v>EUR</v>
          </cell>
          <cell r="N640">
            <v>1067.3599999999999</v>
          </cell>
          <cell r="O640">
            <v>133.41999999999999</v>
          </cell>
          <cell r="P640">
            <v>8</v>
          </cell>
          <cell r="Q640">
            <v>8</v>
          </cell>
          <cell r="R640">
            <v>0</v>
          </cell>
        </row>
        <row r="641">
          <cell r="A641" t="str">
            <v>6DPU2MKPB07W7KMK4Y</v>
          </cell>
          <cell r="B641" t="str">
            <v>Q1-23</v>
          </cell>
          <cell r="C641" t="str">
            <v>Europe Operations OU</v>
          </cell>
          <cell r="D641">
            <v>2674345</v>
          </cell>
          <cell r="E641" t="str">
            <v>Amazon EU SARL, succursale Italiana</v>
          </cell>
          <cell r="F641" t="str">
            <v>6DPU2MKP</v>
          </cell>
          <cell r="G641" t="str">
            <v>B07W7KMK4Y</v>
          </cell>
          <cell r="H641" t="str">
            <v>920-010488</v>
          </cell>
          <cell r="I641" t="str">
            <v>OE INVOICES</v>
          </cell>
          <cell r="J641">
            <v>44421973829</v>
          </cell>
          <cell r="K641">
            <v>44699</v>
          </cell>
          <cell r="L641">
            <v>29</v>
          </cell>
          <cell r="M641" t="str">
            <v>EUR</v>
          </cell>
          <cell r="N641">
            <v>510.48</v>
          </cell>
          <cell r="O641">
            <v>63.81</v>
          </cell>
          <cell r="P641">
            <v>8</v>
          </cell>
          <cell r="Q641">
            <v>8</v>
          </cell>
          <cell r="R641">
            <v>0</v>
          </cell>
        </row>
        <row r="642">
          <cell r="A642" t="str">
            <v>6DPU2MKPB07W7KV5KF</v>
          </cell>
          <cell r="B642" t="str">
            <v>Q1-23</v>
          </cell>
          <cell r="C642" t="str">
            <v>Europe Operations OU</v>
          </cell>
          <cell r="D642">
            <v>2674345</v>
          </cell>
          <cell r="E642" t="str">
            <v>Amazon EU SARL, succursale Italiana</v>
          </cell>
          <cell r="F642" t="str">
            <v>6DPU2MKP</v>
          </cell>
          <cell r="G642" t="str">
            <v>B07W7KV5KF</v>
          </cell>
          <cell r="H642" t="str">
            <v>910-005991</v>
          </cell>
          <cell r="I642" t="str">
            <v>OE INVOICES</v>
          </cell>
          <cell r="J642">
            <v>44421973829</v>
          </cell>
          <cell r="K642">
            <v>44699</v>
          </cell>
          <cell r="L642">
            <v>30</v>
          </cell>
          <cell r="M642" t="str">
            <v>EUR</v>
          </cell>
          <cell r="N642">
            <v>580</v>
          </cell>
          <cell r="O642">
            <v>58</v>
          </cell>
          <cell r="P642">
            <v>10</v>
          </cell>
          <cell r="Q642">
            <v>10</v>
          </cell>
          <cell r="R642">
            <v>0</v>
          </cell>
        </row>
        <row r="643">
          <cell r="A643" t="str">
            <v>6DPU2MKPB07W7L3DSX</v>
          </cell>
          <cell r="B643" t="str">
            <v>Q1-23</v>
          </cell>
          <cell r="C643" t="str">
            <v>Europe Operations OU</v>
          </cell>
          <cell r="D643">
            <v>2674345</v>
          </cell>
          <cell r="E643" t="str">
            <v>Amazon EU SARL, succursale Italiana</v>
          </cell>
          <cell r="F643" t="str">
            <v>6DPU2MKP</v>
          </cell>
          <cell r="G643" t="str">
            <v>B07W7L3DSX</v>
          </cell>
          <cell r="H643" t="str">
            <v>920-010399</v>
          </cell>
          <cell r="I643" t="str">
            <v>OE INVOICES</v>
          </cell>
          <cell r="J643">
            <v>44421973829</v>
          </cell>
          <cell r="K643">
            <v>44699</v>
          </cell>
          <cell r="L643">
            <v>31</v>
          </cell>
          <cell r="M643" t="str">
            <v>EUR</v>
          </cell>
          <cell r="N643">
            <v>1873.92</v>
          </cell>
          <cell r="O643">
            <v>29.28</v>
          </cell>
          <cell r="P643">
            <v>64</v>
          </cell>
          <cell r="Q643">
            <v>64</v>
          </cell>
          <cell r="R643">
            <v>0</v>
          </cell>
        </row>
        <row r="644">
          <cell r="A644" t="str">
            <v>6DPU2MKPB07W7LNTM5</v>
          </cell>
          <cell r="B644" t="str">
            <v>Q1-23</v>
          </cell>
          <cell r="C644" t="str">
            <v>Europe Operations OU</v>
          </cell>
          <cell r="D644">
            <v>2674345</v>
          </cell>
          <cell r="E644" t="str">
            <v>Amazon EU SARL, succursale Italiana</v>
          </cell>
          <cell r="F644" t="str">
            <v>6DPU2MKP</v>
          </cell>
          <cell r="G644" t="str">
            <v>B07W7LNTM5</v>
          </cell>
          <cell r="H644" t="str">
            <v>981-001050</v>
          </cell>
          <cell r="I644" t="str">
            <v>OE INVOICES</v>
          </cell>
          <cell r="J644">
            <v>44421973829</v>
          </cell>
          <cell r="K644">
            <v>44699</v>
          </cell>
          <cell r="L644">
            <v>32</v>
          </cell>
          <cell r="M644" t="str">
            <v>EUR</v>
          </cell>
          <cell r="N644">
            <v>13166.4</v>
          </cell>
          <cell r="O644">
            <v>42.2</v>
          </cell>
          <cell r="P644">
            <v>312</v>
          </cell>
          <cell r="Q644">
            <v>312</v>
          </cell>
          <cell r="R644">
            <v>0</v>
          </cell>
        </row>
        <row r="645">
          <cell r="A645" t="str">
            <v>6DPU2MKPB07W7LQDX7</v>
          </cell>
          <cell r="B645" t="str">
            <v>Q1-23</v>
          </cell>
          <cell r="C645" t="str">
            <v>Europe Operations OU</v>
          </cell>
          <cell r="D645">
            <v>2674345</v>
          </cell>
          <cell r="E645" t="str">
            <v>Amazon EU SARL, succursale Italiana</v>
          </cell>
          <cell r="F645" t="str">
            <v>6DPU2MKP</v>
          </cell>
          <cell r="G645" t="str">
            <v>B07W7LQDX7</v>
          </cell>
          <cell r="H645" t="str">
            <v>920-009520</v>
          </cell>
          <cell r="I645" t="str">
            <v>OE INVOICES</v>
          </cell>
          <cell r="J645">
            <v>44421973829</v>
          </cell>
          <cell r="K645">
            <v>44699</v>
          </cell>
          <cell r="L645">
            <v>33</v>
          </cell>
          <cell r="M645" t="str">
            <v>EUR</v>
          </cell>
          <cell r="N645">
            <v>483.32</v>
          </cell>
          <cell r="O645">
            <v>120.83</v>
          </cell>
          <cell r="P645">
            <v>4</v>
          </cell>
          <cell r="Q645">
            <v>4</v>
          </cell>
          <cell r="R645">
            <v>0</v>
          </cell>
        </row>
        <row r="646">
          <cell r="A646" t="str">
            <v>6DPU2MKPB07W7MKLNT</v>
          </cell>
          <cell r="B646" t="str">
            <v>Q1-23</v>
          </cell>
          <cell r="C646" t="str">
            <v>Europe Operations OU</v>
          </cell>
          <cell r="D646">
            <v>2674345</v>
          </cell>
          <cell r="E646" t="str">
            <v>Amazon EU SARL, succursale Italiana</v>
          </cell>
          <cell r="F646" t="str">
            <v>6DPU2MKP</v>
          </cell>
          <cell r="G646" t="str">
            <v>B07W7MKLNT</v>
          </cell>
          <cell r="H646" t="str">
            <v>910-005943</v>
          </cell>
          <cell r="I646" t="str">
            <v>OE INVOICES</v>
          </cell>
          <cell r="J646">
            <v>44421973829</v>
          </cell>
          <cell r="K646">
            <v>44699</v>
          </cell>
          <cell r="L646">
            <v>34</v>
          </cell>
          <cell r="M646" t="str">
            <v>EUR</v>
          </cell>
          <cell r="N646">
            <v>671.12</v>
          </cell>
          <cell r="O646">
            <v>83.89</v>
          </cell>
          <cell r="P646">
            <v>8</v>
          </cell>
          <cell r="Q646">
            <v>8</v>
          </cell>
          <cell r="R646">
            <v>0</v>
          </cell>
        </row>
        <row r="647">
          <cell r="A647" t="str">
            <v>6DPU2MKPB07W8P4PDD</v>
          </cell>
          <cell r="B647" t="str">
            <v>Q1-23</v>
          </cell>
          <cell r="C647" t="str">
            <v>Europe Operations OU</v>
          </cell>
          <cell r="D647">
            <v>2674345</v>
          </cell>
          <cell r="E647" t="str">
            <v>Amazon EU SARL, succursale Italiana</v>
          </cell>
          <cell r="F647" t="str">
            <v>6DPU2MKP</v>
          </cell>
          <cell r="G647" t="str">
            <v>B07W8P4PDD</v>
          </cell>
          <cell r="H647" t="str">
            <v>910-006474</v>
          </cell>
          <cell r="I647" t="str">
            <v>OE INVOICES</v>
          </cell>
          <cell r="J647">
            <v>44421973829</v>
          </cell>
          <cell r="K647">
            <v>44699</v>
          </cell>
          <cell r="L647">
            <v>35</v>
          </cell>
          <cell r="M647" t="str">
            <v>EUR</v>
          </cell>
          <cell r="N647">
            <v>2227.1999999999998</v>
          </cell>
          <cell r="O647">
            <v>46.4</v>
          </cell>
          <cell r="P647">
            <v>48</v>
          </cell>
          <cell r="Q647">
            <v>48</v>
          </cell>
          <cell r="R647">
            <v>0</v>
          </cell>
        </row>
        <row r="648">
          <cell r="A648" t="str">
            <v>6GSPTXJAB0037KLSR4</v>
          </cell>
          <cell r="B648" t="str">
            <v>Q1-23</v>
          </cell>
          <cell r="C648" t="str">
            <v>Europe Operations OU</v>
          </cell>
          <cell r="D648">
            <v>2674345</v>
          </cell>
          <cell r="E648" t="str">
            <v>Amazon EU SARL, succursale Italiana</v>
          </cell>
          <cell r="F648" t="str">
            <v>6GSPTXJA</v>
          </cell>
          <cell r="G648" t="str">
            <v>B0037KLSR4</v>
          </cell>
          <cell r="H648" t="str">
            <v>920-002429</v>
          </cell>
          <cell r="I648" t="str">
            <v>OE INVOICES</v>
          </cell>
          <cell r="J648">
            <v>44421958402</v>
          </cell>
          <cell r="K648">
            <v>44684</v>
          </cell>
          <cell r="L648">
            <v>1</v>
          </cell>
          <cell r="M648" t="str">
            <v>EUR</v>
          </cell>
          <cell r="N648">
            <v>278.44</v>
          </cell>
          <cell r="O648">
            <v>69.61</v>
          </cell>
          <cell r="P648">
            <v>4</v>
          </cell>
          <cell r="Q648">
            <v>4</v>
          </cell>
          <cell r="R648">
            <v>0</v>
          </cell>
        </row>
        <row r="649">
          <cell r="A649" t="str">
            <v>6GSPTXJAB003IZ5JXC</v>
          </cell>
          <cell r="B649" t="str">
            <v>Q1-23</v>
          </cell>
          <cell r="C649" t="str">
            <v>Europe Operations OU</v>
          </cell>
          <cell r="D649">
            <v>2674345</v>
          </cell>
          <cell r="E649" t="str">
            <v>Amazon EU SARL, succursale Italiana</v>
          </cell>
          <cell r="F649" t="str">
            <v>6GSPTXJA</v>
          </cell>
          <cell r="G649" t="str">
            <v>B003IZ5JXC</v>
          </cell>
          <cell r="H649" t="str">
            <v>920-002540</v>
          </cell>
          <cell r="I649" t="str">
            <v>OE INVOICES</v>
          </cell>
          <cell r="J649">
            <v>44421958402</v>
          </cell>
          <cell r="K649">
            <v>44684</v>
          </cell>
          <cell r="L649">
            <v>2</v>
          </cell>
          <cell r="M649" t="str">
            <v>EUR</v>
          </cell>
          <cell r="N649">
            <v>14200.8</v>
          </cell>
          <cell r="O649">
            <v>14.64</v>
          </cell>
          <cell r="P649">
            <v>970</v>
          </cell>
          <cell r="Q649">
            <v>970</v>
          </cell>
          <cell r="R649">
            <v>0</v>
          </cell>
        </row>
        <row r="650">
          <cell r="A650" t="str">
            <v>6GSPTXJAB003PAMIA2</v>
          </cell>
          <cell r="B650" t="str">
            <v>Q1-23</v>
          </cell>
          <cell r="C650" t="str">
            <v>Europe Operations OU</v>
          </cell>
          <cell r="D650">
            <v>2674345</v>
          </cell>
          <cell r="E650" t="str">
            <v>Amazon EU SARL, succursale Italiana</v>
          </cell>
          <cell r="F650" t="str">
            <v>6GSPTXJA</v>
          </cell>
          <cell r="G650" t="str">
            <v>B003PAMIA2</v>
          </cell>
          <cell r="H650" t="str">
            <v>920-002489</v>
          </cell>
          <cell r="I650" t="str">
            <v>OE INVOICES</v>
          </cell>
          <cell r="J650">
            <v>44421954923</v>
          </cell>
          <cell r="K650">
            <v>44677</v>
          </cell>
          <cell r="L650">
            <v>1</v>
          </cell>
          <cell r="M650" t="str">
            <v>EUR</v>
          </cell>
          <cell r="N650">
            <v>99.5</v>
          </cell>
          <cell r="O650">
            <v>9.9499999999999993</v>
          </cell>
          <cell r="P650">
            <v>10</v>
          </cell>
          <cell r="Q650">
            <v>10</v>
          </cell>
          <cell r="R650">
            <v>0</v>
          </cell>
        </row>
        <row r="651">
          <cell r="A651" t="str">
            <v>6GSPTXJAB003PO22H2</v>
          </cell>
          <cell r="B651" t="str">
            <v>Q1-23</v>
          </cell>
          <cell r="C651" t="str">
            <v>Europe Operations OU</v>
          </cell>
          <cell r="D651">
            <v>2674345</v>
          </cell>
          <cell r="E651" t="str">
            <v>Amazon EU SARL, succursale Italiana</v>
          </cell>
          <cell r="F651" t="str">
            <v>6GSPTXJA</v>
          </cell>
          <cell r="G651" t="str">
            <v>B003PO22H2</v>
          </cell>
          <cell r="H651" t="str">
            <v>920-002501</v>
          </cell>
          <cell r="I651" t="str">
            <v>OE INVOICES</v>
          </cell>
          <cell r="J651">
            <v>44421954923</v>
          </cell>
          <cell r="K651">
            <v>44677</v>
          </cell>
          <cell r="L651">
            <v>2</v>
          </cell>
          <cell r="M651" t="str">
            <v>EUR</v>
          </cell>
          <cell r="N651">
            <v>298.5</v>
          </cell>
          <cell r="O651">
            <v>9.9499999999999993</v>
          </cell>
          <cell r="P651">
            <v>30</v>
          </cell>
          <cell r="Q651">
            <v>30</v>
          </cell>
          <cell r="R651">
            <v>0</v>
          </cell>
        </row>
        <row r="652">
          <cell r="A652" t="str">
            <v>6GSPTXJAB003UPJXIC</v>
          </cell>
          <cell r="B652" t="str">
            <v>Q1-23</v>
          </cell>
          <cell r="C652" t="str">
            <v>Europe Operations OU</v>
          </cell>
          <cell r="D652">
            <v>2674345</v>
          </cell>
          <cell r="E652" t="str">
            <v>Amazon EU SARL, succursale Italiana</v>
          </cell>
          <cell r="F652" t="str">
            <v>6GSPTXJA</v>
          </cell>
          <cell r="G652" t="str">
            <v>B003UPJXIC</v>
          </cell>
          <cell r="H652" t="str">
            <v>980-000403</v>
          </cell>
          <cell r="I652" t="str">
            <v>OE INVOICES</v>
          </cell>
          <cell r="J652">
            <v>44421954923</v>
          </cell>
          <cell r="K652">
            <v>44677</v>
          </cell>
          <cell r="L652">
            <v>3</v>
          </cell>
          <cell r="M652" t="str">
            <v>EUR</v>
          </cell>
          <cell r="N652">
            <v>1962.48</v>
          </cell>
          <cell r="O652">
            <v>115.44</v>
          </cell>
          <cell r="P652">
            <v>17</v>
          </cell>
          <cell r="Q652">
            <v>17</v>
          </cell>
          <cell r="R652">
            <v>0</v>
          </cell>
        </row>
        <row r="653">
          <cell r="A653" t="str">
            <v>6GSPTXJAB003V4A5VG</v>
          </cell>
          <cell r="B653" t="str">
            <v>Q1-23</v>
          </cell>
          <cell r="C653" t="str">
            <v>Europe Operations OU</v>
          </cell>
          <cell r="D653">
            <v>2674345</v>
          </cell>
          <cell r="E653" t="str">
            <v>Amazon EU SARL, succursale Italiana</v>
          </cell>
          <cell r="F653" t="str">
            <v>6GSPTXJA</v>
          </cell>
          <cell r="G653" t="str">
            <v>B003V4A5VG</v>
          </cell>
          <cell r="H653" t="str">
            <v>920-002488</v>
          </cell>
          <cell r="I653" t="str">
            <v>OE INVOICES</v>
          </cell>
          <cell r="J653">
            <v>44421954923</v>
          </cell>
          <cell r="K653">
            <v>44677</v>
          </cell>
          <cell r="L653">
            <v>4</v>
          </cell>
          <cell r="M653" t="str">
            <v>EUR</v>
          </cell>
          <cell r="N653">
            <v>99.5</v>
          </cell>
          <cell r="O653">
            <v>9.9499999999999993</v>
          </cell>
          <cell r="P653">
            <v>10</v>
          </cell>
          <cell r="Q653">
            <v>10</v>
          </cell>
          <cell r="R653">
            <v>0</v>
          </cell>
        </row>
        <row r="654">
          <cell r="A654" t="str">
            <v>6GSPTXJAB0041U9CYU</v>
          </cell>
          <cell r="B654" t="str">
            <v>Q1-23</v>
          </cell>
          <cell r="C654" t="str">
            <v>Europe Operations OU</v>
          </cell>
          <cell r="D654">
            <v>2674345</v>
          </cell>
          <cell r="E654" t="str">
            <v>Amazon EU SARL, succursale Italiana</v>
          </cell>
          <cell r="F654" t="str">
            <v>6GSPTXJA</v>
          </cell>
          <cell r="G654" t="str">
            <v>B0041U9CYU</v>
          </cell>
          <cell r="H654" t="str">
            <v>920-002482</v>
          </cell>
          <cell r="I654" t="str">
            <v>OE INVOICES</v>
          </cell>
          <cell r="J654">
            <v>44421954923</v>
          </cell>
          <cell r="K654">
            <v>44677</v>
          </cell>
          <cell r="L654">
            <v>5</v>
          </cell>
          <cell r="M654" t="str">
            <v>EUR</v>
          </cell>
          <cell r="N654">
            <v>99.5</v>
          </cell>
          <cell r="O654">
            <v>9.9499999999999993</v>
          </cell>
          <cell r="P654">
            <v>10</v>
          </cell>
          <cell r="Q654">
            <v>10</v>
          </cell>
          <cell r="R654">
            <v>0</v>
          </cell>
        </row>
        <row r="655">
          <cell r="A655" t="str">
            <v>6GSPTXJAB004CM47VU</v>
          </cell>
          <cell r="B655" t="str">
            <v>Q1-23</v>
          </cell>
          <cell r="C655" t="str">
            <v>Europe Operations OU</v>
          </cell>
          <cell r="D655">
            <v>2674345</v>
          </cell>
          <cell r="E655" t="str">
            <v>Amazon EU SARL, succursale Italiana</v>
          </cell>
          <cell r="F655" t="str">
            <v>6GSPTXJA</v>
          </cell>
          <cell r="G655" t="str">
            <v>B004CM47VU</v>
          </cell>
          <cell r="H655" t="str">
            <v>920-002543</v>
          </cell>
          <cell r="I655" t="str">
            <v>OE INVOICES</v>
          </cell>
          <cell r="J655">
            <v>44421954923</v>
          </cell>
          <cell r="K655">
            <v>44677</v>
          </cell>
          <cell r="L655">
            <v>6</v>
          </cell>
          <cell r="M655" t="str">
            <v>EUR</v>
          </cell>
          <cell r="N655">
            <v>2488.8000000000002</v>
          </cell>
          <cell r="O655">
            <v>14.64</v>
          </cell>
          <cell r="P655">
            <v>170</v>
          </cell>
          <cell r="Q655">
            <v>170</v>
          </cell>
          <cell r="R655">
            <v>0</v>
          </cell>
        </row>
        <row r="656">
          <cell r="A656" t="str">
            <v>6GSPTXJAB0055ZWOZ4</v>
          </cell>
          <cell r="B656" t="str">
            <v>Q1-23</v>
          </cell>
          <cell r="C656" t="str">
            <v>Europe Operations OU</v>
          </cell>
          <cell r="D656">
            <v>2674345</v>
          </cell>
          <cell r="E656" t="str">
            <v>Amazon EU SARL, succursale Italiana</v>
          </cell>
          <cell r="F656" t="str">
            <v>6GSPTXJA</v>
          </cell>
          <cell r="G656" t="str">
            <v>B0055ZWOZ4</v>
          </cell>
          <cell r="H656" t="str">
            <v>920-002921</v>
          </cell>
          <cell r="I656" t="str">
            <v>OE INVOICES</v>
          </cell>
          <cell r="J656">
            <v>44421954923</v>
          </cell>
          <cell r="K656">
            <v>44677</v>
          </cell>
          <cell r="L656">
            <v>7</v>
          </cell>
          <cell r="M656" t="str">
            <v>EUR</v>
          </cell>
          <cell r="N656">
            <v>257.68</v>
          </cell>
          <cell r="O656">
            <v>64.42</v>
          </cell>
          <cell r="P656">
            <v>4</v>
          </cell>
          <cell r="Q656">
            <v>4</v>
          </cell>
          <cell r="R656">
            <v>0</v>
          </cell>
        </row>
        <row r="657">
          <cell r="A657" t="str">
            <v>6GSPTXJAB00564NLFG</v>
          </cell>
          <cell r="B657" t="str">
            <v>Q1-23</v>
          </cell>
          <cell r="C657" t="str">
            <v>Europe Operations OU</v>
          </cell>
          <cell r="D657">
            <v>2674345</v>
          </cell>
          <cell r="E657" t="str">
            <v>Amazon EU SARL, succursale Italiana</v>
          </cell>
          <cell r="F657" t="str">
            <v>6GSPTXJA</v>
          </cell>
          <cell r="G657" t="str">
            <v>B00564NLFG</v>
          </cell>
          <cell r="H657" t="str">
            <v>920-002547</v>
          </cell>
          <cell r="I657" t="str">
            <v>OE INVOICES</v>
          </cell>
          <cell r="J657">
            <v>44421958402</v>
          </cell>
          <cell r="K657">
            <v>44684</v>
          </cell>
          <cell r="L657">
            <v>3</v>
          </cell>
          <cell r="M657" t="str">
            <v>EUR</v>
          </cell>
          <cell r="N657">
            <v>146.4</v>
          </cell>
          <cell r="O657">
            <v>14.64</v>
          </cell>
          <cell r="P657">
            <v>10</v>
          </cell>
          <cell r="Q657">
            <v>10</v>
          </cell>
          <cell r="R657">
            <v>0</v>
          </cell>
        </row>
        <row r="658">
          <cell r="A658" t="str">
            <v>6GSPTXJAB0056C69DO</v>
          </cell>
          <cell r="B658" t="str">
            <v>Q1-23</v>
          </cell>
          <cell r="C658" t="str">
            <v>Europe Operations OU</v>
          </cell>
          <cell r="D658">
            <v>2674345</v>
          </cell>
          <cell r="E658" t="str">
            <v>Amazon EU SARL, succursale Italiana</v>
          </cell>
          <cell r="F658" t="str">
            <v>6GSPTXJA</v>
          </cell>
          <cell r="G658" t="str">
            <v>B0056C69DO</v>
          </cell>
          <cell r="H658" t="str">
            <v>920-002517</v>
          </cell>
          <cell r="I658" t="str">
            <v>OE INVOICES</v>
          </cell>
          <cell r="J658">
            <v>44421954923</v>
          </cell>
          <cell r="K658">
            <v>44677</v>
          </cell>
          <cell r="L658">
            <v>8</v>
          </cell>
          <cell r="M658" t="str">
            <v>EUR</v>
          </cell>
          <cell r="N658">
            <v>2214</v>
          </cell>
          <cell r="O658">
            <v>8.1999999999999993</v>
          </cell>
          <cell r="P658">
            <v>270</v>
          </cell>
          <cell r="Q658">
            <v>270</v>
          </cell>
          <cell r="R658">
            <v>0</v>
          </cell>
        </row>
        <row r="659">
          <cell r="A659" t="str">
            <v>6GSPTXJAB007G95NG4</v>
          </cell>
          <cell r="B659" t="str">
            <v>Q1-23</v>
          </cell>
          <cell r="C659" t="str">
            <v>Europe Operations OU</v>
          </cell>
          <cell r="D659">
            <v>2674345</v>
          </cell>
          <cell r="E659" t="str">
            <v>Amazon EU SARL, succursale Italiana</v>
          </cell>
          <cell r="F659" t="str">
            <v>6GSPTXJA</v>
          </cell>
          <cell r="G659" t="str">
            <v>B007G95NG4</v>
          </cell>
          <cell r="H659" t="str">
            <v>920-003743</v>
          </cell>
          <cell r="I659" t="str">
            <v>OE INVOICES</v>
          </cell>
          <cell r="J659">
            <v>44421954923</v>
          </cell>
          <cell r="K659">
            <v>44677</v>
          </cell>
          <cell r="L659">
            <v>9</v>
          </cell>
          <cell r="M659" t="str">
            <v>EUR</v>
          </cell>
          <cell r="N659">
            <v>82</v>
          </cell>
          <cell r="O659">
            <v>20.5</v>
          </cell>
          <cell r="P659">
            <v>4</v>
          </cell>
          <cell r="Q659">
            <v>4</v>
          </cell>
          <cell r="R659">
            <v>0</v>
          </cell>
        </row>
        <row r="660">
          <cell r="A660" t="str">
            <v>6GSPTXJAB007G968M2</v>
          </cell>
          <cell r="B660" t="str">
            <v>Q1-23</v>
          </cell>
          <cell r="C660" t="str">
            <v>Europe Operations OU</v>
          </cell>
          <cell r="D660">
            <v>2674345</v>
          </cell>
          <cell r="E660" t="str">
            <v>Amazon EU SARL, succursale Italiana</v>
          </cell>
          <cell r="F660" t="str">
            <v>6GSPTXJA</v>
          </cell>
          <cell r="G660" t="str">
            <v>B007G968M2</v>
          </cell>
          <cell r="H660" t="str">
            <v>920-002506</v>
          </cell>
          <cell r="I660" t="str">
            <v>OE INVOICES</v>
          </cell>
          <cell r="J660">
            <v>44421954923</v>
          </cell>
          <cell r="K660">
            <v>44677</v>
          </cell>
          <cell r="L660">
            <v>10</v>
          </cell>
          <cell r="M660" t="str">
            <v>EUR</v>
          </cell>
          <cell r="N660">
            <v>99.5</v>
          </cell>
          <cell r="O660">
            <v>9.9499999999999993</v>
          </cell>
          <cell r="P660">
            <v>10</v>
          </cell>
          <cell r="Q660">
            <v>10</v>
          </cell>
          <cell r="R660">
            <v>0</v>
          </cell>
        </row>
        <row r="661">
          <cell r="A661" t="str">
            <v>6GSPTXJAB009N6WMOY</v>
          </cell>
          <cell r="B661" t="str">
            <v>Q1-23</v>
          </cell>
          <cell r="C661" t="str">
            <v>Europe Operations OU</v>
          </cell>
          <cell r="D661">
            <v>2674345</v>
          </cell>
          <cell r="E661" t="str">
            <v>Amazon EU SARL, succursale Italiana</v>
          </cell>
          <cell r="F661" t="str">
            <v>6GSPTXJA</v>
          </cell>
          <cell r="G661" t="str">
            <v>B009N6WMOY</v>
          </cell>
          <cell r="H661" t="str">
            <v>920-004484</v>
          </cell>
          <cell r="I661" t="str">
            <v>OE INVOICES</v>
          </cell>
          <cell r="J661">
            <v>44421954923</v>
          </cell>
          <cell r="K661">
            <v>44677</v>
          </cell>
          <cell r="L661">
            <v>11</v>
          </cell>
          <cell r="M661" t="str">
            <v>EUR</v>
          </cell>
          <cell r="N661">
            <v>286.93</v>
          </cell>
          <cell r="O661">
            <v>40.99</v>
          </cell>
          <cell r="P661">
            <v>7</v>
          </cell>
          <cell r="Q661">
            <v>7</v>
          </cell>
          <cell r="R661">
            <v>0</v>
          </cell>
        </row>
        <row r="662">
          <cell r="A662" t="str">
            <v>6GSPTXJAB00BEFY1W8</v>
          </cell>
          <cell r="B662" t="str">
            <v>Q1-23</v>
          </cell>
          <cell r="C662" t="str">
            <v>Europe Operations OU</v>
          </cell>
          <cell r="D662">
            <v>2674345</v>
          </cell>
          <cell r="E662" t="str">
            <v>Amazon EU SARL, succursale Italiana</v>
          </cell>
          <cell r="F662" t="str">
            <v>6GSPTXJA</v>
          </cell>
          <cell r="G662" t="str">
            <v>B00BEFY1W8</v>
          </cell>
          <cell r="H662" t="str">
            <v>920-004509</v>
          </cell>
          <cell r="I662" t="str">
            <v>OE INVOICES</v>
          </cell>
          <cell r="J662">
            <v>44421954923</v>
          </cell>
          <cell r="K662">
            <v>44677</v>
          </cell>
          <cell r="L662">
            <v>12</v>
          </cell>
          <cell r="M662" t="str">
            <v>EUR</v>
          </cell>
          <cell r="N662">
            <v>702.6</v>
          </cell>
          <cell r="O662">
            <v>23.42</v>
          </cell>
          <cell r="P662">
            <v>30</v>
          </cell>
          <cell r="Q662">
            <v>30</v>
          </cell>
          <cell r="R662">
            <v>0</v>
          </cell>
        </row>
        <row r="663">
          <cell r="A663" t="str">
            <v>6GSPTXJAB00BF5QDZU</v>
          </cell>
          <cell r="B663" t="str">
            <v>Q1-23</v>
          </cell>
          <cell r="C663" t="str">
            <v>Europe Operations OU</v>
          </cell>
          <cell r="D663">
            <v>2674345</v>
          </cell>
          <cell r="E663" t="str">
            <v>Amazon EU SARL, succursale Italiana</v>
          </cell>
          <cell r="F663" t="str">
            <v>6GSPTXJA</v>
          </cell>
          <cell r="G663" t="str">
            <v>B00BF5QDZU</v>
          </cell>
          <cell r="H663" t="str">
            <v>920-004510</v>
          </cell>
          <cell r="I663" t="str">
            <v>OE INVOICES</v>
          </cell>
          <cell r="J663">
            <v>44421954923</v>
          </cell>
          <cell r="K663">
            <v>44677</v>
          </cell>
          <cell r="L663">
            <v>13</v>
          </cell>
          <cell r="M663" t="str">
            <v>EUR</v>
          </cell>
          <cell r="N663">
            <v>140.52000000000001</v>
          </cell>
          <cell r="O663">
            <v>23.42</v>
          </cell>
          <cell r="P663">
            <v>6</v>
          </cell>
          <cell r="Q663">
            <v>6</v>
          </cell>
          <cell r="R663">
            <v>0</v>
          </cell>
        </row>
        <row r="664">
          <cell r="A664" t="str">
            <v>6GSPTXJAB00BT8QIJ4</v>
          </cell>
          <cell r="B664" t="str">
            <v>Q1-23</v>
          </cell>
          <cell r="C664" t="str">
            <v>Europe Operations OU</v>
          </cell>
          <cell r="D664">
            <v>2674345</v>
          </cell>
          <cell r="E664" t="str">
            <v>Amazon EU SARL, succursale Italiana</v>
          </cell>
          <cell r="F664" t="str">
            <v>6GSPTXJA</v>
          </cell>
          <cell r="G664" t="str">
            <v>B00BT8QIJ4</v>
          </cell>
          <cell r="H664" t="str">
            <v>920-002522</v>
          </cell>
          <cell r="I664" t="str">
            <v>OE INVOICES</v>
          </cell>
          <cell r="J664">
            <v>44421954923</v>
          </cell>
          <cell r="K664">
            <v>44677</v>
          </cell>
          <cell r="L664">
            <v>14</v>
          </cell>
          <cell r="M664" t="str">
            <v>EUR</v>
          </cell>
          <cell r="N664">
            <v>246</v>
          </cell>
          <cell r="O664">
            <v>8.1999999999999993</v>
          </cell>
          <cell r="P664">
            <v>30</v>
          </cell>
          <cell r="Q664">
            <v>30</v>
          </cell>
          <cell r="R664">
            <v>0</v>
          </cell>
        </row>
        <row r="665">
          <cell r="A665" t="str">
            <v>6GSPTXJAB00D2PX8C2</v>
          </cell>
          <cell r="B665" t="str">
            <v>Q1-23</v>
          </cell>
          <cell r="C665" t="str">
            <v>Europe Operations OU</v>
          </cell>
          <cell r="D665">
            <v>2674345</v>
          </cell>
          <cell r="E665" t="str">
            <v>Amazon EU SARL, succursale Italiana</v>
          </cell>
          <cell r="F665" t="str">
            <v>6GSPTXJA</v>
          </cell>
          <cell r="G665" t="str">
            <v>B00D2PX8C2</v>
          </cell>
          <cell r="H665" t="str">
            <v>920-004512</v>
          </cell>
          <cell r="I665" t="str">
            <v>OE INVOICES</v>
          </cell>
          <cell r="J665">
            <v>44421954923</v>
          </cell>
          <cell r="K665">
            <v>44677</v>
          </cell>
          <cell r="L665">
            <v>15</v>
          </cell>
          <cell r="M665" t="str">
            <v>EUR</v>
          </cell>
          <cell r="N665">
            <v>7447.56</v>
          </cell>
          <cell r="O665">
            <v>23.42</v>
          </cell>
          <cell r="P665">
            <v>318</v>
          </cell>
          <cell r="Q665">
            <v>318</v>
          </cell>
          <cell r="R665">
            <v>0</v>
          </cell>
        </row>
        <row r="666">
          <cell r="A666" t="str">
            <v>6GSPTXJAB00EJ3RMDM</v>
          </cell>
          <cell r="B666" t="str">
            <v>Q1-23</v>
          </cell>
          <cell r="C666" t="str">
            <v>Europe Operations OU</v>
          </cell>
          <cell r="D666">
            <v>2674345</v>
          </cell>
          <cell r="E666" t="str">
            <v>Amazon EU SARL, succursale Italiana</v>
          </cell>
          <cell r="F666" t="str">
            <v>6GSPTXJA</v>
          </cell>
          <cell r="G666" t="str">
            <v>B00EJ3RMDM</v>
          </cell>
          <cell r="H666" t="str">
            <v>920-005210</v>
          </cell>
          <cell r="I666" t="str">
            <v>OE INVOICES</v>
          </cell>
          <cell r="J666">
            <v>44421954923</v>
          </cell>
          <cell r="K666">
            <v>44677</v>
          </cell>
          <cell r="L666">
            <v>16</v>
          </cell>
          <cell r="M666" t="str">
            <v>EUR</v>
          </cell>
          <cell r="N666">
            <v>146.4</v>
          </cell>
          <cell r="O666">
            <v>14.64</v>
          </cell>
          <cell r="P666">
            <v>10</v>
          </cell>
          <cell r="Q666">
            <v>10</v>
          </cell>
          <cell r="R666">
            <v>0</v>
          </cell>
        </row>
        <row r="667">
          <cell r="A667" t="str">
            <v>6GSPTXJAB00YUOVBZK</v>
          </cell>
          <cell r="B667" t="str">
            <v>Q1-23</v>
          </cell>
          <cell r="C667" t="str">
            <v>Europe Operations OU</v>
          </cell>
          <cell r="D667">
            <v>2674345</v>
          </cell>
          <cell r="E667" t="str">
            <v>Amazon EU SARL, succursale Italiana</v>
          </cell>
          <cell r="F667" t="str">
            <v>6GSPTXJA</v>
          </cell>
          <cell r="G667" t="str">
            <v>B00YUOVBZK</v>
          </cell>
          <cell r="H667" t="str">
            <v>941-000113</v>
          </cell>
          <cell r="I667" t="str">
            <v>OE INVOICES</v>
          </cell>
          <cell r="J667">
            <v>44421954923</v>
          </cell>
          <cell r="K667">
            <v>44677</v>
          </cell>
          <cell r="L667">
            <v>17</v>
          </cell>
          <cell r="M667" t="str">
            <v>EUR</v>
          </cell>
          <cell r="N667">
            <v>13262.76</v>
          </cell>
          <cell r="O667">
            <v>210.52</v>
          </cell>
          <cell r="P667">
            <v>63</v>
          </cell>
          <cell r="Q667">
            <v>63</v>
          </cell>
          <cell r="R667">
            <v>0</v>
          </cell>
        </row>
        <row r="668">
          <cell r="A668" t="str">
            <v>6GSPTXJAB011N78DMA</v>
          </cell>
          <cell r="B668" t="str">
            <v>Q1-23</v>
          </cell>
          <cell r="C668" t="str">
            <v>Europe Operations OU</v>
          </cell>
          <cell r="D668">
            <v>2674345</v>
          </cell>
          <cell r="E668" t="str">
            <v>Amazon EU SARL, succursale Italiana</v>
          </cell>
          <cell r="F668" t="str">
            <v>6GSPTXJA</v>
          </cell>
          <cell r="G668" t="str">
            <v>B011N78DMA</v>
          </cell>
          <cell r="H668" t="str">
            <v>941-000123</v>
          </cell>
          <cell r="I668" t="str">
            <v>OE INVOICES</v>
          </cell>
          <cell r="J668">
            <v>44421954923</v>
          </cell>
          <cell r="K668">
            <v>44677</v>
          </cell>
          <cell r="L668">
            <v>18</v>
          </cell>
          <cell r="M668" t="str">
            <v>EUR</v>
          </cell>
          <cell r="N668">
            <v>8841.84</v>
          </cell>
          <cell r="O668">
            <v>210.52</v>
          </cell>
          <cell r="P668">
            <v>42</v>
          </cell>
          <cell r="Q668">
            <v>42</v>
          </cell>
          <cell r="R668">
            <v>0</v>
          </cell>
        </row>
        <row r="669">
          <cell r="A669" t="str">
            <v>6GSPTXJAB01AUGT964</v>
          </cell>
          <cell r="B669" t="str">
            <v>Q1-23</v>
          </cell>
          <cell r="C669" t="str">
            <v>Europe Operations OU</v>
          </cell>
          <cell r="D669">
            <v>2674345</v>
          </cell>
          <cell r="E669" t="str">
            <v>Amazon EU SARL, succursale Italiana</v>
          </cell>
          <cell r="F669" t="str">
            <v>6GSPTXJA</v>
          </cell>
          <cell r="G669" t="str">
            <v>B01AUGT964</v>
          </cell>
          <cell r="H669" t="str">
            <v>920-007905</v>
          </cell>
          <cell r="I669" t="str">
            <v>OE INVOICES</v>
          </cell>
          <cell r="J669">
            <v>44421954923</v>
          </cell>
          <cell r="K669">
            <v>44677</v>
          </cell>
          <cell r="L669">
            <v>19</v>
          </cell>
          <cell r="M669" t="str">
            <v>EUR</v>
          </cell>
          <cell r="N669">
            <v>328</v>
          </cell>
          <cell r="O669">
            <v>20.5</v>
          </cell>
          <cell r="P669">
            <v>16</v>
          </cell>
          <cell r="Q669">
            <v>16</v>
          </cell>
          <cell r="R669">
            <v>0</v>
          </cell>
        </row>
        <row r="670">
          <cell r="A670" t="str">
            <v>6GSPTXJAB01C47ZFLK</v>
          </cell>
          <cell r="B670" t="str">
            <v>Q1-23</v>
          </cell>
          <cell r="C670" t="str">
            <v>Europe Operations OU</v>
          </cell>
          <cell r="D670">
            <v>2674345</v>
          </cell>
          <cell r="E670" t="str">
            <v>Amazon EU SARL, succursale Italiana</v>
          </cell>
          <cell r="F670" t="str">
            <v>6GSPTXJA</v>
          </cell>
          <cell r="G670" t="str">
            <v>B01C47ZFLK</v>
          </cell>
          <cell r="H670" t="str">
            <v>920-007913</v>
          </cell>
          <cell r="I670" t="str">
            <v>OE INVOICES</v>
          </cell>
          <cell r="J670">
            <v>44421954923</v>
          </cell>
          <cell r="K670">
            <v>44677</v>
          </cell>
          <cell r="L670">
            <v>20</v>
          </cell>
          <cell r="M670" t="str">
            <v>EUR</v>
          </cell>
          <cell r="N670">
            <v>164</v>
          </cell>
          <cell r="O670">
            <v>20.5</v>
          </cell>
          <cell r="P670">
            <v>8</v>
          </cell>
          <cell r="Q670">
            <v>8</v>
          </cell>
          <cell r="R670">
            <v>0</v>
          </cell>
        </row>
        <row r="671">
          <cell r="A671" t="str">
            <v>6GSPTXJAB01C4HCSOC</v>
          </cell>
          <cell r="B671" t="str">
            <v>Q1-23</v>
          </cell>
          <cell r="C671" t="str">
            <v>Europe Operations OU</v>
          </cell>
          <cell r="D671">
            <v>2674345</v>
          </cell>
          <cell r="E671" t="str">
            <v>Amazon EU SARL, succursale Italiana</v>
          </cell>
          <cell r="F671" t="str">
            <v>6GSPTXJA</v>
          </cell>
          <cell r="G671" t="str">
            <v>B01C4HCSOC</v>
          </cell>
          <cell r="H671" t="str">
            <v>920-007907</v>
          </cell>
          <cell r="I671" t="str">
            <v>OE INVOICES</v>
          </cell>
          <cell r="J671">
            <v>44421954923</v>
          </cell>
          <cell r="K671">
            <v>44677</v>
          </cell>
          <cell r="L671">
            <v>21</v>
          </cell>
          <cell r="M671" t="str">
            <v>EUR</v>
          </cell>
          <cell r="N671">
            <v>164</v>
          </cell>
          <cell r="O671">
            <v>20.5</v>
          </cell>
          <cell r="P671">
            <v>8</v>
          </cell>
          <cell r="Q671">
            <v>8</v>
          </cell>
          <cell r="R671">
            <v>0</v>
          </cell>
        </row>
        <row r="672">
          <cell r="A672" t="str">
            <v>6GSPTXJAB01I252A34</v>
          </cell>
          <cell r="B672" t="str">
            <v>Q1-23</v>
          </cell>
          <cell r="C672" t="str">
            <v>Europe Operations OU</v>
          </cell>
          <cell r="D672">
            <v>2674345</v>
          </cell>
          <cell r="E672" t="str">
            <v>Amazon EU SARL, succursale Italiana</v>
          </cell>
          <cell r="F672" t="str">
            <v>6GSPTXJA</v>
          </cell>
          <cell r="G672" t="str">
            <v>B01I252A34</v>
          </cell>
          <cell r="H672" t="str">
            <v>920-005214</v>
          </cell>
          <cell r="I672" t="str">
            <v>OE INVOICES</v>
          </cell>
          <cell r="J672">
            <v>44421954923</v>
          </cell>
          <cell r="K672">
            <v>44677</v>
          </cell>
          <cell r="L672">
            <v>22</v>
          </cell>
          <cell r="M672" t="str">
            <v>EUR</v>
          </cell>
          <cell r="N672">
            <v>146.4</v>
          </cell>
          <cell r="O672">
            <v>14.64</v>
          </cell>
          <cell r="P672">
            <v>10</v>
          </cell>
          <cell r="Q672">
            <v>10</v>
          </cell>
          <cell r="R672">
            <v>0</v>
          </cell>
        </row>
        <row r="673">
          <cell r="A673" t="str">
            <v>6GSPTXJAB01MT5WL4M</v>
          </cell>
          <cell r="B673" t="str">
            <v>Q1-23</v>
          </cell>
          <cell r="C673" t="str">
            <v>Europe Operations OU</v>
          </cell>
          <cell r="D673">
            <v>2674345</v>
          </cell>
          <cell r="E673" t="str">
            <v>Amazon EU SARL, succursale Italiana</v>
          </cell>
          <cell r="F673" t="str">
            <v>6GSPTXJA</v>
          </cell>
          <cell r="G673" t="str">
            <v>B01MT5WL4M</v>
          </cell>
          <cell r="H673" t="str">
            <v>920-008222</v>
          </cell>
          <cell r="I673" t="str">
            <v>OE INVOICES</v>
          </cell>
          <cell r="J673">
            <v>44421954923</v>
          </cell>
          <cell r="K673">
            <v>44677</v>
          </cell>
          <cell r="L673">
            <v>23</v>
          </cell>
          <cell r="M673" t="str">
            <v>EUR</v>
          </cell>
          <cell r="N673">
            <v>904.92</v>
          </cell>
          <cell r="O673">
            <v>75.41</v>
          </cell>
          <cell r="P673">
            <v>12</v>
          </cell>
          <cell r="Q673">
            <v>12</v>
          </cell>
          <cell r="R673">
            <v>0</v>
          </cell>
        </row>
        <row r="674">
          <cell r="A674" t="str">
            <v>6GSPTXJAB06XQ3V8G7</v>
          </cell>
          <cell r="B674" t="str">
            <v>Q1-23</v>
          </cell>
          <cell r="C674" t="str">
            <v>Europe Operations OU</v>
          </cell>
          <cell r="D674">
            <v>2674345</v>
          </cell>
          <cell r="E674" t="str">
            <v>Amazon EU SARL, succursale Italiana</v>
          </cell>
          <cell r="F674" t="str">
            <v>6GSPTXJA</v>
          </cell>
          <cell r="G674" t="str">
            <v>B06XQ3V8G7</v>
          </cell>
          <cell r="H674" t="str">
            <v>920-008305</v>
          </cell>
          <cell r="I674" t="str">
            <v>OE INVOICES</v>
          </cell>
          <cell r="J674">
            <v>44421954923</v>
          </cell>
          <cell r="K674">
            <v>44677</v>
          </cell>
          <cell r="L674">
            <v>24</v>
          </cell>
          <cell r="M674" t="str">
            <v>EUR</v>
          </cell>
          <cell r="N674">
            <v>844.16</v>
          </cell>
          <cell r="O674">
            <v>52.76</v>
          </cell>
          <cell r="P674">
            <v>16</v>
          </cell>
          <cell r="Q674">
            <v>16</v>
          </cell>
          <cell r="R674">
            <v>0</v>
          </cell>
        </row>
        <row r="675">
          <cell r="A675" t="str">
            <v>6GSPTXJAB071XW5FW8</v>
          </cell>
          <cell r="B675" t="str">
            <v>Q1-23</v>
          </cell>
          <cell r="C675" t="str">
            <v>Europe Operations OU</v>
          </cell>
          <cell r="D675">
            <v>2674345</v>
          </cell>
          <cell r="E675" t="str">
            <v>Amazon EU SARL, succursale Italiana</v>
          </cell>
          <cell r="F675" t="str">
            <v>6GSPTXJA</v>
          </cell>
          <cell r="G675" t="str">
            <v>B071XW5FW8</v>
          </cell>
          <cell r="H675" t="str">
            <v>920-008530</v>
          </cell>
          <cell r="I675" t="str">
            <v>OE INVOICES</v>
          </cell>
          <cell r="J675">
            <v>44421954923</v>
          </cell>
          <cell r="K675">
            <v>44677</v>
          </cell>
          <cell r="L675">
            <v>25</v>
          </cell>
          <cell r="M675" t="str">
            <v>EUR</v>
          </cell>
          <cell r="N675">
            <v>2321.44</v>
          </cell>
          <cell r="O675">
            <v>52.76</v>
          </cell>
          <cell r="P675">
            <v>44</v>
          </cell>
          <cell r="Q675">
            <v>44</v>
          </cell>
          <cell r="R675">
            <v>0</v>
          </cell>
        </row>
        <row r="676">
          <cell r="A676" t="str">
            <v>6GSPTXJAB074C9LZVX</v>
          </cell>
          <cell r="B676" t="str">
            <v>Q1-23</v>
          </cell>
          <cell r="C676" t="str">
            <v>Europe Operations OU</v>
          </cell>
          <cell r="D676">
            <v>2674345</v>
          </cell>
          <cell r="E676" t="str">
            <v>Amazon EU SARL, succursale Italiana</v>
          </cell>
          <cell r="F676" t="str">
            <v>6GSPTXJA</v>
          </cell>
          <cell r="G676" t="str">
            <v>B074C9LZVX</v>
          </cell>
          <cell r="H676" t="str">
            <v>920-008389</v>
          </cell>
          <cell r="I676" t="str">
            <v>OE INVOICES</v>
          </cell>
          <cell r="J676">
            <v>44421954923</v>
          </cell>
          <cell r="K676">
            <v>44677</v>
          </cell>
          <cell r="L676">
            <v>26</v>
          </cell>
          <cell r="M676" t="str">
            <v>EUR</v>
          </cell>
          <cell r="N676">
            <v>628.96</v>
          </cell>
          <cell r="O676">
            <v>78.62</v>
          </cell>
          <cell r="P676">
            <v>8</v>
          </cell>
          <cell r="Q676">
            <v>8</v>
          </cell>
          <cell r="R676">
            <v>0</v>
          </cell>
        </row>
        <row r="677">
          <cell r="A677" t="str">
            <v>6GSPTXJAB0797FYB3K</v>
          </cell>
          <cell r="B677" t="str">
            <v>Q1-23</v>
          </cell>
          <cell r="C677" t="str">
            <v>Europe Operations OU</v>
          </cell>
          <cell r="D677">
            <v>2674345</v>
          </cell>
          <cell r="E677" t="str">
            <v>Amazon EU SARL, succursale Italiana</v>
          </cell>
          <cell r="F677" t="str">
            <v>6GSPTXJA</v>
          </cell>
          <cell r="G677" t="str">
            <v>B0797FYB3K</v>
          </cell>
          <cell r="H677" t="str">
            <v>920-008675</v>
          </cell>
          <cell r="I677" t="str">
            <v>OE INVOICES</v>
          </cell>
          <cell r="J677">
            <v>44421954923</v>
          </cell>
          <cell r="K677">
            <v>44677</v>
          </cell>
          <cell r="L677">
            <v>27</v>
          </cell>
          <cell r="M677" t="str">
            <v>EUR</v>
          </cell>
          <cell r="N677">
            <v>13280.76</v>
          </cell>
          <cell r="O677">
            <v>40.99</v>
          </cell>
          <cell r="P677">
            <v>324</v>
          </cell>
          <cell r="Q677">
            <v>324</v>
          </cell>
          <cell r="R677">
            <v>0</v>
          </cell>
        </row>
        <row r="678">
          <cell r="A678" t="str">
            <v>6GSPTXJAB07W5JJB3L</v>
          </cell>
          <cell r="B678" t="str">
            <v>Q1-23</v>
          </cell>
          <cell r="C678" t="str">
            <v>Europe Operations OU</v>
          </cell>
          <cell r="D678">
            <v>2674345</v>
          </cell>
          <cell r="E678" t="str">
            <v>Amazon EU SARL, succursale Italiana</v>
          </cell>
          <cell r="F678" t="str">
            <v>6GSPTXJA</v>
          </cell>
          <cell r="G678" t="str">
            <v>B07W5JJB3L</v>
          </cell>
          <cell r="H678" t="str">
            <v>920-009205</v>
          </cell>
          <cell r="I678" t="str">
            <v>OE INVOICES</v>
          </cell>
          <cell r="J678">
            <v>44421954923</v>
          </cell>
          <cell r="K678">
            <v>44677</v>
          </cell>
          <cell r="L678">
            <v>28</v>
          </cell>
          <cell r="M678" t="str">
            <v>EUR</v>
          </cell>
          <cell r="N678">
            <v>140.52000000000001</v>
          </cell>
          <cell r="O678">
            <v>35.130000000000003</v>
          </cell>
          <cell r="P678">
            <v>4</v>
          </cell>
          <cell r="Q678">
            <v>4</v>
          </cell>
          <cell r="R678">
            <v>0</v>
          </cell>
        </row>
        <row r="679">
          <cell r="A679" t="str">
            <v>6GSPTXJAB07W5JKPSF</v>
          </cell>
          <cell r="B679" t="str">
            <v>Q1-23</v>
          </cell>
          <cell r="C679" t="str">
            <v>Europe Operations OU</v>
          </cell>
          <cell r="D679">
            <v>2674345</v>
          </cell>
          <cell r="E679" t="str">
            <v>Amazon EU SARL, succursale Italiana</v>
          </cell>
          <cell r="F679" t="str">
            <v>6GSPTXJA</v>
          </cell>
          <cell r="G679" t="str">
            <v>B07W5JKPSF</v>
          </cell>
          <cell r="H679" t="str">
            <v>920-009370</v>
          </cell>
          <cell r="I679" t="str">
            <v>OE INVOICES</v>
          </cell>
          <cell r="J679">
            <v>44421954923</v>
          </cell>
          <cell r="K679">
            <v>44677</v>
          </cell>
          <cell r="L679">
            <v>29</v>
          </cell>
          <cell r="M679" t="str">
            <v>EUR</v>
          </cell>
          <cell r="N679">
            <v>251.16</v>
          </cell>
          <cell r="O679">
            <v>62.79</v>
          </cell>
          <cell r="P679">
            <v>4</v>
          </cell>
          <cell r="Q679">
            <v>4</v>
          </cell>
          <cell r="R679">
            <v>0</v>
          </cell>
        </row>
        <row r="680">
          <cell r="A680" t="str">
            <v>6GSPTXJAB07W6GVS5C</v>
          </cell>
          <cell r="B680" t="str">
            <v>Q1-23</v>
          </cell>
          <cell r="C680" t="str">
            <v>Europe Operations OU</v>
          </cell>
          <cell r="D680">
            <v>2674345</v>
          </cell>
          <cell r="E680" t="str">
            <v>Amazon EU SARL, succursale Italiana</v>
          </cell>
          <cell r="F680" t="str">
            <v>6GSPTXJA</v>
          </cell>
          <cell r="G680" t="str">
            <v>B07W6GVS5C</v>
          </cell>
          <cell r="H680" t="str">
            <v>920-009439</v>
          </cell>
          <cell r="I680" t="str">
            <v>OE INVOICES</v>
          </cell>
          <cell r="J680">
            <v>44421954923</v>
          </cell>
          <cell r="K680">
            <v>44677</v>
          </cell>
          <cell r="L680">
            <v>30</v>
          </cell>
          <cell r="M680" t="str">
            <v>EUR</v>
          </cell>
          <cell r="N680">
            <v>1688</v>
          </cell>
          <cell r="O680">
            <v>42.2</v>
          </cell>
          <cell r="P680">
            <v>40</v>
          </cell>
          <cell r="Q680">
            <v>40</v>
          </cell>
          <cell r="R680">
            <v>0</v>
          </cell>
        </row>
        <row r="681">
          <cell r="A681" t="str">
            <v>6L7XHCCZB07G6LWTG6</v>
          </cell>
          <cell r="B681" t="str">
            <v>Q1-23</v>
          </cell>
          <cell r="C681" t="str">
            <v>Europe Operations OU</v>
          </cell>
          <cell r="D681">
            <v>2674345</v>
          </cell>
          <cell r="E681" t="str">
            <v>Amazon EU SARL, succursale Italiana</v>
          </cell>
          <cell r="F681" t="str">
            <v>6L7XHCCZ</v>
          </cell>
          <cell r="G681" t="str">
            <v>B07G6LWTG6</v>
          </cell>
          <cell r="H681" t="str">
            <v>984-001404</v>
          </cell>
          <cell r="I681" t="str">
            <v>OE INVOICES</v>
          </cell>
          <cell r="J681">
            <v>44421963572</v>
          </cell>
          <cell r="K681">
            <v>44691</v>
          </cell>
          <cell r="L681">
            <v>1</v>
          </cell>
          <cell r="M681" t="str">
            <v>EUR</v>
          </cell>
          <cell r="N681">
            <v>851.92</v>
          </cell>
          <cell r="O681">
            <v>106.49</v>
          </cell>
          <cell r="P681">
            <v>8</v>
          </cell>
          <cell r="Q681">
            <v>8</v>
          </cell>
          <cell r="R681">
            <v>0</v>
          </cell>
        </row>
        <row r="682">
          <cell r="A682" t="str">
            <v>6NU6YJHWB003D8ZT0C</v>
          </cell>
          <cell r="B682" t="str">
            <v>Q1-23</v>
          </cell>
          <cell r="C682" t="str">
            <v>Europe Operations OU</v>
          </cell>
          <cell r="D682">
            <v>2674345</v>
          </cell>
          <cell r="E682" t="str">
            <v>Amazon EU SARL, succursale Italiana</v>
          </cell>
          <cell r="F682" t="str">
            <v>6NU6YJHW</v>
          </cell>
          <cell r="G682" t="str">
            <v>B003D8ZT0C</v>
          </cell>
          <cell r="H682" t="str">
            <v>910-001793</v>
          </cell>
          <cell r="I682" t="str">
            <v>OE INVOICES</v>
          </cell>
          <cell r="J682">
            <v>44421950709</v>
          </cell>
          <cell r="K682">
            <v>44670</v>
          </cell>
          <cell r="L682">
            <v>1</v>
          </cell>
          <cell r="M682" t="str">
            <v>EUR</v>
          </cell>
          <cell r="N682">
            <v>117</v>
          </cell>
          <cell r="O682">
            <v>5.85</v>
          </cell>
          <cell r="P682">
            <v>20</v>
          </cell>
          <cell r="Q682">
            <v>20</v>
          </cell>
          <cell r="R682">
            <v>0</v>
          </cell>
        </row>
        <row r="683">
          <cell r="A683" t="str">
            <v>6NU6YJHWB003LNXT7Y</v>
          </cell>
          <cell r="B683" t="str">
            <v>Q1-23</v>
          </cell>
          <cell r="C683" t="str">
            <v>Europe Operations OU</v>
          </cell>
          <cell r="D683">
            <v>2674345</v>
          </cell>
          <cell r="E683" t="str">
            <v>Amazon EU SARL, succursale Italiana</v>
          </cell>
          <cell r="F683" t="str">
            <v>6NU6YJHW</v>
          </cell>
          <cell r="G683" t="str">
            <v>B003LNXT7Y</v>
          </cell>
          <cell r="H683" t="str">
            <v>980-000413</v>
          </cell>
          <cell r="I683" t="str">
            <v>OE INVOICES</v>
          </cell>
          <cell r="J683">
            <v>44421950709</v>
          </cell>
          <cell r="K683">
            <v>44670</v>
          </cell>
          <cell r="L683">
            <v>2</v>
          </cell>
          <cell r="M683" t="str">
            <v>EUR</v>
          </cell>
          <cell r="N683">
            <v>1826.76</v>
          </cell>
          <cell r="O683">
            <v>35.130000000000003</v>
          </cell>
          <cell r="P683">
            <v>52</v>
          </cell>
          <cell r="Q683">
            <v>52</v>
          </cell>
          <cell r="R683">
            <v>0</v>
          </cell>
        </row>
        <row r="684">
          <cell r="A684" t="str">
            <v>6NU6YJHWB0050FBICE</v>
          </cell>
          <cell r="B684" t="str">
            <v>Q1-23</v>
          </cell>
          <cell r="C684" t="str">
            <v>Europe Operations OU</v>
          </cell>
          <cell r="D684">
            <v>2674345</v>
          </cell>
          <cell r="E684" t="str">
            <v>Amazon EU SARL, succursale Italiana</v>
          </cell>
          <cell r="F684" t="str">
            <v>6NU6YJHW</v>
          </cell>
          <cell r="G684" t="str">
            <v>B0050FBICE</v>
          </cell>
          <cell r="H684" t="str">
            <v>910-002334</v>
          </cell>
          <cell r="I684" t="str">
            <v>OE INVOICES</v>
          </cell>
          <cell r="J684">
            <v>44421950709</v>
          </cell>
          <cell r="K684">
            <v>44670</v>
          </cell>
          <cell r="L684">
            <v>3</v>
          </cell>
          <cell r="M684" t="str">
            <v>EUR</v>
          </cell>
          <cell r="N684">
            <v>234.2</v>
          </cell>
          <cell r="O684">
            <v>23.42</v>
          </cell>
          <cell r="P684">
            <v>10</v>
          </cell>
          <cell r="Q684">
            <v>10</v>
          </cell>
          <cell r="R684">
            <v>0</v>
          </cell>
        </row>
        <row r="685">
          <cell r="A685" t="str">
            <v>6NU6YJHWB00552K0GM</v>
          </cell>
          <cell r="B685" t="str">
            <v>Q1-23</v>
          </cell>
          <cell r="C685" t="str">
            <v>Europe Operations OU</v>
          </cell>
          <cell r="D685">
            <v>2674345</v>
          </cell>
          <cell r="E685" t="str">
            <v>Amazon EU SARL, succursale Italiana</v>
          </cell>
          <cell r="F685" t="str">
            <v>6NU6YJHW</v>
          </cell>
          <cell r="G685" t="str">
            <v>B00552K0GM</v>
          </cell>
          <cell r="H685" t="str">
            <v>910-002235</v>
          </cell>
          <cell r="I685" t="str">
            <v>OE INVOICES</v>
          </cell>
          <cell r="J685">
            <v>44421954597</v>
          </cell>
          <cell r="K685">
            <v>44677</v>
          </cell>
          <cell r="L685">
            <v>1</v>
          </cell>
          <cell r="M685" t="str">
            <v>EUR</v>
          </cell>
          <cell r="N685">
            <v>18109</v>
          </cell>
          <cell r="O685">
            <v>9.9499999999999993</v>
          </cell>
          <cell r="P685">
            <v>1820</v>
          </cell>
          <cell r="Q685">
            <v>1820</v>
          </cell>
          <cell r="R685">
            <v>0</v>
          </cell>
        </row>
        <row r="686">
          <cell r="A686" t="str">
            <v>6NU6YJHWB0055JDM06</v>
          </cell>
          <cell r="B686" t="str">
            <v>Q1-23</v>
          </cell>
          <cell r="C686" t="str">
            <v>Europe Operations OU</v>
          </cell>
          <cell r="D686">
            <v>2674345</v>
          </cell>
          <cell r="E686" t="str">
            <v>Amazon EU SARL, succursale Italiana</v>
          </cell>
          <cell r="F686" t="str">
            <v>6NU6YJHW</v>
          </cell>
          <cell r="G686" t="str">
            <v>B0055JDM06</v>
          </cell>
          <cell r="H686" t="str">
            <v>920-003082</v>
          </cell>
          <cell r="I686" t="str">
            <v>OE INVOICES</v>
          </cell>
          <cell r="J686">
            <v>44421950709</v>
          </cell>
          <cell r="K686">
            <v>44670</v>
          </cell>
          <cell r="L686">
            <v>4</v>
          </cell>
          <cell r="M686" t="str">
            <v>EUR</v>
          </cell>
          <cell r="N686">
            <v>474.3</v>
          </cell>
          <cell r="O686">
            <v>26.35</v>
          </cell>
          <cell r="P686">
            <v>18</v>
          </cell>
          <cell r="Q686">
            <v>18</v>
          </cell>
          <cell r="R686">
            <v>0</v>
          </cell>
        </row>
        <row r="687">
          <cell r="A687" t="str">
            <v>6NU6YJHWB005KSYPGW</v>
          </cell>
          <cell r="B687" t="str">
            <v>Q1-23</v>
          </cell>
          <cell r="C687" t="str">
            <v>Europe Operations OU</v>
          </cell>
          <cell r="D687">
            <v>2674345</v>
          </cell>
          <cell r="E687" t="str">
            <v>Amazon EU SARL, succursale Italiana</v>
          </cell>
          <cell r="F687" t="str">
            <v>6NU6YJHW</v>
          </cell>
          <cell r="G687" t="str">
            <v>B005KSYPGW</v>
          </cell>
          <cell r="H687" t="str">
            <v>920-003075</v>
          </cell>
          <cell r="I687" t="str">
            <v>OE INVOICES</v>
          </cell>
          <cell r="J687">
            <v>44421950709</v>
          </cell>
          <cell r="K687">
            <v>44670</v>
          </cell>
          <cell r="L687">
            <v>5</v>
          </cell>
          <cell r="M687" t="str">
            <v>EUR</v>
          </cell>
          <cell r="N687">
            <v>474.3</v>
          </cell>
          <cell r="O687">
            <v>26.35</v>
          </cell>
          <cell r="P687">
            <v>18</v>
          </cell>
          <cell r="Q687">
            <v>18</v>
          </cell>
          <cell r="R687">
            <v>0</v>
          </cell>
        </row>
        <row r="688">
          <cell r="A688" t="str">
            <v>6NU6YJHWB0074486GA</v>
          </cell>
          <cell r="B688" t="str">
            <v>Q1-23</v>
          </cell>
          <cell r="C688" t="str">
            <v>Europe Operations OU</v>
          </cell>
          <cell r="D688">
            <v>2674345</v>
          </cell>
          <cell r="E688" t="str">
            <v>Amazon EU SARL, succursale Italiana</v>
          </cell>
          <cell r="F688" t="str">
            <v>6NU6YJHW</v>
          </cell>
          <cell r="G688" t="str">
            <v>B0074486GA</v>
          </cell>
          <cell r="H688" t="str">
            <v>920-003745</v>
          </cell>
          <cell r="I688" t="str">
            <v>OE INVOICES</v>
          </cell>
          <cell r="J688">
            <v>44421950709</v>
          </cell>
          <cell r="K688">
            <v>44670</v>
          </cell>
          <cell r="L688">
            <v>6</v>
          </cell>
          <cell r="M688" t="str">
            <v>EUR</v>
          </cell>
          <cell r="N688">
            <v>328</v>
          </cell>
          <cell r="O688">
            <v>20.5</v>
          </cell>
          <cell r="P688">
            <v>16</v>
          </cell>
          <cell r="Q688">
            <v>16</v>
          </cell>
          <cell r="R688">
            <v>0</v>
          </cell>
        </row>
        <row r="689">
          <cell r="A689" t="str">
            <v>6NU6YJHWB008S1IOCY</v>
          </cell>
          <cell r="B689" t="str">
            <v>Q1-23</v>
          </cell>
          <cell r="C689" t="str">
            <v>Europe Operations OU</v>
          </cell>
          <cell r="D689">
            <v>2674345</v>
          </cell>
          <cell r="E689" t="str">
            <v>Amazon EU SARL, succursale Italiana</v>
          </cell>
          <cell r="F689" t="str">
            <v>6NU6YJHW</v>
          </cell>
          <cell r="G689" t="str">
            <v>B008S1IOCY</v>
          </cell>
          <cell r="H689" t="str">
            <v>981-000475</v>
          </cell>
          <cell r="I689" t="str">
            <v>OE INVOICES</v>
          </cell>
          <cell r="J689">
            <v>44421950709</v>
          </cell>
          <cell r="K689">
            <v>44670</v>
          </cell>
          <cell r="L689">
            <v>7</v>
          </cell>
          <cell r="M689" t="str">
            <v>EUR</v>
          </cell>
          <cell r="N689">
            <v>1640</v>
          </cell>
          <cell r="O689">
            <v>20.5</v>
          </cell>
          <cell r="P689">
            <v>80</v>
          </cell>
          <cell r="Q689">
            <v>80</v>
          </cell>
          <cell r="R689">
            <v>0</v>
          </cell>
        </row>
        <row r="690">
          <cell r="A690" t="str">
            <v>6NU6YJHWB00EUUX59O</v>
          </cell>
          <cell r="B690" t="str">
            <v>Q1-23</v>
          </cell>
          <cell r="C690" t="str">
            <v>Europe Operations OU</v>
          </cell>
          <cell r="D690">
            <v>2674345</v>
          </cell>
          <cell r="E690" t="str">
            <v>Amazon EU SARL, succursale Italiana</v>
          </cell>
          <cell r="F690" t="str">
            <v>6NU6YJHW</v>
          </cell>
          <cell r="G690" t="str">
            <v>B00EUUX59O</v>
          </cell>
          <cell r="H690" t="str">
            <v>980-000811</v>
          </cell>
          <cell r="I690" t="str">
            <v>OE INVOICES</v>
          </cell>
          <cell r="J690">
            <v>44421950709</v>
          </cell>
          <cell r="K690">
            <v>44670</v>
          </cell>
          <cell r="L690">
            <v>8</v>
          </cell>
          <cell r="M690" t="str">
            <v>EUR</v>
          </cell>
          <cell r="N690">
            <v>234.24</v>
          </cell>
          <cell r="O690">
            <v>29.28</v>
          </cell>
          <cell r="P690">
            <v>8</v>
          </cell>
          <cell r="Q690">
            <v>8</v>
          </cell>
          <cell r="R690">
            <v>0</v>
          </cell>
        </row>
        <row r="691">
          <cell r="A691" t="str">
            <v>6NU6YJHWB00M6MLYZU</v>
          </cell>
          <cell r="B691" t="str">
            <v>Q1-23</v>
          </cell>
          <cell r="C691" t="str">
            <v>Europe Operations OU</v>
          </cell>
          <cell r="D691">
            <v>2674345</v>
          </cell>
          <cell r="E691" t="str">
            <v>Amazon EU SARL, succursale Italiana</v>
          </cell>
          <cell r="F691" t="str">
            <v>6NU6YJHW</v>
          </cell>
          <cell r="G691" t="str">
            <v>B00M6MLYZU</v>
          </cell>
          <cell r="H691" t="str">
            <v>981-000575</v>
          </cell>
          <cell r="I691" t="str">
            <v>OE INVOICES</v>
          </cell>
          <cell r="J691">
            <v>44421951817</v>
          </cell>
          <cell r="K691">
            <v>44672</v>
          </cell>
          <cell r="L691">
            <v>1</v>
          </cell>
          <cell r="M691" t="str">
            <v>EUR</v>
          </cell>
          <cell r="N691">
            <v>1999.8</v>
          </cell>
          <cell r="O691">
            <v>33.33</v>
          </cell>
          <cell r="P691">
            <v>60</v>
          </cell>
          <cell r="Q691">
            <v>60</v>
          </cell>
          <cell r="R691">
            <v>0</v>
          </cell>
        </row>
        <row r="692">
          <cell r="A692" t="str">
            <v>6NU6YJHWB00U77CYLE</v>
          </cell>
          <cell r="B692" t="str">
            <v>Q1-23</v>
          </cell>
          <cell r="C692" t="str">
            <v>Europe Operations OU</v>
          </cell>
          <cell r="D692">
            <v>2674345</v>
          </cell>
          <cell r="E692" t="str">
            <v>Amazon EU SARL, succursale Italiana</v>
          </cell>
          <cell r="F692" t="str">
            <v>6NU6YJHW</v>
          </cell>
          <cell r="G692" t="str">
            <v>B00U77CYLE</v>
          </cell>
          <cell r="H692" t="str">
            <v>960-001034</v>
          </cell>
          <cell r="I692" t="str">
            <v>OE INVOICES</v>
          </cell>
          <cell r="J692">
            <v>44421950709</v>
          </cell>
          <cell r="K692">
            <v>44670</v>
          </cell>
          <cell r="L692">
            <v>9</v>
          </cell>
          <cell r="M692" t="str">
            <v>EUR</v>
          </cell>
          <cell r="N692">
            <v>7984.08</v>
          </cell>
          <cell r="O692">
            <v>332.67</v>
          </cell>
          <cell r="P692">
            <v>24</v>
          </cell>
          <cell r="Q692">
            <v>24</v>
          </cell>
          <cell r="R692">
            <v>0</v>
          </cell>
        </row>
        <row r="693">
          <cell r="A693" t="str">
            <v>6NU6YJHWB010X0ZQ7S</v>
          </cell>
          <cell r="B693" t="str">
            <v>Q1-23</v>
          </cell>
          <cell r="C693" t="str">
            <v>Europe Operations OU</v>
          </cell>
          <cell r="D693">
            <v>2674345</v>
          </cell>
          <cell r="E693" t="str">
            <v>Amazon EU SARL, succursale Italiana</v>
          </cell>
          <cell r="F693" t="str">
            <v>6NU6YJHW</v>
          </cell>
          <cell r="G693" t="str">
            <v>B010X0ZQ7S</v>
          </cell>
          <cell r="H693" t="str">
            <v>920-007133</v>
          </cell>
          <cell r="I693" t="str">
            <v>OE INVOICES</v>
          </cell>
          <cell r="J693">
            <v>44421950709</v>
          </cell>
          <cell r="K693">
            <v>44670</v>
          </cell>
          <cell r="L693">
            <v>10</v>
          </cell>
          <cell r="M693" t="str">
            <v>EUR</v>
          </cell>
          <cell r="N693">
            <v>585.6</v>
          </cell>
          <cell r="O693">
            <v>29.28</v>
          </cell>
          <cell r="P693">
            <v>20</v>
          </cell>
          <cell r="Q693">
            <v>20</v>
          </cell>
          <cell r="R693">
            <v>0</v>
          </cell>
        </row>
        <row r="694">
          <cell r="A694" t="str">
            <v>6NU6YJHWB013SL1ZQ0</v>
          </cell>
          <cell r="B694" t="str">
            <v>Q1-23</v>
          </cell>
          <cell r="C694" t="str">
            <v>Europe Operations OU</v>
          </cell>
          <cell r="D694">
            <v>2674345</v>
          </cell>
          <cell r="E694" t="str">
            <v>Amazon EU SARL, succursale Italiana</v>
          </cell>
          <cell r="F694" t="str">
            <v>6NU6YJHW</v>
          </cell>
          <cell r="G694" t="str">
            <v>B013SL1ZQ0</v>
          </cell>
          <cell r="H694" t="str">
            <v>920-007568</v>
          </cell>
          <cell r="I694" t="str">
            <v>OE INVOICES</v>
          </cell>
          <cell r="J694">
            <v>44421950709</v>
          </cell>
          <cell r="K694">
            <v>44670</v>
          </cell>
          <cell r="L694">
            <v>11</v>
          </cell>
          <cell r="M694" t="str">
            <v>EUR</v>
          </cell>
          <cell r="N694">
            <v>234.24</v>
          </cell>
          <cell r="O694">
            <v>29.28</v>
          </cell>
          <cell r="P694">
            <v>8</v>
          </cell>
          <cell r="Q694">
            <v>8</v>
          </cell>
          <cell r="R694">
            <v>0</v>
          </cell>
        </row>
        <row r="695">
          <cell r="A695" t="str">
            <v>6NU6YJHWB013SL1ZU6</v>
          </cell>
          <cell r="B695" t="str">
            <v>Q1-23</v>
          </cell>
          <cell r="C695" t="str">
            <v>Europe Operations OU</v>
          </cell>
          <cell r="D695">
            <v>2674345</v>
          </cell>
          <cell r="E695" t="str">
            <v>Amazon EU SARL, succursale Italiana</v>
          </cell>
          <cell r="F695" t="str">
            <v>6NU6YJHW</v>
          </cell>
          <cell r="G695" t="str">
            <v>B013SL1ZU6</v>
          </cell>
          <cell r="H695" t="str">
            <v>920-007566</v>
          </cell>
          <cell r="I695" t="str">
            <v>OE INVOICES</v>
          </cell>
          <cell r="J695">
            <v>44421950709</v>
          </cell>
          <cell r="K695">
            <v>44670</v>
          </cell>
          <cell r="L695">
            <v>12</v>
          </cell>
          <cell r="M695" t="str">
            <v>EUR</v>
          </cell>
          <cell r="N695">
            <v>702.72</v>
          </cell>
          <cell r="O695">
            <v>29.28</v>
          </cell>
          <cell r="P695">
            <v>24</v>
          </cell>
          <cell r="Q695">
            <v>24</v>
          </cell>
          <cell r="R695">
            <v>0</v>
          </cell>
        </row>
        <row r="696">
          <cell r="A696" t="str">
            <v>6NU6YJHWB013SL26LS</v>
          </cell>
          <cell r="B696" t="str">
            <v>Q1-23</v>
          </cell>
          <cell r="C696" t="str">
            <v>Europe Operations OU</v>
          </cell>
          <cell r="D696">
            <v>2674345</v>
          </cell>
          <cell r="E696" t="str">
            <v>Amazon EU SARL, succursale Italiana</v>
          </cell>
          <cell r="F696" t="str">
            <v>6NU6YJHW</v>
          </cell>
          <cell r="G696" t="str">
            <v>B013SL26LS</v>
          </cell>
          <cell r="H696" t="str">
            <v>920-007575</v>
          </cell>
          <cell r="I696" t="str">
            <v>OE INVOICES</v>
          </cell>
          <cell r="J696">
            <v>44421950709</v>
          </cell>
          <cell r="K696">
            <v>44670</v>
          </cell>
          <cell r="L696">
            <v>13</v>
          </cell>
          <cell r="M696" t="str">
            <v>EUR</v>
          </cell>
          <cell r="N696">
            <v>702.72</v>
          </cell>
          <cell r="O696">
            <v>29.28</v>
          </cell>
          <cell r="P696">
            <v>24</v>
          </cell>
          <cell r="Q696">
            <v>24</v>
          </cell>
          <cell r="R696">
            <v>0</v>
          </cell>
        </row>
        <row r="697">
          <cell r="A697" t="str">
            <v>6NU6YJHWB01A9GXEOI</v>
          </cell>
          <cell r="B697" t="str">
            <v>Q1-23</v>
          </cell>
          <cell r="C697" t="str">
            <v>Europe Operations OU</v>
          </cell>
          <cell r="D697">
            <v>2674345</v>
          </cell>
          <cell r="E697" t="str">
            <v>Amazon EU SARL, succursale Italiana</v>
          </cell>
          <cell r="F697" t="str">
            <v>6NU6YJHW</v>
          </cell>
          <cell r="G697" t="str">
            <v>B01A9GXEOI</v>
          </cell>
          <cell r="H697" t="str">
            <v>910-004424</v>
          </cell>
          <cell r="I697" t="str">
            <v>OE INVOICES</v>
          </cell>
          <cell r="J697">
            <v>44421951817</v>
          </cell>
          <cell r="K697">
            <v>44672</v>
          </cell>
          <cell r="L697">
            <v>2</v>
          </cell>
          <cell r="M697" t="str">
            <v>EUR</v>
          </cell>
          <cell r="N697">
            <v>3160.8</v>
          </cell>
          <cell r="O697">
            <v>8.7799999999999994</v>
          </cell>
          <cell r="P697">
            <v>360</v>
          </cell>
          <cell r="Q697">
            <v>360</v>
          </cell>
          <cell r="R697">
            <v>0</v>
          </cell>
        </row>
        <row r="698">
          <cell r="A698" t="str">
            <v>6NU6YJHWB01DKTP30O</v>
          </cell>
          <cell r="B698" t="str">
            <v>Q1-23</v>
          </cell>
          <cell r="C698" t="str">
            <v>Europe Operations OU</v>
          </cell>
          <cell r="D698">
            <v>2674345</v>
          </cell>
          <cell r="E698" t="str">
            <v>Amazon EU SARL, succursale Italiana</v>
          </cell>
          <cell r="F698" t="str">
            <v>6NU6YJHW</v>
          </cell>
          <cell r="G698" t="str">
            <v>B01DKTP30O</v>
          </cell>
          <cell r="H698" t="str">
            <v>943-000089</v>
          </cell>
          <cell r="I698" t="str">
            <v>OE INVOICES</v>
          </cell>
          <cell r="J698">
            <v>44421950709</v>
          </cell>
          <cell r="K698">
            <v>44670</v>
          </cell>
          <cell r="L698">
            <v>14</v>
          </cell>
          <cell r="M698" t="str">
            <v>EUR</v>
          </cell>
          <cell r="N698">
            <v>168.8</v>
          </cell>
          <cell r="O698">
            <v>21.1</v>
          </cell>
          <cell r="P698">
            <v>8</v>
          </cell>
          <cell r="Q698">
            <v>8</v>
          </cell>
          <cell r="R698">
            <v>0</v>
          </cell>
        </row>
        <row r="699">
          <cell r="A699" t="str">
            <v>6NU6YJHWB01MV1GX63</v>
          </cell>
          <cell r="B699" t="str">
            <v>Q1-23</v>
          </cell>
          <cell r="C699" t="str">
            <v>Europe Operations OU</v>
          </cell>
          <cell r="D699">
            <v>2674345</v>
          </cell>
          <cell r="E699" t="str">
            <v>Amazon EU SARL, succursale Italiana</v>
          </cell>
          <cell r="F699" t="str">
            <v>6NU6YJHW</v>
          </cell>
          <cell r="G699" t="str">
            <v>B01MV1GX63</v>
          </cell>
          <cell r="H699" t="str">
            <v>910-005003</v>
          </cell>
          <cell r="I699" t="str">
            <v>OE INVOICES</v>
          </cell>
          <cell r="J699">
            <v>44421950709</v>
          </cell>
          <cell r="K699">
            <v>44670</v>
          </cell>
          <cell r="L699">
            <v>15</v>
          </cell>
          <cell r="M699" t="str">
            <v>EUR</v>
          </cell>
          <cell r="N699">
            <v>1217.5999999999999</v>
          </cell>
          <cell r="O699">
            <v>7.61</v>
          </cell>
          <cell r="P699">
            <v>160</v>
          </cell>
          <cell r="Q699">
            <v>160</v>
          </cell>
          <cell r="R699">
            <v>0</v>
          </cell>
        </row>
        <row r="700">
          <cell r="A700" t="str">
            <v>6NU6YJHWB0748NCPN5</v>
          </cell>
          <cell r="B700" t="str">
            <v>Q1-23</v>
          </cell>
          <cell r="C700" t="str">
            <v>Europe Operations OU</v>
          </cell>
          <cell r="D700">
            <v>2674345</v>
          </cell>
          <cell r="E700" t="str">
            <v>Amazon EU SARL, succursale Italiana</v>
          </cell>
          <cell r="F700" t="str">
            <v>6NU6YJHW</v>
          </cell>
          <cell r="G700" t="str">
            <v>B0748NCPN5</v>
          </cell>
          <cell r="H700" t="str">
            <v>960-001194</v>
          </cell>
          <cell r="I700" t="str">
            <v>OE INVOICES</v>
          </cell>
          <cell r="J700">
            <v>44421950709</v>
          </cell>
          <cell r="K700">
            <v>44670</v>
          </cell>
          <cell r="L700">
            <v>16</v>
          </cell>
          <cell r="M700" t="str">
            <v>EUR</v>
          </cell>
          <cell r="N700">
            <v>3466.8</v>
          </cell>
          <cell r="O700">
            <v>144.44999999999999</v>
          </cell>
          <cell r="P700">
            <v>24</v>
          </cell>
          <cell r="Q700">
            <v>24</v>
          </cell>
          <cell r="R700">
            <v>0</v>
          </cell>
        </row>
        <row r="701">
          <cell r="A701" t="str">
            <v>6NU6YJHWB07G5SF48Z</v>
          </cell>
          <cell r="B701" t="str">
            <v>Q1-23</v>
          </cell>
          <cell r="C701" t="str">
            <v>Europe Operations OU</v>
          </cell>
          <cell r="D701">
            <v>2674345</v>
          </cell>
          <cell r="E701" t="str">
            <v>Amazon EU SARL, succursale Italiana</v>
          </cell>
          <cell r="F701" t="str">
            <v>6NU6YJHW</v>
          </cell>
          <cell r="G701" t="str">
            <v>B07G5SF48Z</v>
          </cell>
          <cell r="H701" t="str">
            <v>910-005272</v>
          </cell>
          <cell r="I701" t="str">
            <v>OE INVOICES</v>
          </cell>
          <cell r="J701">
            <v>44421950709</v>
          </cell>
          <cell r="K701">
            <v>44670</v>
          </cell>
          <cell r="L701">
            <v>17</v>
          </cell>
          <cell r="M701" t="str">
            <v>EUR</v>
          </cell>
          <cell r="N701">
            <v>816.72</v>
          </cell>
          <cell r="O701">
            <v>68.06</v>
          </cell>
          <cell r="P701">
            <v>12</v>
          </cell>
          <cell r="Q701">
            <v>12</v>
          </cell>
          <cell r="R701">
            <v>0</v>
          </cell>
        </row>
        <row r="702">
          <cell r="A702" t="str">
            <v>6NU6YJHWB07G6CQQYG</v>
          </cell>
          <cell r="B702" t="str">
            <v>Q1-23</v>
          </cell>
          <cell r="C702" t="str">
            <v>Europe Operations OU</v>
          </cell>
          <cell r="D702">
            <v>2674345</v>
          </cell>
          <cell r="E702" t="str">
            <v>Amazon EU SARL, succursale Italiana</v>
          </cell>
          <cell r="F702" t="str">
            <v>6NU6YJHW</v>
          </cell>
          <cell r="G702" t="str">
            <v>B07G6CQQYG</v>
          </cell>
          <cell r="H702" t="str">
            <v>984-001362</v>
          </cell>
          <cell r="I702" t="str">
            <v>OE INVOICES</v>
          </cell>
          <cell r="J702">
            <v>44421951817</v>
          </cell>
          <cell r="K702">
            <v>44672</v>
          </cell>
          <cell r="L702">
            <v>3</v>
          </cell>
          <cell r="M702" t="str">
            <v>EUR</v>
          </cell>
          <cell r="N702">
            <v>318.92</v>
          </cell>
          <cell r="O702">
            <v>79.73</v>
          </cell>
          <cell r="P702">
            <v>4</v>
          </cell>
          <cell r="Q702">
            <v>4</v>
          </cell>
          <cell r="R702">
            <v>0</v>
          </cell>
        </row>
        <row r="703">
          <cell r="A703" t="str">
            <v>6NU6YJHWB07G6DL332</v>
          </cell>
          <cell r="B703" t="str">
            <v>Q1-23</v>
          </cell>
          <cell r="C703" t="str">
            <v>Europe Operations OU</v>
          </cell>
          <cell r="D703">
            <v>2674345</v>
          </cell>
          <cell r="E703" t="str">
            <v>Amazon EU SARL, succursale Italiana</v>
          </cell>
          <cell r="F703" t="str">
            <v>6NU6YJHW</v>
          </cell>
          <cell r="G703" t="str">
            <v>B07G6DL332</v>
          </cell>
          <cell r="H703" t="str">
            <v>984-001405</v>
          </cell>
          <cell r="I703" t="str">
            <v>OE INVOICES</v>
          </cell>
          <cell r="J703">
            <v>44421951817</v>
          </cell>
          <cell r="K703">
            <v>44672</v>
          </cell>
          <cell r="L703">
            <v>4</v>
          </cell>
          <cell r="M703" t="str">
            <v>EUR</v>
          </cell>
          <cell r="N703">
            <v>212.98</v>
          </cell>
          <cell r="O703">
            <v>106.49</v>
          </cell>
          <cell r="P703">
            <v>2</v>
          </cell>
          <cell r="Q703">
            <v>2</v>
          </cell>
          <cell r="R703">
            <v>0</v>
          </cell>
        </row>
        <row r="704">
          <cell r="A704" t="str">
            <v>6NU6YJHWB07G6LWTG6</v>
          </cell>
          <cell r="B704" t="str">
            <v>Q1-23</v>
          </cell>
          <cell r="C704" t="str">
            <v>Europe Operations OU</v>
          </cell>
          <cell r="D704">
            <v>2674345</v>
          </cell>
          <cell r="E704" t="str">
            <v>Amazon EU SARL, succursale Italiana</v>
          </cell>
          <cell r="F704" t="str">
            <v>6NU6YJHW</v>
          </cell>
          <cell r="G704" t="str">
            <v>B07G6LWTG6</v>
          </cell>
          <cell r="H704" t="str">
            <v>984-001404</v>
          </cell>
          <cell r="I704" t="str">
            <v>OE INVOICES</v>
          </cell>
          <cell r="J704">
            <v>44421951817</v>
          </cell>
          <cell r="K704">
            <v>44672</v>
          </cell>
          <cell r="L704">
            <v>5</v>
          </cell>
          <cell r="M704" t="str">
            <v>EUR</v>
          </cell>
          <cell r="N704">
            <v>851.92</v>
          </cell>
          <cell r="O704">
            <v>106.49</v>
          </cell>
          <cell r="P704">
            <v>8</v>
          </cell>
          <cell r="Q704">
            <v>8</v>
          </cell>
          <cell r="R704">
            <v>0</v>
          </cell>
        </row>
        <row r="705">
          <cell r="A705" t="str">
            <v>6NU6YJHWB07G6MYMKD</v>
          </cell>
          <cell r="B705" t="str">
            <v>Q1-23</v>
          </cell>
          <cell r="C705" t="str">
            <v>Europe Operations OU</v>
          </cell>
          <cell r="D705">
            <v>2674345</v>
          </cell>
          <cell r="E705" t="str">
            <v>Amazon EU SARL, succursale Italiana</v>
          </cell>
          <cell r="F705" t="str">
            <v>6NU6YJHW</v>
          </cell>
          <cell r="G705" t="str">
            <v>B07G6MYMKD</v>
          </cell>
          <cell r="H705" t="str">
            <v>984-001402</v>
          </cell>
          <cell r="I705" t="str">
            <v>OE INVOICES</v>
          </cell>
          <cell r="J705">
            <v>44421950709</v>
          </cell>
          <cell r="K705">
            <v>44670</v>
          </cell>
          <cell r="L705">
            <v>18</v>
          </cell>
          <cell r="M705" t="str">
            <v>EUR</v>
          </cell>
          <cell r="N705">
            <v>3194.7</v>
          </cell>
          <cell r="O705">
            <v>106.49</v>
          </cell>
          <cell r="P705">
            <v>30</v>
          </cell>
          <cell r="Q705">
            <v>30</v>
          </cell>
          <cell r="R705">
            <v>0</v>
          </cell>
        </row>
        <row r="706">
          <cell r="A706" t="str">
            <v>6NU6YJHWB07GC4LRQW</v>
          </cell>
          <cell r="B706" t="str">
            <v>Q1-23</v>
          </cell>
          <cell r="C706" t="str">
            <v>Europe Operations OU</v>
          </cell>
          <cell r="D706">
            <v>2674345</v>
          </cell>
          <cell r="E706" t="str">
            <v>Amazon EU SARL, succursale Italiana</v>
          </cell>
          <cell r="F706" t="str">
            <v>6NU6YJHW</v>
          </cell>
          <cell r="G706" t="str">
            <v>B07GC4LRQW</v>
          </cell>
          <cell r="H706" t="str">
            <v>910-005490</v>
          </cell>
          <cell r="I706" t="str">
            <v>OE INVOICES</v>
          </cell>
          <cell r="J706">
            <v>44421951817</v>
          </cell>
          <cell r="K706">
            <v>44672</v>
          </cell>
          <cell r="L706">
            <v>6</v>
          </cell>
          <cell r="M706" t="str">
            <v>EUR</v>
          </cell>
          <cell r="N706">
            <v>87.8</v>
          </cell>
          <cell r="O706">
            <v>8.7799999999999994</v>
          </cell>
          <cell r="P706">
            <v>10</v>
          </cell>
          <cell r="Q706">
            <v>10</v>
          </cell>
          <cell r="R706">
            <v>0</v>
          </cell>
        </row>
        <row r="707">
          <cell r="A707" t="str">
            <v>6NU6YJHWB07GS6ZB7T</v>
          </cell>
          <cell r="B707" t="str">
            <v>Q1-23</v>
          </cell>
          <cell r="C707" t="str">
            <v>Europe Operations OU</v>
          </cell>
          <cell r="D707">
            <v>2674345</v>
          </cell>
          <cell r="E707" t="str">
            <v>Amazon EU SARL, succursale Italiana</v>
          </cell>
          <cell r="F707" t="str">
            <v>6NU6YJHW</v>
          </cell>
          <cell r="G707" t="str">
            <v>B07GS6ZB7T</v>
          </cell>
          <cell r="H707" t="str">
            <v>910-005471</v>
          </cell>
          <cell r="I707" t="str">
            <v>OE INVOICES</v>
          </cell>
          <cell r="J707">
            <v>44421950709</v>
          </cell>
          <cell r="K707">
            <v>44670</v>
          </cell>
          <cell r="L707">
            <v>19</v>
          </cell>
          <cell r="M707" t="str">
            <v>EUR</v>
          </cell>
          <cell r="N707">
            <v>29247.68</v>
          </cell>
          <cell r="O707">
            <v>47.48</v>
          </cell>
          <cell r="P707">
            <v>616</v>
          </cell>
          <cell r="Q707">
            <v>616</v>
          </cell>
          <cell r="R707">
            <v>0</v>
          </cell>
        </row>
        <row r="708">
          <cell r="A708" t="str">
            <v>6NU6YJHWB07H3HGVDW</v>
          </cell>
          <cell r="B708" t="str">
            <v>Q1-23</v>
          </cell>
          <cell r="C708" t="str">
            <v>Europe Operations OU</v>
          </cell>
          <cell r="D708">
            <v>2674345</v>
          </cell>
          <cell r="E708" t="str">
            <v>Amazon EU SARL, succursale Italiana</v>
          </cell>
          <cell r="F708" t="str">
            <v>6NU6YJHW</v>
          </cell>
          <cell r="G708" t="str">
            <v>B07H3HGVDW</v>
          </cell>
          <cell r="H708" t="str">
            <v>914-000034</v>
          </cell>
          <cell r="I708" t="str">
            <v>OE INVOICES</v>
          </cell>
          <cell r="J708">
            <v>44421950709</v>
          </cell>
          <cell r="K708">
            <v>44670</v>
          </cell>
          <cell r="L708">
            <v>20</v>
          </cell>
          <cell r="M708" t="str">
            <v>EUR</v>
          </cell>
          <cell r="N708">
            <v>3600.24</v>
          </cell>
          <cell r="O708">
            <v>42.86</v>
          </cell>
          <cell r="P708">
            <v>84</v>
          </cell>
          <cell r="Q708">
            <v>84</v>
          </cell>
          <cell r="R708">
            <v>0</v>
          </cell>
        </row>
        <row r="709">
          <cell r="A709" t="str">
            <v>6NU6YJHWB07MTY7N22</v>
          </cell>
          <cell r="B709" t="str">
            <v>Q1-23</v>
          </cell>
          <cell r="C709" t="str">
            <v>Europe Operations OU</v>
          </cell>
          <cell r="D709">
            <v>2674345</v>
          </cell>
          <cell r="E709" t="str">
            <v>Amazon EU SARL, succursale Italiana</v>
          </cell>
          <cell r="F709" t="str">
            <v>6NU6YJHW</v>
          </cell>
          <cell r="G709" t="str">
            <v>B07MTY7N22</v>
          </cell>
          <cell r="H709" t="str">
            <v>981-000744</v>
          </cell>
          <cell r="I709" t="str">
            <v>OE INVOICES</v>
          </cell>
          <cell r="J709">
            <v>44421951817</v>
          </cell>
          <cell r="K709">
            <v>44672</v>
          </cell>
          <cell r="L709">
            <v>7</v>
          </cell>
          <cell r="M709" t="str">
            <v>EUR</v>
          </cell>
          <cell r="N709">
            <v>7977.6</v>
          </cell>
          <cell r="O709">
            <v>99.72</v>
          </cell>
          <cell r="P709">
            <v>80</v>
          </cell>
          <cell r="Q709">
            <v>80</v>
          </cell>
          <cell r="R709">
            <v>0</v>
          </cell>
        </row>
        <row r="710">
          <cell r="A710" t="str">
            <v>6NU6YJHWB07RRXXPMZ</v>
          </cell>
          <cell r="B710" t="str">
            <v>Q1-23</v>
          </cell>
          <cell r="C710" t="str">
            <v>Europe Operations OU</v>
          </cell>
          <cell r="D710">
            <v>2674345</v>
          </cell>
          <cell r="E710" t="str">
            <v>Amazon EU SARL, succursale Italiana</v>
          </cell>
          <cell r="F710" t="str">
            <v>6NU6YJHW</v>
          </cell>
          <cell r="G710" t="str">
            <v>B07RRXXPMZ</v>
          </cell>
          <cell r="H710" t="str">
            <v>984-001561</v>
          </cell>
          <cell r="I710" t="str">
            <v>OE INVOICES</v>
          </cell>
          <cell r="J710">
            <v>44421951817</v>
          </cell>
          <cell r="K710">
            <v>44672</v>
          </cell>
          <cell r="L710">
            <v>8</v>
          </cell>
          <cell r="M710" t="str">
            <v>EUR</v>
          </cell>
          <cell r="N710">
            <v>428.08</v>
          </cell>
          <cell r="O710">
            <v>53.51</v>
          </cell>
          <cell r="P710">
            <v>8</v>
          </cell>
          <cell r="Q710">
            <v>8</v>
          </cell>
          <cell r="R710">
            <v>0</v>
          </cell>
        </row>
        <row r="711">
          <cell r="A711" t="str">
            <v>6NU6YJHWB07TLX61W7</v>
          </cell>
          <cell r="B711" t="str">
            <v>Q1-23</v>
          </cell>
          <cell r="C711" t="str">
            <v>Europe Operations OU</v>
          </cell>
          <cell r="D711">
            <v>2674345</v>
          </cell>
          <cell r="E711" t="str">
            <v>Amazon EU SARL, succursale Italiana</v>
          </cell>
          <cell r="F711" t="str">
            <v>6NU6YJHW</v>
          </cell>
          <cell r="G711" t="str">
            <v>B07TLX61W7</v>
          </cell>
          <cell r="H711" t="str">
            <v>981-000818</v>
          </cell>
          <cell r="I711" t="str">
            <v>OE INVOICES</v>
          </cell>
          <cell r="J711">
            <v>44421950709</v>
          </cell>
          <cell r="K711">
            <v>44670</v>
          </cell>
          <cell r="L711">
            <v>21</v>
          </cell>
          <cell r="M711" t="str">
            <v>EUR</v>
          </cell>
          <cell r="N711">
            <v>24501.599999999999</v>
          </cell>
          <cell r="O711">
            <v>68.06</v>
          </cell>
          <cell r="P711">
            <v>360</v>
          </cell>
          <cell r="Q711">
            <v>360</v>
          </cell>
          <cell r="R711">
            <v>0</v>
          </cell>
        </row>
        <row r="712">
          <cell r="A712" t="str">
            <v>6NU6YJHWB07VCS18BK</v>
          </cell>
          <cell r="B712" t="str">
            <v>Q1-23</v>
          </cell>
          <cell r="C712" t="str">
            <v>Europe Operations OU</v>
          </cell>
          <cell r="D712">
            <v>2674345</v>
          </cell>
          <cell r="E712" t="str">
            <v>Amazon EU SARL, succursale Italiana</v>
          </cell>
          <cell r="F712" t="str">
            <v>6NU6YJHW</v>
          </cell>
          <cell r="G712" t="str">
            <v>B07VCS18BK</v>
          </cell>
          <cell r="H712" t="str">
            <v>920-009190</v>
          </cell>
          <cell r="I712" t="str">
            <v>OE INVOICES</v>
          </cell>
          <cell r="J712">
            <v>44421950709</v>
          </cell>
          <cell r="K712">
            <v>44670</v>
          </cell>
          <cell r="L712">
            <v>22</v>
          </cell>
          <cell r="M712" t="str">
            <v>EUR</v>
          </cell>
          <cell r="N712">
            <v>13208.88</v>
          </cell>
          <cell r="O712">
            <v>35.130000000000003</v>
          </cell>
          <cell r="P712">
            <v>376</v>
          </cell>
          <cell r="Q712">
            <v>376</v>
          </cell>
          <cell r="R712">
            <v>0</v>
          </cell>
        </row>
        <row r="713">
          <cell r="A713" t="str">
            <v>6NU6YJHWB07VGYXCQ9</v>
          </cell>
          <cell r="B713" t="str">
            <v>Q1-23</v>
          </cell>
          <cell r="C713" t="str">
            <v>Europe Operations OU</v>
          </cell>
          <cell r="D713">
            <v>2674345</v>
          </cell>
          <cell r="E713" t="str">
            <v>Amazon EU SARL, succursale Italiana</v>
          </cell>
          <cell r="F713" t="str">
            <v>6NU6YJHW</v>
          </cell>
          <cell r="G713" t="str">
            <v>B07VGYXCQ9</v>
          </cell>
          <cell r="H713" t="str">
            <v>920-009198</v>
          </cell>
          <cell r="I713" t="str">
            <v>OE INVOICES</v>
          </cell>
          <cell r="J713">
            <v>44421950709</v>
          </cell>
          <cell r="K713">
            <v>44670</v>
          </cell>
          <cell r="L713">
            <v>23</v>
          </cell>
          <cell r="M713" t="str">
            <v>EUR</v>
          </cell>
          <cell r="N713">
            <v>140.52000000000001</v>
          </cell>
          <cell r="O713">
            <v>35.130000000000003</v>
          </cell>
          <cell r="P713">
            <v>4</v>
          </cell>
          <cell r="Q713">
            <v>4</v>
          </cell>
          <cell r="R713">
            <v>0</v>
          </cell>
        </row>
        <row r="714">
          <cell r="A714" t="str">
            <v>6NU6YJHWB07W4DGLJX</v>
          </cell>
          <cell r="B714" t="str">
            <v>Q1-23</v>
          </cell>
          <cell r="C714" t="str">
            <v>Europe Operations OU</v>
          </cell>
          <cell r="D714">
            <v>2674345</v>
          </cell>
          <cell r="E714" t="str">
            <v>Amazon EU SARL, succursale Italiana</v>
          </cell>
          <cell r="F714" t="str">
            <v>6NU6YJHW</v>
          </cell>
          <cell r="G714" t="str">
            <v>B07W4DGLJX</v>
          </cell>
          <cell r="H714" t="str">
            <v>920-009197</v>
          </cell>
          <cell r="I714" t="str">
            <v>OE INVOICES</v>
          </cell>
          <cell r="J714">
            <v>44421950709</v>
          </cell>
          <cell r="K714">
            <v>44670</v>
          </cell>
          <cell r="L714">
            <v>24</v>
          </cell>
          <cell r="M714" t="str">
            <v>EUR</v>
          </cell>
          <cell r="N714">
            <v>7307.04</v>
          </cell>
          <cell r="O714">
            <v>35.130000000000003</v>
          </cell>
          <cell r="P714">
            <v>208</v>
          </cell>
          <cell r="Q714">
            <v>208</v>
          </cell>
          <cell r="R714">
            <v>0</v>
          </cell>
        </row>
        <row r="715">
          <cell r="A715" t="str">
            <v>6NU6YJHWB07W4DGVQF</v>
          </cell>
          <cell r="B715" t="str">
            <v>Q1-23</v>
          </cell>
          <cell r="C715" t="str">
            <v>Europe Operations OU</v>
          </cell>
          <cell r="D715">
            <v>2674345</v>
          </cell>
          <cell r="E715" t="str">
            <v>Amazon EU SARL, succursale Italiana</v>
          </cell>
          <cell r="F715" t="str">
            <v>6NU6YJHW</v>
          </cell>
          <cell r="G715" t="str">
            <v>B07W4DGVQF</v>
          </cell>
          <cell r="H715" t="str">
            <v>910-005966</v>
          </cell>
          <cell r="I715" t="str">
            <v>OE INVOICES</v>
          </cell>
          <cell r="J715">
            <v>44421950709</v>
          </cell>
          <cell r="K715">
            <v>44670</v>
          </cell>
          <cell r="L715">
            <v>25</v>
          </cell>
          <cell r="M715" t="str">
            <v>EUR</v>
          </cell>
          <cell r="N715">
            <v>1392</v>
          </cell>
          <cell r="O715">
            <v>58</v>
          </cell>
          <cell r="P715">
            <v>24</v>
          </cell>
          <cell r="Q715">
            <v>24</v>
          </cell>
          <cell r="R715">
            <v>0</v>
          </cell>
        </row>
        <row r="716">
          <cell r="A716" t="str">
            <v>6NU6YJHWB07W4DH276</v>
          </cell>
          <cell r="B716" t="str">
            <v>Q1-23</v>
          </cell>
          <cell r="C716" t="str">
            <v>Europe Operations OU</v>
          </cell>
          <cell r="D716">
            <v>2674345</v>
          </cell>
          <cell r="E716" t="str">
            <v>Amazon EU SARL, succursale Italiana</v>
          </cell>
          <cell r="F716" t="str">
            <v>6NU6YJHW</v>
          </cell>
          <cell r="G716" t="str">
            <v>B07W4DH276</v>
          </cell>
          <cell r="H716" t="str">
            <v>910-005719</v>
          </cell>
          <cell r="I716" t="str">
            <v>OE INVOICES</v>
          </cell>
          <cell r="J716">
            <v>44421950709</v>
          </cell>
          <cell r="K716">
            <v>44670</v>
          </cell>
          <cell r="L716">
            <v>26</v>
          </cell>
          <cell r="M716" t="str">
            <v>EUR</v>
          </cell>
          <cell r="N716">
            <v>3513.6</v>
          </cell>
          <cell r="O716">
            <v>14.64</v>
          </cell>
          <cell r="P716">
            <v>240</v>
          </cell>
          <cell r="Q716">
            <v>240</v>
          </cell>
          <cell r="R716">
            <v>0</v>
          </cell>
        </row>
        <row r="717">
          <cell r="A717" t="str">
            <v>6NU6YJHWB07W4DHMVB</v>
          </cell>
          <cell r="B717" t="str">
            <v>Q1-23</v>
          </cell>
          <cell r="C717" t="str">
            <v>Europe Operations OU</v>
          </cell>
          <cell r="D717">
            <v>2674345</v>
          </cell>
          <cell r="E717" t="str">
            <v>Amazon EU SARL, succursale Italiana</v>
          </cell>
          <cell r="F717" t="str">
            <v>6NU6YJHW</v>
          </cell>
          <cell r="G717" t="str">
            <v>B07W4DHMVB</v>
          </cell>
          <cell r="H717" t="str">
            <v>981-001074</v>
          </cell>
          <cell r="I717" t="str">
            <v>OE INVOICES</v>
          </cell>
          <cell r="J717">
            <v>44421950709</v>
          </cell>
          <cell r="K717">
            <v>44670</v>
          </cell>
          <cell r="L717">
            <v>27</v>
          </cell>
          <cell r="M717" t="str">
            <v>EUR</v>
          </cell>
          <cell r="N717">
            <v>168.8</v>
          </cell>
          <cell r="O717">
            <v>42.2</v>
          </cell>
          <cell r="P717">
            <v>4</v>
          </cell>
          <cell r="Q717">
            <v>4</v>
          </cell>
          <cell r="R717">
            <v>0</v>
          </cell>
        </row>
        <row r="718">
          <cell r="A718" t="str">
            <v>6NU6YJHWB07W4DHZLS</v>
          </cell>
          <cell r="B718" t="str">
            <v>Q1-23</v>
          </cell>
          <cell r="C718" t="str">
            <v>Europe Operations OU</v>
          </cell>
          <cell r="D718">
            <v>2674345</v>
          </cell>
          <cell r="E718" t="str">
            <v>Amazon EU SARL, succursale Italiana</v>
          </cell>
          <cell r="F718" t="str">
            <v>6NU6YJHW</v>
          </cell>
          <cell r="G718" t="str">
            <v>B07W4DHZLS</v>
          </cell>
          <cell r="H718" t="str">
            <v>920-010041</v>
          </cell>
          <cell r="I718" t="str">
            <v>OE INVOICES</v>
          </cell>
          <cell r="J718">
            <v>44421950709</v>
          </cell>
          <cell r="K718">
            <v>44670</v>
          </cell>
          <cell r="L718">
            <v>28</v>
          </cell>
          <cell r="M718" t="str">
            <v>EUR</v>
          </cell>
          <cell r="N718">
            <v>649.6</v>
          </cell>
          <cell r="O718">
            <v>40.6</v>
          </cell>
          <cell r="P718">
            <v>16</v>
          </cell>
          <cell r="Q718">
            <v>16</v>
          </cell>
          <cell r="R718">
            <v>0</v>
          </cell>
        </row>
        <row r="719">
          <cell r="A719" t="str">
            <v>6NU6YJHWB07W5JHF5D</v>
          </cell>
          <cell r="B719" t="str">
            <v>Q1-23</v>
          </cell>
          <cell r="C719" t="str">
            <v>Europe Operations OU</v>
          </cell>
          <cell r="D719">
            <v>2674345</v>
          </cell>
          <cell r="E719" t="str">
            <v>Amazon EU SARL, succursale Italiana</v>
          </cell>
          <cell r="F719" t="str">
            <v>6NU6YJHW</v>
          </cell>
          <cell r="G719" t="str">
            <v>B07W5JHF5D</v>
          </cell>
          <cell r="H719" t="str">
            <v>920-009866</v>
          </cell>
          <cell r="I719" t="str">
            <v>OE INVOICES</v>
          </cell>
          <cell r="J719">
            <v>44421950709</v>
          </cell>
          <cell r="K719">
            <v>44670</v>
          </cell>
          <cell r="L719">
            <v>29</v>
          </cell>
          <cell r="M719" t="str">
            <v>EUR</v>
          </cell>
          <cell r="N719">
            <v>234.24</v>
          </cell>
          <cell r="O719">
            <v>29.28</v>
          </cell>
          <cell r="P719">
            <v>8</v>
          </cell>
          <cell r="Q719">
            <v>8</v>
          </cell>
          <cell r="R719">
            <v>0</v>
          </cell>
        </row>
        <row r="720">
          <cell r="A720" t="str">
            <v>6NU6YJHWB07W5JHXF8</v>
          </cell>
          <cell r="B720" t="str">
            <v>Q1-23</v>
          </cell>
          <cell r="C720" t="str">
            <v>Europe Operations OU</v>
          </cell>
          <cell r="D720">
            <v>2674345</v>
          </cell>
          <cell r="E720" t="str">
            <v>Amazon EU SARL, succursale Italiana</v>
          </cell>
          <cell r="F720" t="str">
            <v>6NU6YJHW</v>
          </cell>
          <cell r="G720" t="str">
            <v>B07W5JHXF8</v>
          </cell>
          <cell r="H720" t="str">
            <v>920-010398</v>
          </cell>
          <cell r="I720" t="str">
            <v>OE INVOICES</v>
          </cell>
          <cell r="J720">
            <v>44421950709</v>
          </cell>
          <cell r="K720">
            <v>44670</v>
          </cell>
          <cell r="L720">
            <v>30</v>
          </cell>
          <cell r="M720" t="str">
            <v>EUR</v>
          </cell>
          <cell r="N720">
            <v>234.24</v>
          </cell>
          <cell r="O720">
            <v>29.28</v>
          </cell>
          <cell r="P720">
            <v>8</v>
          </cell>
          <cell r="Q720">
            <v>8</v>
          </cell>
          <cell r="R720">
            <v>0</v>
          </cell>
        </row>
        <row r="721">
          <cell r="A721" t="str">
            <v>6NU6YJHWB07W5JJ1WH</v>
          </cell>
          <cell r="B721" t="str">
            <v>Q1-23</v>
          </cell>
          <cell r="C721" t="str">
            <v>Europe Operations OU</v>
          </cell>
          <cell r="D721">
            <v>2674345</v>
          </cell>
          <cell r="E721" t="str">
            <v>Amazon EU SARL, succursale Italiana</v>
          </cell>
          <cell r="F721" t="str">
            <v>6NU6YJHW</v>
          </cell>
          <cell r="G721" t="str">
            <v>B07W5JJ1WH</v>
          </cell>
          <cell r="H721" t="str">
            <v>920-009409</v>
          </cell>
          <cell r="I721" t="str">
            <v>OE INVOICES</v>
          </cell>
          <cell r="J721">
            <v>44421950709</v>
          </cell>
          <cell r="K721">
            <v>44670</v>
          </cell>
          <cell r="L721">
            <v>31</v>
          </cell>
          <cell r="M721" t="str">
            <v>EUR</v>
          </cell>
          <cell r="N721">
            <v>6032.8</v>
          </cell>
          <cell r="O721">
            <v>75.41</v>
          </cell>
          <cell r="P721">
            <v>80</v>
          </cell>
          <cell r="Q721">
            <v>80</v>
          </cell>
          <cell r="R721">
            <v>0</v>
          </cell>
        </row>
        <row r="722">
          <cell r="A722" t="str">
            <v>6NU6YJHWB07W5JJ1WM</v>
          </cell>
          <cell r="B722" t="str">
            <v>Q1-23</v>
          </cell>
          <cell r="C722" t="str">
            <v>Europe Operations OU</v>
          </cell>
          <cell r="D722">
            <v>2674345</v>
          </cell>
          <cell r="E722" t="str">
            <v>Amazon EU SARL, succursale Italiana</v>
          </cell>
          <cell r="F722" t="str">
            <v>6NU6YJHW</v>
          </cell>
          <cell r="G722" t="str">
            <v>B07W5JJ1WM</v>
          </cell>
          <cell r="H722" t="str">
            <v>910-005957</v>
          </cell>
          <cell r="I722" t="str">
            <v>OE INVOICES</v>
          </cell>
          <cell r="J722">
            <v>44421950709</v>
          </cell>
          <cell r="K722">
            <v>44670</v>
          </cell>
          <cell r="L722">
            <v>32</v>
          </cell>
          <cell r="M722" t="str">
            <v>EUR</v>
          </cell>
          <cell r="N722">
            <v>671.12</v>
          </cell>
          <cell r="O722">
            <v>83.89</v>
          </cell>
          <cell r="P722">
            <v>8</v>
          </cell>
          <cell r="Q722">
            <v>8</v>
          </cell>
          <cell r="R722">
            <v>0</v>
          </cell>
        </row>
        <row r="723">
          <cell r="A723" t="str">
            <v>6NU6YJHWB07W5JJP7R</v>
          </cell>
          <cell r="B723" t="str">
            <v>Q1-23</v>
          </cell>
          <cell r="C723" t="str">
            <v>Europe Operations OU</v>
          </cell>
          <cell r="D723">
            <v>2674345</v>
          </cell>
          <cell r="E723" t="str">
            <v>Amazon EU SARL, succursale Italiana</v>
          </cell>
          <cell r="F723" t="str">
            <v>6NU6YJHW</v>
          </cell>
          <cell r="G723" t="str">
            <v>B07W5JJP7R</v>
          </cell>
          <cell r="H723" t="str">
            <v>920-009626</v>
          </cell>
          <cell r="I723" t="str">
            <v>OE INVOICES</v>
          </cell>
          <cell r="J723">
            <v>44421950709</v>
          </cell>
          <cell r="K723">
            <v>44670</v>
          </cell>
          <cell r="L723">
            <v>33</v>
          </cell>
          <cell r="M723" t="str">
            <v>EUR</v>
          </cell>
          <cell r="N723">
            <v>2783.68</v>
          </cell>
          <cell r="O723">
            <v>86.99</v>
          </cell>
          <cell r="P723">
            <v>32</v>
          </cell>
          <cell r="Q723">
            <v>32</v>
          </cell>
          <cell r="R723">
            <v>0</v>
          </cell>
        </row>
        <row r="724">
          <cell r="A724" t="str">
            <v>6NU6YJHWB07W5JK2S4</v>
          </cell>
          <cell r="B724" t="str">
            <v>Q1-23</v>
          </cell>
          <cell r="C724" t="str">
            <v>Europe Operations OU</v>
          </cell>
          <cell r="D724">
            <v>2674345</v>
          </cell>
          <cell r="E724" t="str">
            <v>Amazon EU SARL, succursale Italiana</v>
          </cell>
          <cell r="F724" t="str">
            <v>6NU6YJHW</v>
          </cell>
          <cell r="G724" t="str">
            <v>B07W5JK2S4</v>
          </cell>
          <cell r="H724" t="str">
            <v>920-010812</v>
          </cell>
          <cell r="I724" t="str">
            <v>OE INVOICES</v>
          </cell>
          <cell r="J724">
            <v>44421950709</v>
          </cell>
          <cell r="K724">
            <v>44670</v>
          </cell>
          <cell r="L724">
            <v>34</v>
          </cell>
          <cell r="M724" t="str">
            <v>EUR</v>
          </cell>
          <cell r="N724">
            <v>510.48</v>
          </cell>
          <cell r="O724">
            <v>63.81</v>
          </cell>
          <cell r="P724">
            <v>8</v>
          </cell>
          <cell r="Q724">
            <v>8</v>
          </cell>
          <cell r="R724">
            <v>0</v>
          </cell>
        </row>
        <row r="725">
          <cell r="A725" t="str">
            <v>6NU6YJHWB07W5JK53T</v>
          </cell>
          <cell r="B725" t="str">
            <v>Q1-23</v>
          </cell>
          <cell r="C725" t="str">
            <v>Europe Operations OU</v>
          </cell>
          <cell r="D725">
            <v>2674345</v>
          </cell>
          <cell r="E725" t="str">
            <v>Amazon EU SARL, succursale Italiana</v>
          </cell>
          <cell r="F725" t="str">
            <v>6NU6YJHW</v>
          </cell>
          <cell r="G725" t="str">
            <v>B07W5JK53T</v>
          </cell>
          <cell r="H725" t="str">
            <v>981-000990</v>
          </cell>
          <cell r="I725" t="str">
            <v>OE INVOICES</v>
          </cell>
          <cell r="J725">
            <v>44421950709</v>
          </cell>
          <cell r="K725">
            <v>44670</v>
          </cell>
          <cell r="L725">
            <v>35</v>
          </cell>
          <cell r="M725" t="str">
            <v>EUR</v>
          </cell>
          <cell r="N725">
            <v>3459.28</v>
          </cell>
          <cell r="O725">
            <v>78.62</v>
          </cell>
          <cell r="P725">
            <v>44</v>
          </cell>
          <cell r="Q725">
            <v>44</v>
          </cell>
          <cell r="R725">
            <v>0</v>
          </cell>
        </row>
        <row r="726">
          <cell r="A726" t="str">
            <v>6NU6YJHWB07W5JKPJY</v>
          </cell>
          <cell r="B726" t="str">
            <v>Q1-23</v>
          </cell>
          <cell r="C726" t="str">
            <v>Europe Operations OU</v>
          </cell>
          <cell r="D726">
            <v>2674345</v>
          </cell>
          <cell r="E726" t="str">
            <v>Amazon EU SARL, succursale Italiana</v>
          </cell>
          <cell r="F726" t="str">
            <v>6NU6YJHW</v>
          </cell>
          <cell r="G726" t="str">
            <v>B07W5JKPJY</v>
          </cell>
          <cell r="H726" t="str">
            <v>910-006348</v>
          </cell>
          <cell r="I726" t="str">
            <v>OE INVOICES</v>
          </cell>
          <cell r="J726">
            <v>44421950709</v>
          </cell>
          <cell r="K726">
            <v>44670</v>
          </cell>
          <cell r="L726">
            <v>36</v>
          </cell>
          <cell r="M726" t="str">
            <v>EUR</v>
          </cell>
          <cell r="N726">
            <v>275</v>
          </cell>
          <cell r="O726">
            <v>27.5</v>
          </cell>
          <cell r="P726">
            <v>10</v>
          </cell>
          <cell r="Q726">
            <v>10</v>
          </cell>
          <cell r="R726">
            <v>0</v>
          </cell>
        </row>
        <row r="727">
          <cell r="A727" t="str">
            <v>6NU6YJHWB07W6FNF6N</v>
          </cell>
          <cell r="B727" t="str">
            <v>Q1-23</v>
          </cell>
          <cell r="C727" t="str">
            <v>Europe Operations OU</v>
          </cell>
          <cell r="D727">
            <v>2674345</v>
          </cell>
          <cell r="E727" t="str">
            <v>Amazon EU SARL, succursale Italiana</v>
          </cell>
          <cell r="F727" t="str">
            <v>6NU6YJHW</v>
          </cell>
          <cell r="G727" t="str">
            <v>B07W6FNF6N</v>
          </cell>
          <cell r="H727" t="str">
            <v>920-009841</v>
          </cell>
          <cell r="I727" t="str">
            <v>OE INVOICES</v>
          </cell>
          <cell r="J727">
            <v>44421950709</v>
          </cell>
          <cell r="K727">
            <v>44670</v>
          </cell>
          <cell r="L727">
            <v>37</v>
          </cell>
          <cell r="M727" t="str">
            <v>EUR</v>
          </cell>
          <cell r="N727">
            <v>1809.84</v>
          </cell>
          <cell r="O727">
            <v>75.41</v>
          </cell>
          <cell r="P727">
            <v>24</v>
          </cell>
          <cell r="Q727">
            <v>24</v>
          </cell>
          <cell r="R727">
            <v>0</v>
          </cell>
        </row>
        <row r="728">
          <cell r="A728" t="str">
            <v>6NU6YJHWB07W6GFKXS</v>
          </cell>
          <cell r="B728" t="str">
            <v>Q1-23</v>
          </cell>
          <cell r="C728" t="str">
            <v>Europe Operations OU</v>
          </cell>
          <cell r="D728">
            <v>2674345</v>
          </cell>
          <cell r="E728" t="str">
            <v>Amazon EU SARL, succursale Italiana</v>
          </cell>
          <cell r="F728" t="str">
            <v>6NU6YJHW</v>
          </cell>
          <cell r="G728" t="str">
            <v>B07W6GFKXS</v>
          </cell>
          <cell r="H728" t="str">
            <v>910-005853</v>
          </cell>
          <cell r="I728" t="str">
            <v>OE INVOICES</v>
          </cell>
          <cell r="J728">
            <v>44421950709</v>
          </cell>
          <cell r="K728">
            <v>44670</v>
          </cell>
          <cell r="L728">
            <v>38</v>
          </cell>
          <cell r="M728" t="str">
            <v>EUR</v>
          </cell>
          <cell r="N728">
            <v>84.4</v>
          </cell>
          <cell r="O728">
            <v>21.1</v>
          </cell>
          <cell r="P728">
            <v>4</v>
          </cell>
          <cell r="Q728">
            <v>4</v>
          </cell>
          <cell r="R728">
            <v>0</v>
          </cell>
        </row>
        <row r="729">
          <cell r="A729" t="str">
            <v>6NU6YJHWB07W6GFN9S</v>
          </cell>
          <cell r="B729" t="str">
            <v>Q1-23</v>
          </cell>
          <cell r="C729" t="str">
            <v>Europe Operations OU</v>
          </cell>
          <cell r="D729">
            <v>2674345</v>
          </cell>
          <cell r="E729" t="str">
            <v>Amazon EU SARL, succursale Italiana</v>
          </cell>
          <cell r="F729" t="str">
            <v>6NU6YJHW</v>
          </cell>
          <cell r="G729" t="str">
            <v>B07W6GFN9S</v>
          </cell>
          <cell r="H729" t="str">
            <v>910-006221</v>
          </cell>
          <cell r="I729" t="str">
            <v>OE INVOICES</v>
          </cell>
          <cell r="J729">
            <v>44421950709</v>
          </cell>
          <cell r="K729">
            <v>44670</v>
          </cell>
          <cell r="L729">
            <v>39</v>
          </cell>
          <cell r="M729" t="str">
            <v>EUR</v>
          </cell>
          <cell r="N729">
            <v>339</v>
          </cell>
          <cell r="O729">
            <v>33.9</v>
          </cell>
          <cell r="P729">
            <v>10</v>
          </cell>
          <cell r="Q729">
            <v>10</v>
          </cell>
          <cell r="R729">
            <v>0</v>
          </cell>
        </row>
        <row r="730">
          <cell r="A730" t="str">
            <v>6NU6YJHWB07W6HJ5L5</v>
          </cell>
          <cell r="B730" t="str">
            <v>Q1-23</v>
          </cell>
          <cell r="C730" t="str">
            <v>Europe Operations OU</v>
          </cell>
          <cell r="D730">
            <v>2674345</v>
          </cell>
          <cell r="E730" t="str">
            <v>Amazon EU SARL, succursale Italiana</v>
          </cell>
          <cell r="F730" t="str">
            <v>6NU6YJHW</v>
          </cell>
          <cell r="G730" t="str">
            <v>B07W6HJ5L5</v>
          </cell>
          <cell r="H730" t="str">
            <v>920-010102</v>
          </cell>
          <cell r="I730" t="str">
            <v>OE INVOICES</v>
          </cell>
          <cell r="J730">
            <v>44421950709</v>
          </cell>
          <cell r="K730">
            <v>44670</v>
          </cell>
          <cell r="L730">
            <v>40</v>
          </cell>
          <cell r="M730" t="str">
            <v>EUR</v>
          </cell>
          <cell r="N730">
            <v>812.1</v>
          </cell>
          <cell r="O730">
            <v>81.209999999999994</v>
          </cell>
          <cell r="P730">
            <v>10</v>
          </cell>
          <cell r="Q730">
            <v>10</v>
          </cell>
          <cell r="R730">
            <v>0</v>
          </cell>
        </row>
        <row r="731">
          <cell r="A731" t="str">
            <v>6NU6YJHWB07W6JDL3Z</v>
          </cell>
          <cell r="B731" t="str">
            <v>Q1-23</v>
          </cell>
          <cell r="C731" t="str">
            <v>Europe Operations OU</v>
          </cell>
          <cell r="D731">
            <v>2674345</v>
          </cell>
          <cell r="E731" t="str">
            <v>Amazon EU SARL, succursale Italiana</v>
          </cell>
          <cell r="F731" t="str">
            <v>6NU6YJHW</v>
          </cell>
          <cell r="G731" t="str">
            <v>B07W6JDL3Z</v>
          </cell>
          <cell r="H731" t="str">
            <v>980-001348</v>
          </cell>
          <cell r="I731" t="str">
            <v>OE INVOICES</v>
          </cell>
          <cell r="J731">
            <v>44421950709</v>
          </cell>
          <cell r="K731">
            <v>44670</v>
          </cell>
          <cell r="L731">
            <v>41</v>
          </cell>
          <cell r="M731" t="str">
            <v>EUR</v>
          </cell>
          <cell r="N731">
            <v>139.22</v>
          </cell>
          <cell r="O731">
            <v>69.61</v>
          </cell>
          <cell r="P731">
            <v>2</v>
          </cell>
          <cell r="Q731">
            <v>2</v>
          </cell>
          <cell r="R731">
            <v>0</v>
          </cell>
        </row>
        <row r="732">
          <cell r="A732" t="str">
            <v>6NU6YJHWB07W6JFPT1</v>
          </cell>
          <cell r="B732" t="str">
            <v>Q1-23</v>
          </cell>
          <cell r="C732" t="str">
            <v>Europe Operations OU</v>
          </cell>
          <cell r="D732">
            <v>2674345</v>
          </cell>
          <cell r="E732" t="str">
            <v>Amazon EU SARL, succursale Italiana</v>
          </cell>
          <cell r="F732" t="str">
            <v>6NU6YJHW</v>
          </cell>
          <cell r="G732" t="str">
            <v>B07W6JFPT1</v>
          </cell>
          <cell r="H732" t="str">
            <v>920-009405</v>
          </cell>
          <cell r="I732" t="str">
            <v>OE INVOICES</v>
          </cell>
          <cell r="J732">
            <v>44421950709</v>
          </cell>
          <cell r="K732">
            <v>44670</v>
          </cell>
          <cell r="L732">
            <v>42</v>
          </cell>
          <cell r="M732" t="str">
            <v>EUR</v>
          </cell>
          <cell r="N732">
            <v>904.92</v>
          </cell>
          <cell r="O732">
            <v>75.41</v>
          </cell>
          <cell r="P732">
            <v>12</v>
          </cell>
          <cell r="Q732">
            <v>12</v>
          </cell>
          <cell r="R732">
            <v>0</v>
          </cell>
        </row>
        <row r="733">
          <cell r="A733" t="str">
            <v>6NU6YJHWB07W6JMMNC</v>
          </cell>
          <cell r="B733" t="str">
            <v>Q1-23</v>
          </cell>
          <cell r="C733" t="str">
            <v>Europe Operations OU</v>
          </cell>
          <cell r="D733">
            <v>2674345</v>
          </cell>
          <cell r="E733" t="str">
            <v>Amazon EU SARL, succursale Italiana</v>
          </cell>
          <cell r="F733" t="str">
            <v>6NU6YJHW</v>
          </cell>
          <cell r="G733" t="str">
            <v>B07W6JMMNC</v>
          </cell>
          <cell r="H733" t="str">
            <v>910-005710</v>
          </cell>
          <cell r="I733" t="str">
            <v>OE INVOICES</v>
          </cell>
          <cell r="J733">
            <v>44421950709</v>
          </cell>
          <cell r="K733">
            <v>44670</v>
          </cell>
          <cell r="L733">
            <v>43</v>
          </cell>
          <cell r="M733" t="str">
            <v>EUR</v>
          </cell>
          <cell r="N733">
            <v>18098.400000000001</v>
          </cell>
          <cell r="O733">
            <v>75.41</v>
          </cell>
          <cell r="P733">
            <v>240</v>
          </cell>
          <cell r="Q733">
            <v>240</v>
          </cell>
          <cell r="R733">
            <v>0</v>
          </cell>
        </row>
        <row r="734">
          <cell r="A734" t="str">
            <v>6NU6YJHWB07W6JNG13</v>
          </cell>
          <cell r="B734" t="str">
            <v>Q1-23</v>
          </cell>
          <cell r="C734" t="str">
            <v>Europe Operations OU</v>
          </cell>
          <cell r="D734">
            <v>2674345</v>
          </cell>
          <cell r="E734" t="str">
            <v>Amazon EU SARL, succursale Italiana</v>
          </cell>
          <cell r="F734" t="str">
            <v>6NU6YJHW</v>
          </cell>
          <cell r="G734" t="str">
            <v>B07W6JNG13</v>
          </cell>
          <cell r="H734" t="str">
            <v>981-000943</v>
          </cell>
          <cell r="I734" t="str">
            <v>OE INVOICES</v>
          </cell>
          <cell r="J734">
            <v>44421950709</v>
          </cell>
          <cell r="K734">
            <v>44670</v>
          </cell>
          <cell r="L734">
            <v>44</v>
          </cell>
          <cell r="M734" t="str">
            <v>EUR</v>
          </cell>
          <cell r="N734">
            <v>628.96</v>
          </cell>
          <cell r="O734">
            <v>78.62</v>
          </cell>
          <cell r="P734">
            <v>8</v>
          </cell>
          <cell r="Q734">
            <v>8</v>
          </cell>
          <cell r="R734">
            <v>0</v>
          </cell>
        </row>
        <row r="735">
          <cell r="A735" t="str">
            <v>6NU6YJHWB07W7JR6BZ</v>
          </cell>
          <cell r="B735" t="str">
            <v>Q1-23</v>
          </cell>
          <cell r="C735" t="str">
            <v>Europe Operations OU</v>
          </cell>
          <cell r="D735">
            <v>2674345</v>
          </cell>
          <cell r="E735" t="str">
            <v>Amazon EU SARL, succursale Italiana</v>
          </cell>
          <cell r="F735" t="str">
            <v>6NU6YJHW</v>
          </cell>
          <cell r="G735" t="str">
            <v>B07W7JR6BZ</v>
          </cell>
          <cell r="H735" t="str">
            <v>910-006255</v>
          </cell>
          <cell r="I735" t="str">
            <v>OE INVOICES</v>
          </cell>
          <cell r="J735">
            <v>44421950709</v>
          </cell>
          <cell r="K735">
            <v>44670</v>
          </cell>
          <cell r="L735">
            <v>45</v>
          </cell>
          <cell r="M735" t="str">
            <v>EUR</v>
          </cell>
          <cell r="N735">
            <v>263.5</v>
          </cell>
          <cell r="O735">
            <v>26.35</v>
          </cell>
          <cell r="P735">
            <v>10</v>
          </cell>
          <cell r="Q735">
            <v>10</v>
          </cell>
          <cell r="R735">
            <v>0</v>
          </cell>
        </row>
        <row r="736">
          <cell r="A736" t="str">
            <v>6NU6YJHWB07W7JYP91</v>
          </cell>
          <cell r="B736" t="str">
            <v>Q1-23</v>
          </cell>
          <cell r="C736" t="str">
            <v>Europe Operations OU</v>
          </cell>
          <cell r="D736">
            <v>2674345</v>
          </cell>
          <cell r="E736" t="str">
            <v>Amazon EU SARL, succursale Italiana</v>
          </cell>
          <cell r="F736" t="str">
            <v>6NU6YJHW</v>
          </cell>
          <cell r="G736" t="str">
            <v>B07W7JYP91</v>
          </cell>
          <cell r="H736" t="str">
            <v>910-005720</v>
          </cell>
          <cell r="I736" t="str">
            <v>OE INVOICES</v>
          </cell>
          <cell r="J736">
            <v>44421950709</v>
          </cell>
          <cell r="K736">
            <v>44670</v>
          </cell>
          <cell r="L736">
            <v>46</v>
          </cell>
          <cell r="M736" t="str">
            <v>EUR</v>
          </cell>
          <cell r="N736">
            <v>439.2</v>
          </cell>
          <cell r="O736">
            <v>14.64</v>
          </cell>
          <cell r="P736">
            <v>30</v>
          </cell>
          <cell r="Q736">
            <v>30</v>
          </cell>
          <cell r="R736">
            <v>0</v>
          </cell>
        </row>
        <row r="737">
          <cell r="A737" t="str">
            <v>6NU6YJHWB07W7KMK4Y</v>
          </cell>
          <cell r="B737" t="str">
            <v>Q1-23</v>
          </cell>
          <cell r="C737" t="str">
            <v>Europe Operations OU</v>
          </cell>
          <cell r="D737">
            <v>2674345</v>
          </cell>
          <cell r="E737" t="str">
            <v>Amazon EU SARL, succursale Italiana</v>
          </cell>
          <cell r="F737" t="str">
            <v>6NU6YJHW</v>
          </cell>
          <cell r="G737" t="str">
            <v>B07W7KMK4Y</v>
          </cell>
          <cell r="H737" t="str">
            <v>920-010488</v>
          </cell>
          <cell r="I737" t="str">
            <v>OE INVOICES</v>
          </cell>
          <cell r="J737">
            <v>44421950709</v>
          </cell>
          <cell r="K737">
            <v>44670</v>
          </cell>
          <cell r="L737">
            <v>47</v>
          </cell>
          <cell r="M737" t="str">
            <v>EUR</v>
          </cell>
          <cell r="N737">
            <v>765.72</v>
          </cell>
          <cell r="O737">
            <v>63.81</v>
          </cell>
          <cell r="P737">
            <v>12</v>
          </cell>
          <cell r="Q737">
            <v>12</v>
          </cell>
          <cell r="R737">
            <v>0</v>
          </cell>
        </row>
        <row r="738">
          <cell r="A738" t="str">
            <v>6NU6YJHWB07W7L3DSX</v>
          </cell>
          <cell r="B738" t="str">
            <v>Q1-23</v>
          </cell>
          <cell r="C738" t="str">
            <v>Europe Operations OU</v>
          </cell>
          <cell r="D738">
            <v>2674345</v>
          </cell>
          <cell r="E738" t="str">
            <v>Amazon EU SARL, succursale Italiana</v>
          </cell>
          <cell r="F738" t="str">
            <v>6NU6YJHW</v>
          </cell>
          <cell r="G738" t="str">
            <v>B07W7L3DSX</v>
          </cell>
          <cell r="H738" t="str">
            <v>920-010399</v>
          </cell>
          <cell r="I738" t="str">
            <v>OE INVOICES</v>
          </cell>
          <cell r="J738">
            <v>44421950709</v>
          </cell>
          <cell r="K738">
            <v>44670</v>
          </cell>
          <cell r="L738">
            <v>48</v>
          </cell>
          <cell r="M738" t="str">
            <v>EUR</v>
          </cell>
          <cell r="N738">
            <v>234.24</v>
          </cell>
          <cell r="O738">
            <v>29.28</v>
          </cell>
          <cell r="P738">
            <v>8</v>
          </cell>
          <cell r="Q738">
            <v>8</v>
          </cell>
          <cell r="R738">
            <v>0</v>
          </cell>
        </row>
        <row r="739">
          <cell r="A739" t="str">
            <v>6NU6YJHWB07W7LQDX7</v>
          </cell>
          <cell r="B739" t="str">
            <v>Q1-23</v>
          </cell>
          <cell r="C739" t="str">
            <v>Europe Operations OU</v>
          </cell>
          <cell r="D739">
            <v>2674345</v>
          </cell>
          <cell r="E739" t="str">
            <v>Amazon EU SARL, succursale Italiana</v>
          </cell>
          <cell r="F739" t="str">
            <v>6NU6YJHW</v>
          </cell>
          <cell r="G739" t="str">
            <v>B07W7LQDX7</v>
          </cell>
          <cell r="H739" t="str">
            <v>920-009520</v>
          </cell>
          <cell r="I739" t="str">
            <v>OE INVOICES</v>
          </cell>
          <cell r="J739">
            <v>44421951817</v>
          </cell>
          <cell r="K739">
            <v>44672</v>
          </cell>
          <cell r="L739">
            <v>9</v>
          </cell>
          <cell r="M739" t="str">
            <v>EUR</v>
          </cell>
          <cell r="N739">
            <v>483.32</v>
          </cell>
          <cell r="O739">
            <v>120.83</v>
          </cell>
          <cell r="P739">
            <v>4</v>
          </cell>
          <cell r="Q739">
            <v>4</v>
          </cell>
          <cell r="R739">
            <v>0</v>
          </cell>
        </row>
        <row r="740">
          <cell r="A740" t="str">
            <v>6PWVSPBOB07W5JJR4H</v>
          </cell>
          <cell r="B740" t="str">
            <v>Q1-23</v>
          </cell>
          <cell r="C740" t="str">
            <v>Europe Operations OU</v>
          </cell>
          <cell r="D740">
            <v>2674345</v>
          </cell>
          <cell r="E740" t="str">
            <v>Amazon EU SARL, succursale Italiana</v>
          </cell>
          <cell r="F740" t="str">
            <v>6PWVSPBO</v>
          </cell>
          <cell r="G740" t="str">
            <v>B07W5JJR4H</v>
          </cell>
          <cell r="H740" t="str">
            <v>910-006211</v>
          </cell>
          <cell r="I740" t="str">
            <v>OE INVOICES</v>
          </cell>
          <cell r="J740">
            <v>44421958340</v>
          </cell>
          <cell r="K740">
            <v>44684</v>
          </cell>
          <cell r="L740">
            <v>1</v>
          </cell>
          <cell r="M740" t="str">
            <v>EUR</v>
          </cell>
          <cell r="N740">
            <v>522</v>
          </cell>
          <cell r="O740">
            <v>52.2</v>
          </cell>
          <cell r="P740">
            <v>10</v>
          </cell>
          <cell r="Q740">
            <v>10</v>
          </cell>
          <cell r="R740">
            <v>0</v>
          </cell>
        </row>
        <row r="741">
          <cell r="A741" t="str">
            <v>6VR89N1LB004CM47VU</v>
          </cell>
          <cell r="B741" t="str">
            <v>Q1-23</v>
          </cell>
          <cell r="C741" t="str">
            <v>Europe Operations OU</v>
          </cell>
          <cell r="D741">
            <v>2674345</v>
          </cell>
          <cell r="E741" t="str">
            <v>Amazon EU SARL, succursale Italiana</v>
          </cell>
          <cell r="F741" t="str">
            <v>6VR89N1L</v>
          </cell>
          <cell r="G741" t="str">
            <v>B004CM47VU</v>
          </cell>
          <cell r="H741" t="str">
            <v>920-002543</v>
          </cell>
          <cell r="I741" t="str">
            <v>OE INVOICES</v>
          </cell>
          <cell r="J741">
            <v>44421976094</v>
          </cell>
          <cell r="K741">
            <v>44704</v>
          </cell>
          <cell r="L741">
            <v>1</v>
          </cell>
          <cell r="M741" t="str">
            <v>EUR</v>
          </cell>
          <cell r="N741">
            <v>3952.8</v>
          </cell>
          <cell r="O741">
            <v>14.64</v>
          </cell>
          <cell r="P741">
            <v>270</v>
          </cell>
          <cell r="Q741">
            <v>270</v>
          </cell>
          <cell r="R741">
            <v>0</v>
          </cell>
        </row>
        <row r="742">
          <cell r="A742" t="str">
            <v>6VR89N1LB01C47ZFLK</v>
          </cell>
          <cell r="B742" t="str">
            <v>Q1-23</v>
          </cell>
          <cell r="C742" t="str">
            <v>Europe Operations OU</v>
          </cell>
          <cell r="D742">
            <v>2674345</v>
          </cell>
          <cell r="E742" t="str">
            <v>Amazon EU SARL, succursale Italiana</v>
          </cell>
          <cell r="F742" t="str">
            <v>6VR89N1L</v>
          </cell>
          <cell r="G742" t="str">
            <v>B01C47ZFLK</v>
          </cell>
          <cell r="H742" t="str">
            <v>920-007913</v>
          </cell>
          <cell r="I742" t="str">
            <v>OE INVOICES</v>
          </cell>
          <cell r="J742">
            <v>44421976094</v>
          </cell>
          <cell r="K742">
            <v>44704</v>
          </cell>
          <cell r="L742">
            <v>2</v>
          </cell>
          <cell r="M742" t="str">
            <v>EUR</v>
          </cell>
          <cell r="N742">
            <v>164</v>
          </cell>
          <cell r="O742">
            <v>20.5</v>
          </cell>
          <cell r="P742">
            <v>8</v>
          </cell>
          <cell r="Q742">
            <v>8</v>
          </cell>
          <cell r="R742">
            <v>0</v>
          </cell>
        </row>
        <row r="743">
          <cell r="A743" t="str">
            <v>6VR89N1LB01N6NGNQ8</v>
          </cell>
          <cell r="B743" t="str">
            <v>Q1-23</v>
          </cell>
          <cell r="C743" t="str">
            <v>Europe Operations OU</v>
          </cell>
          <cell r="D743">
            <v>2674345</v>
          </cell>
          <cell r="E743" t="str">
            <v>Amazon EU SARL, succursale Italiana</v>
          </cell>
          <cell r="F743" t="str">
            <v>6VR89N1L</v>
          </cell>
          <cell r="G743" t="str">
            <v>B01N6NGNQ8</v>
          </cell>
          <cell r="H743" t="str">
            <v>920-008227</v>
          </cell>
          <cell r="I743" t="str">
            <v>OE INVOICES</v>
          </cell>
          <cell r="J743">
            <v>44421976094</v>
          </cell>
          <cell r="K743">
            <v>44704</v>
          </cell>
          <cell r="L743">
            <v>3</v>
          </cell>
          <cell r="M743" t="str">
            <v>EUR</v>
          </cell>
          <cell r="N743">
            <v>301.64</v>
          </cell>
          <cell r="O743">
            <v>75.41</v>
          </cell>
          <cell r="P743">
            <v>4</v>
          </cell>
          <cell r="Q743">
            <v>4</v>
          </cell>
          <cell r="R743">
            <v>0</v>
          </cell>
        </row>
        <row r="744">
          <cell r="A744" t="str">
            <v>6VR89N1LB07W5JK4LF</v>
          </cell>
          <cell r="B744" t="str">
            <v>Q1-23</v>
          </cell>
          <cell r="C744" t="str">
            <v>Europe Operations OU</v>
          </cell>
          <cell r="D744">
            <v>2674345</v>
          </cell>
          <cell r="E744" t="str">
            <v>Amazon EU SARL, succursale Italiana</v>
          </cell>
          <cell r="F744" t="str">
            <v>6VR89N1L</v>
          </cell>
          <cell r="G744" t="str">
            <v>B07W5JK4LF</v>
          </cell>
          <cell r="H744" t="str">
            <v>920-009797</v>
          </cell>
          <cell r="I744" t="str">
            <v>OE INVOICES</v>
          </cell>
          <cell r="J744">
            <v>44421976094</v>
          </cell>
          <cell r="K744">
            <v>44704</v>
          </cell>
          <cell r="L744">
            <v>4</v>
          </cell>
          <cell r="M744" t="str">
            <v>EUR</v>
          </cell>
          <cell r="N744">
            <v>121.8</v>
          </cell>
          <cell r="O744">
            <v>20.3</v>
          </cell>
          <cell r="P744">
            <v>6</v>
          </cell>
          <cell r="Q744">
            <v>6</v>
          </cell>
          <cell r="R744">
            <v>0</v>
          </cell>
        </row>
        <row r="745">
          <cell r="A745" t="str">
            <v>6VR89N1LB07W6GVS5C</v>
          </cell>
          <cell r="B745" t="str">
            <v>Q1-23</v>
          </cell>
          <cell r="C745" t="str">
            <v>Europe Operations OU</v>
          </cell>
          <cell r="D745">
            <v>2674345</v>
          </cell>
          <cell r="E745" t="str">
            <v>Amazon EU SARL, succursale Italiana</v>
          </cell>
          <cell r="F745" t="str">
            <v>6VR89N1L</v>
          </cell>
          <cell r="G745" t="str">
            <v>B07W6GVS5C</v>
          </cell>
          <cell r="H745" t="str">
            <v>920-009439</v>
          </cell>
          <cell r="I745" t="str">
            <v>OE INVOICES</v>
          </cell>
          <cell r="J745">
            <v>44421976094</v>
          </cell>
          <cell r="K745">
            <v>44704</v>
          </cell>
          <cell r="L745">
            <v>5</v>
          </cell>
          <cell r="M745" t="str">
            <v>EUR</v>
          </cell>
          <cell r="N745">
            <v>168.8</v>
          </cell>
          <cell r="O745">
            <v>42.2</v>
          </cell>
          <cell r="P745">
            <v>4</v>
          </cell>
          <cell r="Q745">
            <v>4</v>
          </cell>
          <cell r="R745">
            <v>0</v>
          </cell>
        </row>
        <row r="746">
          <cell r="A746" t="str">
            <v>6ZGQP34KB0032W4158</v>
          </cell>
          <cell r="B746" t="str">
            <v>Q1-23</v>
          </cell>
          <cell r="C746" t="str">
            <v>Europe Operations OU</v>
          </cell>
          <cell r="D746">
            <v>2674345</v>
          </cell>
          <cell r="E746" t="str">
            <v>Amazon EU SARL, succursale Italiana</v>
          </cell>
          <cell r="F746" t="str">
            <v>6ZGQP34K</v>
          </cell>
          <cell r="G746" t="str">
            <v>B0032W4158</v>
          </cell>
          <cell r="H746" t="str">
            <v>920-002420</v>
          </cell>
          <cell r="I746" t="str">
            <v>OE INVOICES</v>
          </cell>
          <cell r="J746">
            <v>44421973841</v>
          </cell>
          <cell r="K746">
            <v>44699</v>
          </cell>
          <cell r="L746">
            <v>1</v>
          </cell>
          <cell r="M746" t="str">
            <v>EUR</v>
          </cell>
          <cell r="N746">
            <v>278.44</v>
          </cell>
          <cell r="O746">
            <v>69.61</v>
          </cell>
          <cell r="P746">
            <v>4</v>
          </cell>
          <cell r="Q746">
            <v>4</v>
          </cell>
          <cell r="R746">
            <v>0</v>
          </cell>
        </row>
        <row r="747">
          <cell r="A747" t="str">
            <v>6ZGQP34KB003PAMIA2</v>
          </cell>
          <cell r="B747" t="str">
            <v>Q1-23</v>
          </cell>
          <cell r="C747" t="str">
            <v>Europe Operations OU</v>
          </cell>
          <cell r="D747">
            <v>2674345</v>
          </cell>
          <cell r="E747" t="str">
            <v>Amazon EU SARL, succursale Italiana</v>
          </cell>
          <cell r="F747" t="str">
            <v>6ZGQP34K</v>
          </cell>
          <cell r="G747" t="str">
            <v>B003PAMIA2</v>
          </cell>
          <cell r="H747" t="str">
            <v>920-002489</v>
          </cell>
          <cell r="I747" t="str">
            <v>OE INVOICES</v>
          </cell>
          <cell r="J747">
            <v>44421973841</v>
          </cell>
          <cell r="K747">
            <v>44699</v>
          </cell>
          <cell r="L747">
            <v>2</v>
          </cell>
          <cell r="M747" t="str">
            <v>EUR</v>
          </cell>
          <cell r="N747">
            <v>99.5</v>
          </cell>
          <cell r="O747">
            <v>9.9499999999999993</v>
          </cell>
          <cell r="P747">
            <v>10</v>
          </cell>
          <cell r="Q747">
            <v>10</v>
          </cell>
          <cell r="R747">
            <v>0</v>
          </cell>
        </row>
        <row r="748">
          <cell r="A748" t="str">
            <v>6ZGQP34KB003PO22H2</v>
          </cell>
          <cell r="B748" t="str">
            <v>Q1-23</v>
          </cell>
          <cell r="C748" t="str">
            <v>Europe Operations OU</v>
          </cell>
          <cell r="D748">
            <v>2674345</v>
          </cell>
          <cell r="E748" t="str">
            <v>Amazon EU SARL, succursale Italiana</v>
          </cell>
          <cell r="F748" t="str">
            <v>6ZGQP34K</v>
          </cell>
          <cell r="G748" t="str">
            <v>B003PO22H2</v>
          </cell>
          <cell r="H748" t="str">
            <v>920-002501</v>
          </cell>
          <cell r="I748" t="str">
            <v>OE INVOICES</v>
          </cell>
          <cell r="J748">
            <v>44421973841</v>
          </cell>
          <cell r="K748">
            <v>44699</v>
          </cell>
          <cell r="L748">
            <v>3</v>
          </cell>
          <cell r="M748" t="str">
            <v>EUR</v>
          </cell>
          <cell r="N748">
            <v>99.5</v>
          </cell>
          <cell r="O748">
            <v>9.9499999999999993</v>
          </cell>
          <cell r="P748">
            <v>10</v>
          </cell>
          <cell r="Q748">
            <v>10</v>
          </cell>
          <cell r="R748">
            <v>0</v>
          </cell>
        </row>
        <row r="749">
          <cell r="A749" t="str">
            <v>6ZGQP34KB003UL1RGC</v>
          </cell>
          <cell r="B749" t="str">
            <v>Q1-23</v>
          </cell>
          <cell r="C749" t="str">
            <v>Europe Operations OU</v>
          </cell>
          <cell r="D749">
            <v>2674345</v>
          </cell>
          <cell r="E749" t="str">
            <v>Amazon EU SARL, succursale Italiana</v>
          </cell>
          <cell r="F749" t="str">
            <v>6ZGQP34K</v>
          </cell>
          <cell r="G749" t="str">
            <v>B003UL1RGC</v>
          </cell>
          <cell r="H749" t="str">
            <v>920-002516</v>
          </cell>
          <cell r="I749" t="str">
            <v>OE INVOICES</v>
          </cell>
          <cell r="J749">
            <v>44421973841</v>
          </cell>
          <cell r="K749">
            <v>44699</v>
          </cell>
          <cell r="L749">
            <v>4</v>
          </cell>
          <cell r="M749" t="str">
            <v>EUR</v>
          </cell>
          <cell r="N749">
            <v>328</v>
          </cell>
          <cell r="O749">
            <v>8.1999999999999993</v>
          </cell>
          <cell r="P749">
            <v>40</v>
          </cell>
          <cell r="Q749">
            <v>40</v>
          </cell>
          <cell r="R749">
            <v>0</v>
          </cell>
        </row>
        <row r="750">
          <cell r="A750" t="str">
            <v>6ZGQP34KB003UPJXIC</v>
          </cell>
          <cell r="B750" t="str">
            <v>Q1-23</v>
          </cell>
          <cell r="C750" t="str">
            <v>Europe Operations OU</v>
          </cell>
          <cell r="D750">
            <v>2674345</v>
          </cell>
          <cell r="E750" t="str">
            <v>Amazon EU SARL, succursale Italiana</v>
          </cell>
          <cell r="F750" t="str">
            <v>6ZGQP34K</v>
          </cell>
          <cell r="G750" t="str">
            <v>B003UPJXIC</v>
          </cell>
          <cell r="H750" t="str">
            <v>980-000403</v>
          </cell>
          <cell r="I750" t="str">
            <v>OE INVOICES</v>
          </cell>
          <cell r="J750">
            <v>44421973841</v>
          </cell>
          <cell r="K750">
            <v>44699</v>
          </cell>
          <cell r="L750">
            <v>5</v>
          </cell>
          <cell r="M750" t="str">
            <v>EUR</v>
          </cell>
          <cell r="N750">
            <v>2077.92</v>
          </cell>
          <cell r="O750">
            <v>115.44</v>
          </cell>
          <cell r="P750">
            <v>18</v>
          </cell>
          <cell r="Q750">
            <v>18</v>
          </cell>
          <cell r="R750">
            <v>0</v>
          </cell>
        </row>
        <row r="751">
          <cell r="A751" t="str">
            <v>6ZGQP34KB003V4A5VG</v>
          </cell>
          <cell r="B751" t="str">
            <v>Q1-23</v>
          </cell>
          <cell r="C751" t="str">
            <v>Europe Operations OU</v>
          </cell>
          <cell r="D751">
            <v>2674345</v>
          </cell>
          <cell r="E751" t="str">
            <v>Amazon EU SARL, succursale Italiana</v>
          </cell>
          <cell r="F751" t="str">
            <v>6ZGQP34K</v>
          </cell>
          <cell r="G751" t="str">
            <v>B003V4A5VG</v>
          </cell>
          <cell r="H751" t="str">
            <v>920-002488</v>
          </cell>
          <cell r="I751" t="str">
            <v>OE INVOICES</v>
          </cell>
          <cell r="J751">
            <v>44421973841</v>
          </cell>
          <cell r="K751">
            <v>44699</v>
          </cell>
          <cell r="L751">
            <v>6</v>
          </cell>
          <cell r="M751" t="str">
            <v>EUR</v>
          </cell>
          <cell r="N751">
            <v>99.5</v>
          </cell>
          <cell r="O751">
            <v>9.9499999999999993</v>
          </cell>
          <cell r="P751">
            <v>10</v>
          </cell>
          <cell r="Q751">
            <v>10</v>
          </cell>
          <cell r="R751">
            <v>0</v>
          </cell>
        </row>
        <row r="752">
          <cell r="A752" t="str">
            <v>6ZGQP34KB004CM47VU</v>
          </cell>
          <cell r="B752" t="str">
            <v>Q1-23</v>
          </cell>
          <cell r="C752" t="str">
            <v>Europe Operations OU</v>
          </cell>
          <cell r="D752">
            <v>2674345</v>
          </cell>
          <cell r="E752" t="str">
            <v>Amazon EU SARL, succursale Italiana</v>
          </cell>
          <cell r="F752" t="str">
            <v>6ZGQP34K</v>
          </cell>
          <cell r="G752" t="str">
            <v>B004CM47VU</v>
          </cell>
          <cell r="H752" t="str">
            <v>920-002543</v>
          </cell>
          <cell r="I752" t="str">
            <v>OE INVOICES</v>
          </cell>
          <cell r="J752">
            <v>44421973841</v>
          </cell>
          <cell r="K752">
            <v>44699</v>
          </cell>
          <cell r="L752">
            <v>7</v>
          </cell>
          <cell r="M752" t="str">
            <v>EUR</v>
          </cell>
          <cell r="N752">
            <v>146.4</v>
          </cell>
          <cell r="O752">
            <v>14.64</v>
          </cell>
          <cell r="P752">
            <v>10</v>
          </cell>
          <cell r="Q752">
            <v>10</v>
          </cell>
          <cell r="R752">
            <v>0</v>
          </cell>
        </row>
        <row r="753">
          <cell r="A753" t="str">
            <v>6ZGQP34KB004MY4PU6</v>
          </cell>
          <cell r="B753" t="str">
            <v>Q1-23</v>
          </cell>
          <cell r="C753" t="str">
            <v>Europe Operations OU</v>
          </cell>
          <cell r="D753">
            <v>2674345</v>
          </cell>
          <cell r="E753" t="str">
            <v>Amazon EU SARL, succursale Italiana</v>
          </cell>
          <cell r="F753" t="str">
            <v>6ZGQP34K</v>
          </cell>
          <cell r="G753" t="str">
            <v>B004MY4PU6</v>
          </cell>
          <cell r="H753" t="str">
            <v>980-000469</v>
          </cell>
          <cell r="I753" t="str">
            <v>OE INVOICES</v>
          </cell>
          <cell r="J753">
            <v>44421973841</v>
          </cell>
          <cell r="K753">
            <v>44699</v>
          </cell>
          <cell r="L753">
            <v>8</v>
          </cell>
          <cell r="M753" t="str">
            <v>EUR</v>
          </cell>
          <cell r="N753">
            <v>1851.76</v>
          </cell>
          <cell r="O753">
            <v>231.47</v>
          </cell>
          <cell r="P753">
            <v>8</v>
          </cell>
          <cell r="Q753">
            <v>8</v>
          </cell>
          <cell r="R753">
            <v>0</v>
          </cell>
        </row>
        <row r="754">
          <cell r="A754" t="str">
            <v>6ZGQP34KB0056C69DO</v>
          </cell>
          <cell r="B754" t="str">
            <v>Q1-23</v>
          </cell>
          <cell r="C754" t="str">
            <v>Europe Operations OU</v>
          </cell>
          <cell r="D754">
            <v>2674345</v>
          </cell>
          <cell r="E754" t="str">
            <v>Amazon EU SARL, succursale Italiana</v>
          </cell>
          <cell r="F754" t="str">
            <v>6ZGQP34K</v>
          </cell>
          <cell r="G754" t="str">
            <v>B0056C69DO</v>
          </cell>
          <cell r="H754" t="str">
            <v>920-002517</v>
          </cell>
          <cell r="I754" t="str">
            <v>OE INVOICES</v>
          </cell>
          <cell r="J754">
            <v>44421973841</v>
          </cell>
          <cell r="K754">
            <v>44699</v>
          </cell>
          <cell r="L754">
            <v>9</v>
          </cell>
          <cell r="M754" t="str">
            <v>EUR</v>
          </cell>
          <cell r="N754">
            <v>2214</v>
          </cell>
          <cell r="O754">
            <v>8.1999999999999993</v>
          </cell>
          <cell r="P754">
            <v>270</v>
          </cell>
          <cell r="Q754">
            <v>270</v>
          </cell>
          <cell r="R754">
            <v>0</v>
          </cell>
        </row>
        <row r="755">
          <cell r="A755" t="str">
            <v>6ZGQP34KB0056C7W1C</v>
          </cell>
          <cell r="B755" t="str">
            <v>Q1-23</v>
          </cell>
          <cell r="C755" t="str">
            <v>Europe Operations OU</v>
          </cell>
          <cell r="D755">
            <v>2674345</v>
          </cell>
          <cell r="E755" t="str">
            <v>Amazon EU SARL, succursale Italiana</v>
          </cell>
          <cell r="F755" t="str">
            <v>6ZGQP34K</v>
          </cell>
          <cell r="G755" t="str">
            <v>B0056C7W1C</v>
          </cell>
          <cell r="H755" t="str">
            <v>920-002499</v>
          </cell>
          <cell r="I755" t="str">
            <v>OE INVOICES</v>
          </cell>
          <cell r="J755">
            <v>44421973841</v>
          </cell>
          <cell r="K755">
            <v>44699</v>
          </cell>
          <cell r="L755">
            <v>10</v>
          </cell>
          <cell r="M755" t="str">
            <v>EUR</v>
          </cell>
          <cell r="N755">
            <v>99.5</v>
          </cell>
          <cell r="O755">
            <v>9.9499999999999993</v>
          </cell>
          <cell r="P755">
            <v>10</v>
          </cell>
          <cell r="Q755">
            <v>10</v>
          </cell>
          <cell r="R755">
            <v>0</v>
          </cell>
        </row>
        <row r="756">
          <cell r="A756" t="str">
            <v>6ZGQP34KB007C0YQLA</v>
          </cell>
          <cell r="B756" t="str">
            <v>Q1-23</v>
          </cell>
          <cell r="C756" t="str">
            <v>Europe Operations OU</v>
          </cell>
          <cell r="D756">
            <v>2674345</v>
          </cell>
          <cell r="E756" t="str">
            <v>Amazon EU SARL, succursale Italiana</v>
          </cell>
          <cell r="F756" t="str">
            <v>6ZGQP34K</v>
          </cell>
          <cell r="G756" t="str">
            <v>B007C0YQLA</v>
          </cell>
          <cell r="H756" t="str">
            <v>920-002563</v>
          </cell>
          <cell r="I756" t="str">
            <v>OE INVOICES</v>
          </cell>
          <cell r="J756">
            <v>44421973841</v>
          </cell>
          <cell r="K756">
            <v>44699</v>
          </cell>
          <cell r="L756">
            <v>11</v>
          </cell>
          <cell r="M756" t="str">
            <v>EUR</v>
          </cell>
          <cell r="N756">
            <v>292.8</v>
          </cell>
          <cell r="O756">
            <v>14.64</v>
          </cell>
          <cell r="P756">
            <v>20</v>
          </cell>
          <cell r="Q756">
            <v>20</v>
          </cell>
          <cell r="R756">
            <v>0</v>
          </cell>
        </row>
        <row r="757">
          <cell r="A757" t="str">
            <v>6ZGQP34KB00BEFY1W8</v>
          </cell>
          <cell r="B757" t="str">
            <v>Q1-23</v>
          </cell>
          <cell r="C757" t="str">
            <v>Europe Operations OU</v>
          </cell>
          <cell r="D757">
            <v>2674345</v>
          </cell>
          <cell r="E757" t="str">
            <v>Amazon EU SARL, succursale Italiana</v>
          </cell>
          <cell r="F757" t="str">
            <v>6ZGQP34K</v>
          </cell>
          <cell r="G757" t="str">
            <v>B00BEFY1W8</v>
          </cell>
          <cell r="H757" t="str">
            <v>920-004509</v>
          </cell>
          <cell r="I757" t="str">
            <v>OE INVOICES</v>
          </cell>
          <cell r="J757">
            <v>44421973841</v>
          </cell>
          <cell r="K757">
            <v>44699</v>
          </cell>
          <cell r="L757">
            <v>12</v>
          </cell>
          <cell r="M757" t="str">
            <v>EUR</v>
          </cell>
          <cell r="N757">
            <v>843.12</v>
          </cell>
          <cell r="O757">
            <v>23.42</v>
          </cell>
          <cell r="P757">
            <v>36</v>
          </cell>
          <cell r="Q757">
            <v>36</v>
          </cell>
          <cell r="R757">
            <v>0</v>
          </cell>
        </row>
        <row r="758">
          <cell r="A758" t="str">
            <v>6ZGQP34KB00YR92VMA</v>
          </cell>
          <cell r="B758" t="str">
            <v>Q1-23</v>
          </cell>
          <cell r="C758" t="str">
            <v>Europe Operations OU</v>
          </cell>
          <cell r="D758">
            <v>2674345</v>
          </cell>
          <cell r="E758" t="str">
            <v>Amazon EU SARL, succursale Italiana</v>
          </cell>
          <cell r="F758" t="str">
            <v>6ZGQP34K</v>
          </cell>
          <cell r="G758" t="str">
            <v>B00YR92VMA</v>
          </cell>
          <cell r="H758" t="str">
            <v>980-001201</v>
          </cell>
          <cell r="I758" t="str">
            <v>OE INVOICES</v>
          </cell>
          <cell r="J758">
            <v>44421973841</v>
          </cell>
          <cell r="K758">
            <v>44699</v>
          </cell>
          <cell r="L758">
            <v>13</v>
          </cell>
          <cell r="M758" t="str">
            <v>EUR</v>
          </cell>
          <cell r="N758">
            <v>187.4</v>
          </cell>
          <cell r="O758">
            <v>46.85</v>
          </cell>
          <cell r="P758">
            <v>4</v>
          </cell>
          <cell r="Q758">
            <v>4</v>
          </cell>
          <cell r="R758">
            <v>0</v>
          </cell>
        </row>
        <row r="759">
          <cell r="A759" t="str">
            <v>6ZGQP34KB011N78DMA</v>
          </cell>
          <cell r="B759" t="str">
            <v>Q1-23</v>
          </cell>
          <cell r="C759" t="str">
            <v>Europe Operations OU</v>
          </cell>
          <cell r="D759">
            <v>2674345</v>
          </cell>
          <cell r="E759" t="str">
            <v>Amazon EU SARL, succursale Italiana</v>
          </cell>
          <cell r="F759" t="str">
            <v>6ZGQP34K</v>
          </cell>
          <cell r="G759" t="str">
            <v>B011N78DMA</v>
          </cell>
          <cell r="H759" t="str">
            <v>941-000123</v>
          </cell>
          <cell r="I759" t="str">
            <v>OE INVOICES</v>
          </cell>
          <cell r="J759">
            <v>44421973841</v>
          </cell>
          <cell r="K759">
            <v>44699</v>
          </cell>
          <cell r="L759">
            <v>14</v>
          </cell>
          <cell r="M759" t="str">
            <v>EUR</v>
          </cell>
          <cell r="N759">
            <v>5684.04</v>
          </cell>
          <cell r="O759">
            <v>210.52</v>
          </cell>
          <cell r="P759">
            <v>27</v>
          </cell>
          <cell r="Q759">
            <v>27</v>
          </cell>
          <cell r="R759">
            <v>0</v>
          </cell>
        </row>
        <row r="760">
          <cell r="A760" t="str">
            <v>6ZGQP34KB01C47ZFLK</v>
          </cell>
          <cell r="B760" t="str">
            <v>Q1-23</v>
          </cell>
          <cell r="C760" t="str">
            <v>Europe Operations OU</v>
          </cell>
          <cell r="D760">
            <v>2674345</v>
          </cell>
          <cell r="E760" t="str">
            <v>Amazon EU SARL, succursale Italiana</v>
          </cell>
          <cell r="F760" t="str">
            <v>6ZGQP34K</v>
          </cell>
          <cell r="G760" t="str">
            <v>B01C47ZFLK</v>
          </cell>
          <cell r="H760" t="str">
            <v>920-007913</v>
          </cell>
          <cell r="I760" t="str">
            <v>OE INVOICES</v>
          </cell>
          <cell r="J760">
            <v>44421973841</v>
          </cell>
          <cell r="K760">
            <v>44699</v>
          </cell>
          <cell r="L760">
            <v>15</v>
          </cell>
          <cell r="M760" t="str">
            <v>EUR</v>
          </cell>
          <cell r="N760">
            <v>984</v>
          </cell>
          <cell r="O760">
            <v>20.5</v>
          </cell>
          <cell r="P760">
            <v>48</v>
          </cell>
          <cell r="Q760">
            <v>48</v>
          </cell>
          <cell r="R760">
            <v>0</v>
          </cell>
        </row>
        <row r="761">
          <cell r="A761" t="str">
            <v>6ZGQP34KB01C4HCSOC</v>
          </cell>
          <cell r="B761" t="str">
            <v>Q1-23</v>
          </cell>
          <cell r="C761" t="str">
            <v>Europe Operations OU</v>
          </cell>
          <cell r="D761">
            <v>2674345</v>
          </cell>
          <cell r="E761" t="str">
            <v>Amazon EU SARL, succursale Italiana</v>
          </cell>
          <cell r="F761" t="str">
            <v>6ZGQP34K</v>
          </cell>
          <cell r="G761" t="str">
            <v>B01C4HCSOC</v>
          </cell>
          <cell r="H761" t="str">
            <v>920-007907</v>
          </cell>
          <cell r="I761" t="str">
            <v>OE INVOICES</v>
          </cell>
          <cell r="J761">
            <v>44421973841</v>
          </cell>
          <cell r="K761">
            <v>44699</v>
          </cell>
          <cell r="L761">
            <v>16</v>
          </cell>
          <cell r="M761" t="str">
            <v>EUR</v>
          </cell>
          <cell r="N761">
            <v>1148</v>
          </cell>
          <cell r="O761">
            <v>20.5</v>
          </cell>
          <cell r="P761">
            <v>56</v>
          </cell>
          <cell r="Q761">
            <v>56</v>
          </cell>
          <cell r="R761">
            <v>0</v>
          </cell>
        </row>
        <row r="762">
          <cell r="A762" t="str">
            <v>6ZGQP34KB01ENKI4D2</v>
          </cell>
          <cell r="B762" t="str">
            <v>Q1-23</v>
          </cell>
          <cell r="C762" t="str">
            <v>Europe Operations OU</v>
          </cell>
          <cell r="D762">
            <v>2674345</v>
          </cell>
          <cell r="E762" t="str">
            <v>Amazon EU SARL, succursale Italiana</v>
          </cell>
          <cell r="F762" t="str">
            <v>6ZGQP34K</v>
          </cell>
          <cell r="G762" t="str">
            <v>B01ENKI4D2</v>
          </cell>
          <cell r="H762" t="str">
            <v>920-008159</v>
          </cell>
          <cell r="I762" t="str">
            <v>OE INVOICES</v>
          </cell>
          <cell r="J762">
            <v>44421973841</v>
          </cell>
          <cell r="K762">
            <v>44699</v>
          </cell>
          <cell r="L762">
            <v>17</v>
          </cell>
          <cell r="M762" t="str">
            <v>EUR</v>
          </cell>
          <cell r="N762">
            <v>175.6</v>
          </cell>
          <cell r="O762">
            <v>17.559999999999999</v>
          </cell>
          <cell r="P762">
            <v>10</v>
          </cell>
          <cell r="Q762">
            <v>10</v>
          </cell>
          <cell r="R762">
            <v>0</v>
          </cell>
        </row>
        <row r="763">
          <cell r="A763" t="str">
            <v>6ZGQP34KB01I252A34</v>
          </cell>
          <cell r="B763" t="str">
            <v>Q1-23</v>
          </cell>
          <cell r="C763" t="str">
            <v>Europe Operations OU</v>
          </cell>
          <cell r="D763">
            <v>2674345</v>
          </cell>
          <cell r="E763" t="str">
            <v>Amazon EU SARL, succursale Italiana</v>
          </cell>
          <cell r="F763" t="str">
            <v>6ZGQP34K</v>
          </cell>
          <cell r="G763" t="str">
            <v>B01I252A34</v>
          </cell>
          <cell r="H763" t="str">
            <v>920-005214</v>
          </cell>
          <cell r="I763" t="str">
            <v>OE INVOICES</v>
          </cell>
          <cell r="J763">
            <v>44421973841</v>
          </cell>
          <cell r="K763">
            <v>44699</v>
          </cell>
          <cell r="L763">
            <v>18</v>
          </cell>
          <cell r="M763" t="str">
            <v>EUR</v>
          </cell>
          <cell r="N763">
            <v>146.4</v>
          </cell>
          <cell r="O763">
            <v>14.64</v>
          </cell>
          <cell r="P763">
            <v>10</v>
          </cell>
          <cell r="Q763">
            <v>10</v>
          </cell>
          <cell r="R763">
            <v>0</v>
          </cell>
        </row>
        <row r="764">
          <cell r="A764" t="str">
            <v>6ZGQP34KB01L6L45ES</v>
          </cell>
          <cell r="B764" t="str">
            <v>Q1-23</v>
          </cell>
          <cell r="C764" t="str">
            <v>Europe Operations OU</v>
          </cell>
          <cell r="D764">
            <v>2674345</v>
          </cell>
          <cell r="E764" t="str">
            <v>Amazon EU SARL, succursale Italiana</v>
          </cell>
          <cell r="F764" t="str">
            <v>6ZGQP34K</v>
          </cell>
          <cell r="G764" t="str">
            <v>B01L6L45ES</v>
          </cell>
          <cell r="H764" t="str">
            <v>920-008088</v>
          </cell>
          <cell r="I764" t="str">
            <v>OE INVOICES</v>
          </cell>
          <cell r="J764">
            <v>44421973841</v>
          </cell>
          <cell r="K764">
            <v>44699</v>
          </cell>
          <cell r="L764">
            <v>19</v>
          </cell>
          <cell r="M764" t="str">
            <v>EUR</v>
          </cell>
          <cell r="N764">
            <v>168.8</v>
          </cell>
          <cell r="O764">
            <v>42.2</v>
          </cell>
          <cell r="P764">
            <v>4</v>
          </cell>
          <cell r="Q764">
            <v>4</v>
          </cell>
          <cell r="R764">
            <v>0</v>
          </cell>
        </row>
        <row r="765">
          <cell r="A765" t="str">
            <v>6ZGQP34KB01MT5WMMG</v>
          </cell>
          <cell r="B765" t="str">
            <v>Q1-23</v>
          </cell>
          <cell r="C765" t="str">
            <v>Europe Operations OU</v>
          </cell>
          <cell r="D765">
            <v>2674345</v>
          </cell>
          <cell r="E765" t="str">
            <v>Amazon EU SARL, succursale Italiana</v>
          </cell>
          <cell r="F765" t="str">
            <v>6ZGQP34K</v>
          </cell>
          <cell r="G765" t="str">
            <v>B01MT5WMMG</v>
          </cell>
          <cell r="H765" t="str">
            <v>920-008221</v>
          </cell>
          <cell r="I765" t="str">
            <v>OE INVOICES</v>
          </cell>
          <cell r="J765">
            <v>44421973841</v>
          </cell>
          <cell r="K765">
            <v>44699</v>
          </cell>
          <cell r="L765">
            <v>20</v>
          </cell>
          <cell r="M765" t="str">
            <v>EUR</v>
          </cell>
          <cell r="N765">
            <v>301.64</v>
          </cell>
          <cell r="O765">
            <v>75.41</v>
          </cell>
          <cell r="P765">
            <v>4</v>
          </cell>
          <cell r="Q765">
            <v>4</v>
          </cell>
          <cell r="R765">
            <v>0</v>
          </cell>
        </row>
        <row r="766">
          <cell r="A766" t="str">
            <v>6ZGQP34KB071KBDVV5</v>
          </cell>
          <cell r="B766" t="str">
            <v>Q1-23</v>
          </cell>
          <cell r="C766" t="str">
            <v>Europe Operations OU</v>
          </cell>
          <cell r="D766">
            <v>2674345</v>
          </cell>
          <cell r="E766" t="str">
            <v>Amazon EU SARL, succursale Italiana</v>
          </cell>
          <cell r="F766" t="str">
            <v>6ZGQP34K</v>
          </cell>
          <cell r="G766" t="str">
            <v>B071KBDVV5</v>
          </cell>
          <cell r="H766" t="str">
            <v>960-001102</v>
          </cell>
          <cell r="I766" t="str">
            <v>OE INVOICES</v>
          </cell>
          <cell r="J766">
            <v>44421973841</v>
          </cell>
          <cell r="K766">
            <v>44699</v>
          </cell>
          <cell r="L766">
            <v>21</v>
          </cell>
          <cell r="M766" t="str">
            <v>EUR</v>
          </cell>
          <cell r="N766">
            <v>16118.74</v>
          </cell>
          <cell r="O766">
            <v>732.67</v>
          </cell>
          <cell r="P766">
            <v>22</v>
          </cell>
          <cell r="Q766">
            <v>22</v>
          </cell>
          <cell r="R766">
            <v>0</v>
          </cell>
        </row>
        <row r="767">
          <cell r="A767" t="str">
            <v>6ZGQP34KB07VTTBDSV</v>
          </cell>
          <cell r="B767" t="str">
            <v>Q1-23</v>
          </cell>
          <cell r="C767" t="str">
            <v>Europe Operations OU</v>
          </cell>
          <cell r="D767">
            <v>2674345</v>
          </cell>
          <cell r="E767" t="str">
            <v>Amazon EU SARL, succursale Italiana</v>
          </cell>
          <cell r="F767" t="str">
            <v>6ZGQP34K</v>
          </cell>
          <cell r="G767" t="str">
            <v>B07VTTBDSV</v>
          </cell>
          <cell r="H767" t="str">
            <v>920-008962</v>
          </cell>
          <cell r="I767" t="str">
            <v>OE INVOICES</v>
          </cell>
          <cell r="J767">
            <v>44421973841</v>
          </cell>
          <cell r="K767">
            <v>44699</v>
          </cell>
          <cell r="L767">
            <v>22</v>
          </cell>
          <cell r="M767" t="str">
            <v>EUR</v>
          </cell>
          <cell r="N767">
            <v>525.52</v>
          </cell>
          <cell r="O767">
            <v>131.38</v>
          </cell>
          <cell r="P767">
            <v>4</v>
          </cell>
          <cell r="Q767">
            <v>4</v>
          </cell>
          <cell r="R767">
            <v>0</v>
          </cell>
        </row>
        <row r="768">
          <cell r="A768" t="str">
            <v>6ZGQP34KB07W5JJP7D</v>
          </cell>
          <cell r="B768" t="str">
            <v>Q1-23</v>
          </cell>
          <cell r="C768" t="str">
            <v>Europe Operations OU</v>
          </cell>
          <cell r="D768">
            <v>2674345</v>
          </cell>
          <cell r="E768" t="str">
            <v>Amazon EU SARL, succursale Italiana</v>
          </cell>
          <cell r="F768" t="str">
            <v>6ZGQP34K</v>
          </cell>
          <cell r="G768" t="str">
            <v>B07W5JJP7D</v>
          </cell>
          <cell r="H768" t="str">
            <v>920-009343</v>
          </cell>
          <cell r="I768" t="str">
            <v>OE INVOICES</v>
          </cell>
          <cell r="J768">
            <v>44421973841</v>
          </cell>
          <cell r="K768">
            <v>44699</v>
          </cell>
          <cell r="L768">
            <v>23</v>
          </cell>
          <cell r="M768" t="str">
            <v>EUR</v>
          </cell>
          <cell r="N768">
            <v>251.16</v>
          </cell>
          <cell r="O768">
            <v>62.79</v>
          </cell>
          <cell r="P768">
            <v>4</v>
          </cell>
          <cell r="Q768">
            <v>4</v>
          </cell>
          <cell r="R768">
            <v>0</v>
          </cell>
        </row>
        <row r="769">
          <cell r="A769" t="str">
            <v>6ZGQP34KB07W5JK4LF</v>
          </cell>
          <cell r="B769" t="str">
            <v>Q1-23</v>
          </cell>
          <cell r="C769" t="str">
            <v>Europe Operations OU</v>
          </cell>
          <cell r="D769">
            <v>2674345</v>
          </cell>
          <cell r="E769" t="str">
            <v>Amazon EU SARL, succursale Italiana</v>
          </cell>
          <cell r="F769" t="str">
            <v>6ZGQP34K</v>
          </cell>
          <cell r="G769" t="str">
            <v>B07W5JK4LF</v>
          </cell>
          <cell r="H769" t="str">
            <v>920-009797</v>
          </cell>
          <cell r="I769" t="str">
            <v>OE INVOICES</v>
          </cell>
          <cell r="J769">
            <v>44421973841</v>
          </cell>
          <cell r="K769">
            <v>44699</v>
          </cell>
          <cell r="L769">
            <v>24</v>
          </cell>
          <cell r="M769" t="str">
            <v>EUR</v>
          </cell>
          <cell r="N769">
            <v>4628.3999999999996</v>
          </cell>
          <cell r="O769">
            <v>20.3</v>
          </cell>
          <cell r="P769">
            <v>228</v>
          </cell>
          <cell r="Q769">
            <v>228</v>
          </cell>
          <cell r="R769">
            <v>0</v>
          </cell>
        </row>
        <row r="770">
          <cell r="A770" t="str">
            <v>6ZGQP34KB07W6GVS5C</v>
          </cell>
          <cell r="B770" t="str">
            <v>Q1-23</v>
          </cell>
          <cell r="C770" t="str">
            <v>Europe Operations OU</v>
          </cell>
          <cell r="D770">
            <v>2674345</v>
          </cell>
          <cell r="E770" t="str">
            <v>Amazon EU SARL, succursale Italiana</v>
          </cell>
          <cell r="F770" t="str">
            <v>6ZGQP34K</v>
          </cell>
          <cell r="G770" t="str">
            <v>B07W6GVS5C</v>
          </cell>
          <cell r="H770" t="str">
            <v>920-009439</v>
          </cell>
          <cell r="I770" t="str">
            <v>OE INVOICES</v>
          </cell>
          <cell r="J770">
            <v>44421973841</v>
          </cell>
          <cell r="K770">
            <v>44699</v>
          </cell>
          <cell r="L770">
            <v>25</v>
          </cell>
          <cell r="M770" t="str">
            <v>EUR</v>
          </cell>
          <cell r="N770">
            <v>1012.8</v>
          </cell>
          <cell r="O770">
            <v>42.2</v>
          </cell>
          <cell r="P770">
            <v>24</v>
          </cell>
          <cell r="Q770">
            <v>24</v>
          </cell>
          <cell r="R770">
            <v>0</v>
          </cell>
        </row>
        <row r="771">
          <cell r="A771" t="str">
            <v>6ZGQP34KB07W7KJC28</v>
          </cell>
          <cell r="B771" t="str">
            <v>Q1-23</v>
          </cell>
          <cell r="C771" t="str">
            <v>Europe Operations OU</v>
          </cell>
          <cell r="D771">
            <v>2674345</v>
          </cell>
          <cell r="E771" t="str">
            <v>Amazon EU SARL, succursale Italiana</v>
          </cell>
          <cell r="F771" t="str">
            <v>6ZGQP34K</v>
          </cell>
          <cell r="G771" t="str">
            <v>B07W7KJC28</v>
          </cell>
          <cell r="H771" t="str">
            <v>920-009821</v>
          </cell>
          <cell r="I771" t="str">
            <v>OE INVOICES</v>
          </cell>
          <cell r="J771">
            <v>44421973841</v>
          </cell>
          <cell r="K771">
            <v>44699</v>
          </cell>
          <cell r="L771">
            <v>26</v>
          </cell>
          <cell r="M771" t="str">
            <v>EUR</v>
          </cell>
          <cell r="N771">
            <v>852.6</v>
          </cell>
          <cell r="O771">
            <v>20.3</v>
          </cell>
          <cell r="P771">
            <v>42</v>
          </cell>
          <cell r="Q771">
            <v>42</v>
          </cell>
          <cell r="R771">
            <v>0</v>
          </cell>
        </row>
        <row r="772">
          <cell r="A772" t="str">
            <v>7M2QCA5KB00AZKNPZC</v>
          </cell>
          <cell r="B772" t="str">
            <v>Q1-23</v>
          </cell>
          <cell r="C772" t="str">
            <v>Europe Operations OU</v>
          </cell>
          <cell r="D772">
            <v>2674345</v>
          </cell>
          <cell r="E772" t="str">
            <v>Amazon EU SARL, succursale Italiana</v>
          </cell>
          <cell r="F772" t="str">
            <v>7M2QCA5K</v>
          </cell>
          <cell r="G772" t="str">
            <v>B00AZKNPZC</v>
          </cell>
          <cell r="H772" t="str">
            <v>910-003357</v>
          </cell>
          <cell r="I772" t="str">
            <v>OE INVOICES</v>
          </cell>
          <cell r="J772">
            <v>44421973664</v>
          </cell>
          <cell r="K772">
            <v>44699</v>
          </cell>
          <cell r="L772">
            <v>1</v>
          </cell>
          <cell r="M772" t="str">
            <v>EUR</v>
          </cell>
          <cell r="N772">
            <v>1262.4000000000001</v>
          </cell>
          <cell r="O772">
            <v>5.26</v>
          </cell>
          <cell r="P772">
            <v>240</v>
          </cell>
          <cell r="Q772">
            <v>240</v>
          </cell>
          <cell r="R772">
            <v>0</v>
          </cell>
        </row>
        <row r="773">
          <cell r="A773" t="str">
            <v>7M2QCA5KB07H3HGS9R</v>
          </cell>
          <cell r="B773" t="str">
            <v>Q1-23</v>
          </cell>
          <cell r="C773" t="str">
            <v>Europe Operations OU</v>
          </cell>
          <cell r="D773">
            <v>2674345</v>
          </cell>
          <cell r="E773" t="str">
            <v>Amazon EU SARL, succursale Italiana</v>
          </cell>
          <cell r="F773" t="str">
            <v>7M2QCA5K</v>
          </cell>
          <cell r="G773" t="str">
            <v>B07H3HGS9R</v>
          </cell>
          <cell r="H773" t="str">
            <v>910-005508</v>
          </cell>
          <cell r="I773" t="str">
            <v>OE INVOICES</v>
          </cell>
          <cell r="J773">
            <v>44421973664</v>
          </cell>
          <cell r="K773">
            <v>44699</v>
          </cell>
          <cell r="L773">
            <v>2</v>
          </cell>
          <cell r="M773" t="str">
            <v>EUR</v>
          </cell>
          <cell r="N773">
            <v>585</v>
          </cell>
          <cell r="O773">
            <v>5.85</v>
          </cell>
          <cell r="P773">
            <v>100</v>
          </cell>
          <cell r="Q773">
            <v>100</v>
          </cell>
          <cell r="R773">
            <v>0</v>
          </cell>
        </row>
        <row r="774">
          <cell r="A774" t="str">
            <v>7OH7IQXHB00AZKNPZC</v>
          </cell>
          <cell r="B774" t="str">
            <v>Q1-23</v>
          </cell>
          <cell r="C774" t="str">
            <v>Europe Operations OU</v>
          </cell>
          <cell r="D774">
            <v>2674345</v>
          </cell>
          <cell r="E774" t="str">
            <v>Amazon EU SARL, succursale Italiana</v>
          </cell>
          <cell r="F774" t="str">
            <v>7OH7IQXH</v>
          </cell>
          <cell r="G774" t="str">
            <v>B00AZKNPZC</v>
          </cell>
          <cell r="H774" t="str">
            <v>910-003357</v>
          </cell>
          <cell r="I774" t="str">
            <v>OE INVOICES</v>
          </cell>
          <cell r="J774">
            <v>44421963432</v>
          </cell>
          <cell r="K774">
            <v>44691</v>
          </cell>
          <cell r="L774">
            <v>1</v>
          </cell>
          <cell r="M774" t="str">
            <v>EUR</v>
          </cell>
          <cell r="N774">
            <v>1262.4000000000001</v>
          </cell>
          <cell r="O774">
            <v>5.26</v>
          </cell>
          <cell r="P774">
            <v>240</v>
          </cell>
          <cell r="Q774">
            <v>240</v>
          </cell>
          <cell r="R774">
            <v>0</v>
          </cell>
        </row>
        <row r="775">
          <cell r="A775" t="str">
            <v>7PFJO9VPB00Y0G2L9I</v>
          </cell>
          <cell r="B775" t="str">
            <v>Q1-23</v>
          </cell>
          <cell r="C775" t="str">
            <v>Europe Operations OU</v>
          </cell>
          <cell r="D775">
            <v>2674345</v>
          </cell>
          <cell r="E775" t="str">
            <v>Amazon EU SARL, succursale Italiana</v>
          </cell>
          <cell r="F775" t="str">
            <v>7PFJO9VP</v>
          </cell>
          <cell r="G775" t="str">
            <v>B00Y0G2L9I</v>
          </cell>
          <cell r="H775" t="str">
            <v>920-007135</v>
          </cell>
          <cell r="I775" t="str">
            <v>OE INVOICES</v>
          </cell>
          <cell r="J775">
            <v>44421961192</v>
          </cell>
          <cell r="K775">
            <v>44687</v>
          </cell>
          <cell r="L775">
            <v>1</v>
          </cell>
          <cell r="M775" t="str">
            <v>EUR</v>
          </cell>
          <cell r="N775">
            <v>8784</v>
          </cell>
          <cell r="O775">
            <v>29.28</v>
          </cell>
          <cell r="P775">
            <v>300</v>
          </cell>
          <cell r="Q775">
            <v>300</v>
          </cell>
          <cell r="R775">
            <v>0</v>
          </cell>
        </row>
        <row r="776">
          <cell r="A776" t="str">
            <v>7PFJO9VPB00YUIM2J0</v>
          </cell>
          <cell r="B776" t="str">
            <v>Q1-23</v>
          </cell>
          <cell r="C776" t="str">
            <v>Europe Operations OU</v>
          </cell>
          <cell r="D776">
            <v>2674345</v>
          </cell>
          <cell r="E776" t="str">
            <v>Amazon EU SARL, succursale Italiana</v>
          </cell>
          <cell r="F776" t="str">
            <v>7PFJO9VP</v>
          </cell>
          <cell r="G776" t="str">
            <v>B00YUIM2J0</v>
          </cell>
          <cell r="H776" t="str">
            <v>941-000112</v>
          </cell>
          <cell r="I776" t="str">
            <v>OE INVOICES</v>
          </cell>
          <cell r="J776">
            <v>44421961192</v>
          </cell>
          <cell r="K776">
            <v>44687</v>
          </cell>
          <cell r="L776">
            <v>2</v>
          </cell>
          <cell r="M776" t="str">
            <v>EUR</v>
          </cell>
          <cell r="N776">
            <v>54945.72</v>
          </cell>
          <cell r="O776">
            <v>210.52</v>
          </cell>
          <cell r="P776">
            <v>261</v>
          </cell>
          <cell r="Q776">
            <v>261</v>
          </cell>
          <cell r="R776">
            <v>0</v>
          </cell>
        </row>
        <row r="777">
          <cell r="A777" t="str">
            <v>7PFJO9VPB011N78DMA</v>
          </cell>
          <cell r="B777" t="str">
            <v>Q1-23</v>
          </cell>
          <cell r="C777" t="str">
            <v>Europe Operations OU</v>
          </cell>
          <cell r="D777">
            <v>2674345</v>
          </cell>
          <cell r="E777" t="str">
            <v>Amazon EU SARL, succursale Italiana</v>
          </cell>
          <cell r="F777" t="str">
            <v>7PFJO9VP</v>
          </cell>
          <cell r="G777" t="str">
            <v>B011N78DMA</v>
          </cell>
          <cell r="H777" t="str">
            <v>941-000123</v>
          </cell>
          <cell r="I777" t="str">
            <v>OE INVOICES</v>
          </cell>
          <cell r="J777">
            <v>44421961192</v>
          </cell>
          <cell r="K777">
            <v>44687</v>
          </cell>
          <cell r="L777">
            <v>3</v>
          </cell>
          <cell r="M777" t="str">
            <v>EUR</v>
          </cell>
          <cell r="N777">
            <v>1052.5999999999999</v>
          </cell>
          <cell r="O777">
            <v>210.52</v>
          </cell>
          <cell r="P777">
            <v>5</v>
          </cell>
          <cell r="Q777">
            <v>5</v>
          </cell>
          <cell r="R777">
            <v>0</v>
          </cell>
        </row>
        <row r="778">
          <cell r="A778" t="str">
            <v>7PFJO9VPB07W6GVS5C</v>
          </cell>
          <cell r="B778" t="str">
            <v>Q1-23</v>
          </cell>
          <cell r="C778" t="str">
            <v>Europe Operations OU</v>
          </cell>
          <cell r="D778">
            <v>2674345</v>
          </cell>
          <cell r="E778" t="str">
            <v>Amazon EU SARL, succursale Italiana</v>
          </cell>
          <cell r="F778" t="str">
            <v>7PFJO9VP</v>
          </cell>
          <cell r="G778" t="str">
            <v>B07W6GVS5C</v>
          </cell>
          <cell r="H778" t="str">
            <v>920-009439</v>
          </cell>
          <cell r="I778" t="str">
            <v>OE INVOICES</v>
          </cell>
          <cell r="J778">
            <v>44421961192</v>
          </cell>
          <cell r="K778">
            <v>44687</v>
          </cell>
          <cell r="L778">
            <v>4</v>
          </cell>
          <cell r="M778" t="str">
            <v>EUR</v>
          </cell>
          <cell r="N778">
            <v>844</v>
          </cell>
          <cell r="O778">
            <v>42.2</v>
          </cell>
          <cell r="P778">
            <v>20</v>
          </cell>
          <cell r="Q778">
            <v>20</v>
          </cell>
          <cell r="R778">
            <v>0</v>
          </cell>
        </row>
        <row r="779">
          <cell r="A779" t="str">
            <v>7PQWY35CB00AZKNPZC</v>
          </cell>
          <cell r="B779" t="str">
            <v>Q1-23</v>
          </cell>
          <cell r="C779" t="str">
            <v>Europe Operations OU</v>
          </cell>
          <cell r="D779">
            <v>2674345</v>
          </cell>
          <cell r="E779" t="str">
            <v>Amazon EU SARL, succursale Italiana</v>
          </cell>
          <cell r="F779" t="str">
            <v>7PQWY35C</v>
          </cell>
          <cell r="G779" t="str">
            <v>B00AZKNPZC</v>
          </cell>
          <cell r="H779" t="str">
            <v>910-003357</v>
          </cell>
          <cell r="I779" t="str">
            <v>OE INVOICES</v>
          </cell>
          <cell r="J779">
            <v>44421976093</v>
          </cell>
          <cell r="K779">
            <v>44704</v>
          </cell>
          <cell r="L779">
            <v>1</v>
          </cell>
          <cell r="M779" t="str">
            <v>EUR</v>
          </cell>
          <cell r="N779">
            <v>4208</v>
          </cell>
          <cell r="O779">
            <v>5.26</v>
          </cell>
          <cell r="P779">
            <v>800</v>
          </cell>
          <cell r="Q779">
            <v>800</v>
          </cell>
          <cell r="R779">
            <v>0</v>
          </cell>
        </row>
        <row r="780">
          <cell r="A780" t="str">
            <v>7TOH4SKIB005BFCNYU</v>
          </cell>
          <cell r="B780" t="str">
            <v>Q1-23</v>
          </cell>
          <cell r="C780" t="str">
            <v>Europe Operations OU</v>
          </cell>
          <cell r="D780">
            <v>2674345</v>
          </cell>
          <cell r="E780" t="str">
            <v>Amazon EU SARL, succursale Italiana</v>
          </cell>
          <cell r="F780" t="str">
            <v>7TOH4SKI</v>
          </cell>
          <cell r="G780" t="str">
            <v>B005BFCNYU</v>
          </cell>
          <cell r="H780" t="str">
            <v>981-000406</v>
          </cell>
          <cell r="I780" t="str">
            <v>OE INVOICES</v>
          </cell>
          <cell r="J780">
            <v>44421954590</v>
          </cell>
          <cell r="K780">
            <v>44677</v>
          </cell>
          <cell r="L780">
            <v>1</v>
          </cell>
          <cell r="M780" t="str">
            <v>EUR</v>
          </cell>
          <cell r="N780">
            <v>843.2</v>
          </cell>
          <cell r="O780">
            <v>26.35</v>
          </cell>
          <cell r="P780">
            <v>32</v>
          </cell>
          <cell r="Q780">
            <v>32</v>
          </cell>
          <cell r="R780">
            <v>0</v>
          </cell>
        </row>
        <row r="781">
          <cell r="A781" t="str">
            <v>7TOH4SKIB005DVR56I</v>
          </cell>
          <cell r="B781" t="str">
            <v>Q1-23</v>
          </cell>
          <cell r="C781" t="str">
            <v>Europe Operations OU</v>
          </cell>
          <cell r="D781">
            <v>2674345</v>
          </cell>
          <cell r="E781" t="str">
            <v>Amazon EU SARL, succursale Italiana</v>
          </cell>
          <cell r="F781" t="str">
            <v>7TOH4SKI</v>
          </cell>
          <cell r="G781" t="str">
            <v>B005DVR56I</v>
          </cell>
          <cell r="H781" t="str">
            <v>981-000350</v>
          </cell>
          <cell r="I781" t="str">
            <v>OE INVOICES</v>
          </cell>
          <cell r="J781">
            <v>44421954590</v>
          </cell>
          <cell r="K781">
            <v>44677</v>
          </cell>
          <cell r="L781">
            <v>2</v>
          </cell>
          <cell r="M781" t="str">
            <v>EUR</v>
          </cell>
          <cell r="N781">
            <v>58.56</v>
          </cell>
          <cell r="O781">
            <v>14.64</v>
          </cell>
          <cell r="P781">
            <v>4</v>
          </cell>
          <cell r="Q781">
            <v>4</v>
          </cell>
          <cell r="R781">
            <v>0</v>
          </cell>
        </row>
        <row r="782">
          <cell r="A782" t="str">
            <v>7TOH4SKIB00CJ5FP04</v>
          </cell>
          <cell r="B782" t="str">
            <v>Q1-23</v>
          </cell>
          <cell r="C782" t="str">
            <v>Europe Operations OU</v>
          </cell>
          <cell r="D782">
            <v>2674345</v>
          </cell>
          <cell r="E782" t="str">
            <v>Amazon EU SARL, succursale Italiana</v>
          </cell>
          <cell r="F782" t="str">
            <v>7TOH4SKI</v>
          </cell>
          <cell r="G782" t="str">
            <v>B00CJ5FP04</v>
          </cell>
          <cell r="H782" t="str">
            <v>940-000135</v>
          </cell>
          <cell r="I782" t="str">
            <v>OE INVOICES</v>
          </cell>
          <cell r="J782">
            <v>44421954590</v>
          </cell>
          <cell r="K782">
            <v>44677</v>
          </cell>
          <cell r="L782">
            <v>3</v>
          </cell>
          <cell r="M782" t="str">
            <v>EUR</v>
          </cell>
          <cell r="N782">
            <v>1033.76</v>
          </cell>
          <cell r="O782">
            <v>18.46</v>
          </cell>
          <cell r="P782">
            <v>56</v>
          </cell>
          <cell r="Q782">
            <v>56</v>
          </cell>
          <cell r="R782">
            <v>0</v>
          </cell>
        </row>
        <row r="783">
          <cell r="A783" t="str">
            <v>7TOH4SKIB01DKTP3PY</v>
          </cell>
          <cell r="B783" t="str">
            <v>Q1-23</v>
          </cell>
          <cell r="C783" t="str">
            <v>Europe Operations OU</v>
          </cell>
          <cell r="D783">
            <v>2674345</v>
          </cell>
          <cell r="E783" t="str">
            <v>Amazon EU SARL, succursale Italiana</v>
          </cell>
          <cell r="F783" t="str">
            <v>7TOH4SKI</v>
          </cell>
          <cell r="G783" t="str">
            <v>B01DKTP3PY</v>
          </cell>
          <cell r="H783" t="str">
            <v>943-000099</v>
          </cell>
          <cell r="I783" t="str">
            <v>OE INVOICES</v>
          </cell>
          <cell r="J783">
            <v>44421954590</v>
          </cell>
          <cell r="K783">
            <v>44677</v>
          </cell>
          <cell r="L783">
            <v>4</v>
          </cell>
          <cell r="M783" t="str">
            <v>EUR</v>
          </cell>
          <cell r="N783">
            <v>506.24</v>
          </cell>
          <cell r="O783">
            <v>15.82</v>
          </cell>
          <cell r="P783">
            <v>32</v>
          </cell>
          <cell r="Q783">
            <v>32</v>
          </cell>
          <cell r="R783">
            <v>0</v>
          </cell>
        </row>
        <row r="784">
          <cell r="A784" t="str">
            <v>7TOH4SKIB01LY6Z2M6</v>
          </cell>
          <cell r="B784" t="str">
            <v>Q1-23</v>
          </cell>
          <cell r="C784" t="str">
            <v>Europe Operations OU</v>
          </cell>
          <cell r="D784">
            <v>2674345</v>
          </cell>
          <cell r="E784" t="str">
            <v>Amazon EU SARL, succursale Italiana</v>
          </cell>
          <cell r="F784" t="str">
            <v>7TOH4SKI</v>
          </cell>
          <cell r="G784" t="str">
            <v>B01LY6Z2M6</v>
          </cell>
          <cell r="H784" t="str">
            <v>988-000232</v>
          </cell>
          <cell r="I784" t="str">
            <v>OE INVOICES</v>
          </cell>
          <cell r="J784">
            <v>44421954590</v>
          </cell>
          <cell r="K784">
            <v>44677</v>
          </cell>
          <cell r="L784">
            <v>5</v>
          </cell>
          <cell r="M784" t="str">
            <v>EUR</v>
          </cell>
          <cell r="N784">
            <v>774.64</v>
          </cell>
          <cell r="O784">
            <v>96.83</v>
          </cell>
          <cell r="P784">
            <v>8</v>
          </cell>
          <cell r="Q784">
            <v>8</v>
          </cell>
          <cell r="R784">
            <v>0</v>
          </cell>
        </row>
        <row r="785">
          <cell r="A785" t="str">
            <v>7TOH4SKIB01M9EWQ2W</v>
          </cell>
          <cell r="B785" t="str">
            <v>Q1-23</v>
          </cell>
          <cell r="C785" t="str">
            <v>Europe Operations OU</v>
          </cell>
          <cell r="D785">
            <v>2674345</v>
          </cell>
          <cell r="E785" t="str">
            <v>Amazon EU SARL, succursale Italiana</v>
          </cell>
          <cell r="F785" t="str">
            <v>7TOH4SKI</v>
          </cell>
          <cell r="G785" t="str">
            <v>B01M9EWQ2W</v>
          </cell>
          <cell r="H785" t="str">
            <v>945-000006</v>
          </cell>
          <cell r="I785" t="str">
            <v>OE INVOICES</v>
          </cell>
          <cell r="J785">
            <v>44421954590</v>
          </cell>
          <cell r="K785">
            <v>44677</v>
          </cell>
          <cell r="L785">
            <v>6</v>
          </cell>
          <cell r="M785" t="str">
            <v>EUR</v>
          </cell>
          <cell r="N785">
            <v>1888.8</v>
          </cell>
          <cell r="O785">
            <v>94.44</v>
          </cell>
          <cell r="P785">
            <v>20</v>
          </cell>
          <cell r="Q785">
            <v>20</v>
          </cell>
          <cell r="R785">
            <v>0</v>
          </cell>
        </row>
        <row r="786">
          <cell r="A786" t="str">
            <v>7TOH4SKIB01MFBNN9J</v>
          </cell>
          <cell r="B786" t="str">
            <v>Q1-23</v>
          </cell>
          <cell r="C786" t="str">
            <v>Europe Operations OU</v>
          </cell>
          <cell r="D786">
            <v>2674345</v>
          </cell>
          <cell r="E786" t="str">
            <v>Amazon EU SARL, succursale Italiana</v>
          </cell>
          <cell r="F786" t="str">
            <v>7TOH4SKI</v>
          </cell>
          <cell r="G786" t="str">
            <v>B01MFBNN9J</v>
          </cell>
          <cell r="H786" t="str">
            <v>945-000009</v>
          </cell>
          <cell r="I786" t="str">
            <v>OE INVOICES</v>
          </cell>
          <cell r="J786">
            <v>44421954590</v>
          </cell>
          <cell r="K786">
            <v>44677</v>
          </cell>
          <cell r="L786">
            <v>7</v>
          </cell>
          <cell r="M786" t="str">
            <v>EUR</v>
          </cell>
          <cell r="N786">
            <v>422.08</v>
          </cell>
          <cell r="O786">
            <v>52.76</v>
          </cell>
          <cell r="P786">
            <v>8</v>
          </cell>
          <cell r="Q786">
            <v>8</v>
          </cell>
          <cell r="R786">
            <v>0</v>
          </cell>
        </row>
        <row r="787">
          <cell r="A787" t="str">
            <v>7TOH4SKIB07VWZHCNX</v>
          </cell>
          <cell r="B787" t="str">
            <v>Q1-23</v>
          </cell>
          <cell r="C787" t="str">
            <v>Europe Operations OU</v>
          </cell>
          <cell r="D787">
            <v>2674345</v>
          </cell>
          <cell r="E787" t="str">
            <v>Amazon EU SARL, succursale Italiana</v>
          </cell>
          <cell r="F787" t="str">
            <v>7TOH4SKI</v>
          </cell>
          <cell r="G787" t="str">
            <v>B07VWZHCNX</v>
          </cell>
          <cell r="H787" t="str">
            <v>956-000001</v>
          </cell>
          <cell r="I787" t="str">
            <v>OE INVOICES</v>
          </cell>
          <cell r="J787">
            <v>44421954590</v>
          </cell>
          <cell r="K787">
            <v>44677</v>
          </cell>
          <cell r="L787">
            <v>8</v>
          </cell>
          <cell r="M787" t="str">
            <v>EUR</v>
          </cell>
          <cell r="N787">
            <v>352.64</v>
          </cell>
          <cell r="O787">
            <v>11.02</v>
          </cell>
          <cell r="P787">
            <v>32</v>
          </cell>
          <cell r="Q787">
            <v>32</v>
          </cell>
          <cell r="R787">
            <v>0</v>
          </cell>
        </row>
        <row r="788">
          <cell r="A788" t="str">
            <v>7TOH4SKIB07W5JK3Z2</v>
          </cell>
          <cell r="B788" t="str">
            <v>Q1-23</v>
          </cell>
          <cell r="C788" t="str">
            <v>Europe Operations OU</v>
          </cell>
          <cell r="D788">
            <v>2674345</v>
          </cell>
          <cell r="E788" t="str">
            <v>Amazon EU SARL, succursale Italiana</v>
          </cell>
          <cell r="F788" t="str">
            <v>7TOH4SKI</v>
          </cell>
          <cell r="G788" t="str">
            <v>B07W5JK3Z2</v>
          </cell>
          <cell r="H788" t="str">
            <v>956-000052</v>
          </cell>
          <cell r="I788" t="str">
            <v>OE INVOICES</v>
          </cell>
          <cell r="J788">
            <v>44421954590</v>
          </cell>
          <cell r="K788">
            <v>44677</v>
          </cell>
          <cell r="L788">
            <v>9</v>
          </cell>
          <cell r="M788" t="str">
            <v>EUR</v>
          </cell>
          <cell r="N788">
            <v>161.6</v>
          </cell>
          <cell r="O788">
            <v>8.08</v>
          </cell>
          <cell r="P788">
            <v>20</v>
          </cell>
          <cell r="Q788">
            <v>20</v>
          </cell>
          <cell r="R788">
            <v>0</v>
          </cell>
        </row>
        <row r="789">
          <cell r="A789" t="str">
            <v>7TOH4SKIB07W6GVHD8</v>
          </cell>
          <cell r="B789" t="str">
            <v>Q1-23</v>
          </cell>
          <cell r="C789" t="str">
            <v>Europe Operations OU</v>
          </cell>
          <cell r="D789">
            <v>2674345</v>
          </cell>
          <cell r="E789" t="str">
            <v>Amazon EU SARL, succursale Italiana</v>
          </cell>
          <cell r="F789" t="str">
            <v>7TOH4SKI</v>
          </cell>
          <cell r="G789" t="str">
            <v>B07W6GVHD8</v>
          </cell>
          <cell r="H789" t="str">
            <v>920-009748</v>
          </cell>
          <cell r="I789" t="str">
            <v>OE INVOICES</v>
          </cell>
          <cell r="J789">
            <v>44421954590</v>
          </cell>
          <cell r="K789">
            <v>44677</v>
          </cell>
          <cell r="L789">
            <v>10</v>
          </cell>
          <cell r="M789" t="str">
            <v>EUR</v>
          </cell>
          <cell r="N789">
            <v>2213.7600000000002</v>
          </cell>
          <cell r="O789">
            <v>92.24</v>
          </cell>
          <cell r="P789">
            <v>24</v>
          </cell>
          <cell r="Q789">
            <v>24</v>
          </cell>
          <cell r="R789">
            <v>0</v>
          </cell>
        </row>
        <row r="790">
          <cell r="A790" t="str">
            <v>7ZNGEPQAB0100055LI</v>
          </cell>
          <cell r="B790" t="str">
            <v>Q1-23</v>
          </cell>
          <cell r="C790" t="str">
            <v>Europe Operations OU</v>
          </cell>
          <cell r="D790">
            <v>2674345</v>
          </cell>
          <cell r="E790" t="str">
            <v>Amazon EU SARL, succursale Italiana</v>
          </cell>
          <cell r="F790" t="str">
            <v>7ZNGEPQA</v>
          </cell>
          <cell r="G790" t="str">
            <v>B0100055LI</v>
          </cell>
          <cell r="H790" t="str">
            <v>980-001054</v>
          </cell>
          <cell r="I790" t="str">
            <v>OE INVOICES</v>
          </cell>
          <cell r="J790">
            <v>44421963576</v>
          </cell>
          <cell r="K790">
            <v>44691</v>
          </cell>
          <cell r="L790">
            <v>1</v>
          </cell>
          <cell r="M790" t="str">
            <v>EUR</v>
          </cell>
          <cell r="N790">
            <v>152.26</v>
          </cell>
          <cell r="O790">
            <v>76.13</v>
          </cell>
          <cell r="P790">
            <v>2</v>
          </cell>
          <cell r="Q790">
            <v>2</v>
          </cell>
          <cell r="R790">
            <v>0</v>
          </cell>
        </row>
        <row r="791">
          <cell r="A791" t="str">
            <v>81V4YVNTB002L3TSLQ</v>
          </cell>
          <cell r="B791" t="str">
            <v>Q1-23</v>
          </cell>
          <cell r="C791" t="str">
            <v>Europe Operations OU</v>
          </cell>
          <cell r="D791">
            <v>2674345</v>
          </cell>
          <cell r="E791" t="str">
            <v>Amazon EU SARL, succursale Italiana</v>
          </cell>
          <cell r="F791" t="str">
            <v>81V4YVNT</v>
          </cell>
          <cell r="G791" t="str">
            <v>B002L3TSLQ</v>
          </cell>
          <cell r="H791" t="str">
            <v>910-001356</v>
          </cell>
          <cell r="I791" t="str">
            <v>OE INVOICES</v>
          </cell>
          <cell r="J791">
            <v>44421961813</v>
          </cell>
          <cell r="K791">
            <v>44687</v>
          </cell>
          <cell r="L791">
            <v>1</v>
          </cell>
          <cell r="M791" t="str">
            <v>EUR</v>
          </cell>
          <cell r="N791">
            <v>280.95999999999998</v>
          </cell>
          <cell r="O791">
            <v>17.559999999999999</v>
          </cell>
          <cell r="P791">
            <v>16</v>
          </cell>
          <cell r="Q791">
            <v>16</v>
          </cell>
          <cell r="R791">
            <v>0</v>
          </cell>
        </row>
        <row r="792">
          <cell r="A792" t="str">
            <v>81V4YVNTB004ZH0RHK</v>
          </cell>
          <cell r="B792" t="str">
            <v>Q1-23</v>
          </cell>
          <cell r="C792" t="str">
            <v>Europe Operations OU</v>
          </cell>
          <cell r="D792">
            <v>2674345</v>
          </cell>
          <cell r="E792" t="str">
            <v>Amazon EU SARL, succursale Italiana</v>
          </cell>
          <cell r="F792" t="str">
            <v>81V4YVNT</v>
          </cell>
          <cell r="G792" t="str">
            <v>B004ZH0RHK</v>
          </cell>
          <cell r="H792" t="str">
            <v>920-003056</v>
          </cell>
          <cell r="I792" t="str">
            <v>OE INVOICES</v>
          </cell>
          <cell r="J792">
            <v>44421954710</v>
          </cell>
          <cell r="K792">
            <v>44677</v>
          </cell>
          <cell r="L792">
            <v>1</v>
          </cell>
          <cell r="M792" t="str">
            <v>EUR</v>
          </cell>
          <cell r="N792">
            <v>632.4</v>
          </cell>
          <cell r="O792">
            <v>26.35</v>
          </cell>
          <cell r="P792">
            <v>24</v>
          </cell>
          <cell r="Q792">
            <v>24</v>
          </cell>
          <cell r="R792">
            <v>0</v>
          </cell>
        </row>
        <row r="793">
          <cell r="A793" t="str">
            <v>81V4YVNTB00544XFHC</v>
          </cell>
          <cell r="B793" t="str">
            <v>Q1-23</v>
          </cell>
          <cell r="C793" t="str">
            <v>Europe Operations OU</v>
          </cell>
          <cell r="D793">
            <v>2674345</v>
          </cell>
          <cell r="E793" t="str">
            <v>Amazon EU SARL, succursale Italiana</v>
          </cell>
          <cell r="F793" t="str">
            <v>81V4YVNT</v>
          </cell>
          <cell r="G793" t="str">
            <v>B00544XFHC</v>
          </cell>
          <cell r="H793" t="str">
            <v>910-002240</v>
          </cell>
          <cell r="I793" t="str">
            <v>OE INVOICES</v>
          </cell>
          <cell r="J793">
            <v>44421961813</v>
          </cell>
          <cell r="K793">
            <v>44687</v>
          </cell>
          <cell r="L793">
            <v>2</v>
          </cell>
          <cell r="M793" t="str">
            <v>EUR</v>
          </cell>
          <cell r="N793">
            <v>398</v>
          </cell>
          <cell r="O793">
            <v>9.9499999999999993</v>
          </cell>
          <cell r="P793">
            <v>40</v>
          </cell>
          <cell r="Q793">
            <v>40</v>
          </cell>
          <cell r="R793">
            <v>0</v>
          </cell>
        </row>
        <row r="794">
          <cell r="A794" t="str">
            <v>81V4YVNTB00552K0GM</v>
          </cell>
          <cell r="B794" t="str">
            <v>Q1-23</v>
          </cell>
          <cell r="C794" t="str">
            <v>Europe Operations OU</v>
          </cell>
          <cell r="D794">
            <v>2674345</v>
          </cell>
          <cell r="E794" t="str">
            <v>Amazon EU SARL, succursale Italiana</v>
          </cell>
          <cell r="F794" t="str">
            <v>81V4YVNT</v>
          </cell>
          <cell r="G794" t="str">
            <v>B00552K0GM</v>
          </cell>
          <cell r="H794" t="str">
            <v>910-002235</v>
          </cell>
          <cell r="I794" t="str">
            <v>OE INVOICES</v>
          </cell>
          <cell r="J794">
            <v>44421961813</v>
          </cell>
          <cell r="K794">
            <v>44687</v>
          </cell>
          <cell r="L794">
            <v>3</v>
          </cell>
          <cell r="M794" t="str">
            <v>EUR</v>
          </cell>
          <cell r="N794">
            <v>1592</v>
          </cell>
          <cell r="O794">
            <v>9.9499999999999993</v>
          </cell>
          <cell r="P794">
            <v>160</v>
          </cell>
          <cell r="Q794">
            <v>160</v>
          </cell>
          <cell r="R794">
            <v>0</v>
          </cell>
        </row>
        <row r="795">
          <cell r="A795" t="str">
            <v>81V4YVNTB00745IE1Q</v>
          </cell>
          <cell r="B795" t="str">
            <v>Q1-23</v>
          </cell>
          <cell r="C795" t="str">
            <v>Europe Operations OU</v>
          </cell>
          <cell r="D795">
            <v>2674345</v>
          </cell>
          <cell r="E795" t="str">
            <v>Amazon EU SARL, succursale Italiana</v>
          </cell>
          <cell r="F795" t="str">
            <v>81V4YVNT</v>
          </cell>
          <cell r="G795" t="str">
            <v>B00745IE1Q</v>
          </cell>
          <cell r="H795" t="str">
            <v>910-002731</v>
          </cell>
          <cell r="I795" t="str">
            <v>OE INVOICES</v>
          </cell>
          <cell r="J795">
            <v>44421954710</v>
          </cell>
          <cell r="K795">
            <v>44677</v>
          </cell>
          <cell r="L795">
            <v>2</v>
          </cell>
          <cell r="M795" t="str">
            <v>EUR</v>
          </cell>
          <cell r="N795">
            <v>93.68</v>
          </cell>
          <cell r="O795">
            <v>11.71</v>
          </cell>
          <cell r="P795">
            <v>8</v>
          </cell>
          <cell r="Q795">
            <v>8</v>
          </cell>
          <cell r="R795">
            <v>0</v>
          </cell>
        </row>
        <row r="796">
          <cell r="A796" t="str">
            <v>81V4YVNTB008S1IOCY</v>
          </cell>
          <cell r="B796" t="str">
            <v>Q1-23</v>
          </cell>
          <cell r="C796" t="str">
            <v>Europe Operations OU</v>
          </cell>
          <cell r="D796">
            <v>2674345</v>
          </cell>
          <cell r="E796" t="str">
            <v>Amazon EU SARL, succursale Italiana</v>
          </cell>
          <cell r="F796" t="str">
            <v>81V4YVNT</v>
          </cell>
          <cell r="G796" t="str">
            <v>B008S1IOCY</v>
          </cell>
          <cell r="H796" t="str">
            <v>981-000475</v>
          </cell>
          <cell r="I796" t="str">
            <v>OE INVOICES</v>
          </cell>
          <cell r="J796">
            <v>44421954710</v>
          </cell>
          <cell r="K796">
            <v>44677</v>
          </cell>
          <cell r="L796">
            <v>3</v>
          </cell>
          <cell r="M796" t="str">
            <v>EUR</v>
          </cell>
          <cell r="N796">
            <v>82</v>
          </cell>
          <cell r="O796">
            <v>20.5</v>
          </cell>
          <cell r="P796">
            <v>4</v>
          </cell>
          <cell r="Q796">
            <v>4</v>
          </cell>
          <cell r="R796">
            <v>0</v>
          </cell>
        </row>
        <row r="797">
          <cell r="A797" t="str">
            <v>81V4YVNTB00CGX8Q46</v>
          </cell>
          <cell r="B797" t="str">
            <v>Q1-23</v>
          </cell>
          <cell r="C797" t="str">
            <v>Europe Operations OU</v>
          </cell>
          <cell r="D797">
            <v>2674345</v>
          </cell>
          <cell r="E797" t="str">
            <v>Amazon EU SARL, succursale Italiana</v>
          </cell>
          <cell r="F797" t="str">
            <v>81V4YVNT</v>
          </cell>
          <cell r="G797" t="str">
            <v>B00CGX8Q46</v>
          </cell>
          <cell r="H797" t="str">
            <v>981-000517</v>
          </cell>
          <cell r="I797" t="str">
            <v>OE INVOICES</v>
          </cell>
          <cell r="J797">
            <v>44421954710</v>
          </cell>
          <cell r="K797">
            <v>44677</v>
          </cell>
          <cell r="L797">
            <v>4</v>
          </cell>
          <cell r="M797" t="str">
            <v>EUR</v>
          </cell>
          <cell r="N797">
            <v>1431.96</v>
          </cell>
          <cell r="O797">
            <v>119.33</v>
          </cell>
          <cell r="P797">
            <v>12</v>
          </cell>
          <cell r="Q797">
            <v>12</v>
          </cell>
          <cell r="R797">
            <v>0</v>
          </cell>
        </row>
        <row r="798">
          <cell r="A798" t="str">
            <v>81V4YVNTB00CJ5FP2C</v>
          </cell>
          <cell r="B798" t="str">
            <v>Q1-23</v>
          </cell>
          <cell r="C798" t="str">
            <v>Europe Operations OU</v>
          </cell>
          <cell r="D798">
            <v>2674345</v>
          </cell>
          <cell r="E798" t="str">
            <v>Amazon EU SARL, succursale Italiana</v>
          </cell>
          <cell r="F798" t="str">
            <v>81V4YVNT</v>
          </cell>
          <cell r="G798" t="str">
            <v>B00CJ5FP2C</v>
          </cell>
          <cell r="H798" t="str">
            <v>940-000145</v>
          </cell>
          <cell r="I798" t="str">
            <v>OE INVOICES</v>
          </cell>
          <cell r="J798">
            <v>44421954710</v>
          </cell>
          <cell r="K798">
            <v>44677</v>
          </cell>
          <cell r="L798">
            <v>5</v>
          </cell>
          <cell r="M798" t="str">
            <v>EUR</v>
          </cell>
          <cell r="N798">
            <v>316.44</v>
          </cell>
          <cell r="O798">
            <v>26.37</v>
          </cell>
          <cell r="P798">
            <v>12</v>
          </cell>
          <cell r="Q798">
            <v>12</v>
          </cell>
          <cell r="R798">
            <v>0</v>
          </cell>
        </row>
        <row r="799">
          <cell r="A799" t="str">
            <v>81V4YVNTB00EUUX59O</v>
          </cell>
          <cell r="B799" t="str">
            <v>Q1-23</v>
          </cell>
          <cell r="C799" t="str">
            <v>Europe Operations OU</v>
          </cell>
          <cell r="D799">
            <v>2674345</v>
          </cell>
          <cell r="E799" t="str">
            <v>Amazon EU SARL, succursale Italiana</v>
          </cell>
          <cell r="F799" t="str">
            <v>81V4YVNT</v>
          </cell>
          <cell r="G799" t="str">
            <v>B00EUUX59O</v>
          </cell>
          <cell r="H799" t="str">
            <v>980-000811</v>
          </cell>
          <cell r="I799" t="str">
            <v>OE INVOICES</v>
          </cell>
          <cell r="J799">
            <v>44421954710</v>
          </cell>
          <cell r="K799">
            <v>44677</v>
          </cell>
          <cell r="L799">
            <v>6</v>
          </cell>
          <cell r="M799" t="str">
            <v>EUR</v>
          </cell>
          <cell r="N799">
            <v>585.6</v>
          </cell>
          <cell r="O799">
            <v>29.28</v>
          </cell>
          <cell r="P799">
            <v>20</v>
          </cell>
          <cell r="Q799">
            <v>20</v>
          </cell>
          <cell r="R799">
            <v>0</v>
          </cell>
        </row>
        <row r="800">
          <cell r="A800" t="str">
            <v>81V4YVNTB00IJYG4FY</v>
          </cell>
          <cell r="B800" t="str">
            <v>Q1-23</v>
          </cell>
          <cell r="C800" t="str">
            <v>Europe Operations OU</v>
          </cell>
          <cell r="D800">
            <v>2674345</v>
          </cell>
          <cell r="E800" t="str">
            <v>Amazon EU SARL, succursale Italiana</v>
          </cell>
          <cell r="F800" t="str">
            <v>81V4YVNT</v>
          </cell>
          <cell r="G800" t="str">
            <v>B00IJYG4FY</v>
          </cell>
          <cell r="H800" t="str">
            <v>980-000913</v>
          </cell>
          <cell r="I800" t="str">
            <v>OE INVOICES</v>
          </cell>
          <cell r="J800">
            <v>44421954710</v>
          </cell>
          <cell r="K800">
            <v>44677</v>
          </cell>
          <cell r="L800">
            <v>7</v>
          </cell>
          <cell r="M800" t="str">
            <v>EUR</v>
          </cell>
          <cell r="N800">
            <v>234.24</v>
          </cell>
          <cell r="O800">
            <v>29.28</v>
          </cell>
          <cell r="P800">
            <v>8</v>
          </cell>
          <cell r="Q800">
            <v>8</v>
          </cell>
          <cell r="R800">
            <v>0</v>
          </cell>
        </row>
        <row r="801">
          <cell r="A801" t="str">
            <v>81V4YVNTB00L8VNQ88</v>
          </cell>
          <cell r="B801" t="str">
            <v>Q1-23</v>
          </cell>
          <cell r="C801" t="str">
            <v>Europe Operations OU</v>
          </cell>
          <cell r="D801">
            <v>2674345</v>
          </cell>
          <cell r="E801" t="str">
            <v>Amazon EU SARL, succursale Italiana</v>
          </cell>
          <cell r="F801" t="str">
            <v>81V4YVNT</v>
          </cell>
          <cell r="G801" t="str">
            <v>B00L8VNQ88</v>
          </cell>
          <cell r="H801" t="str">
            <v>910-004067</v>
          </cell>
          <cell r="I801" t="str">
            <v>OE INVOICES</v>
          </cell>
          <cell r="J801">
            <v>44421954710</v>
          </cell>
          <cell r="K801">
            <v>44677</v>
          </cell>
          <cell r="L801">
            <v>8</v>
          </cell>
          <cell r="M801" t="str">
            <v>EUR</v>
          </cell>
          <cell r="N801">
            <v>2068.08</v>
          </cell>
          <cell r="O801">
            <v>36.93</v>
          </cell>
          <cell r="P801">
            <v>56</v>
          </cell>
          <cell r="Q801">
            <v>56</v>
          </cell>
          <cell r="R801">
            <v>0</v>
          </cell>
        </row>
        <row r="802">
          <cell r="A802" t="str">
            <v>81V4YVNTB00MWNDUDM</v>
          </cell>
          <cell r="B802" t="str">
            <v>Q1-23</v>
          </cell>
          <cell r="C802" t="str">
            <v>Europe Operations OU</v>
          </cell>
          <cell r="D802">
            <v>2674345</v>
          </cell>
          <cell r="E802" t="str">
            <v>Amazon EU SARL, succursale Italiana</v>
          </cell>
          <cell r="F802" t="str">
            <v>81V4YVNT</v>
          </cell>
          <cell r="G802" t="str">
            <v>B00MWNDUDM</v>
          </cell>
          <cell r="H802" t="str">
            <v>920-006350</v>
          </cell>
          <cell r="I802" t="str">
            <v>OE INVOICES</v>
          </cell>
          <cell r="J802">
            <v>44421954710</v>
          </cell>
          <cell r="K802">
            <v>44677</v>
          </cell>
          <cell r="L802">
            <v>9</v>
          </cell>
          <cell r="M802" t="str">
            <v>EUR</v>
          </cell>
          <cell r="N802">
            <v>773.04</v>
          </cell>
          <cell r="O802">
            <v>32.21</v>
          </cell>
          <cell r="P802">
            <v>24</v>
          </cell>
          <cell r="Q802">
            <v>24</v>
          </cell>
          <cell r="R802">
            <v>0</v>
          </cell>
        </row>
        <row r="803">
          <cell r="A803" t="str">
            <v>81V4YVNTB00MWR5IVA</v>
          </cell>
          <cell r="B803" t="str">
            <v>Q1-23</v>
          </cell>
          <cell r="C803" t="str">
            <v>Europe Operations OU</v>
          </cell>
          <cell r="D803">
            <v>2674345</v>
          </cell>
          <cell r="E803" t="str">
            <v>Amazon EU SARL, succursale Italiana</v>
          </cell>
          <cell r="F803" t="str">
            <v>81V4YVNT</v>
          </cell>
          <cell r="G803" t="str">
            <v>B00MWR5IVA</v>
          </cell>
          <cell r="H803" t="str">
            <v>910-004287</v>
          </cell>
          <cell r="I803" t="str">
            <v>OE INVOICES</v>
          </cell>
          <cell r="J803">
            <v>44421954710</v>
          </cell>
          <cell r="K803">
            <v>44677</v>
          </cell>
          <cell r="L803">
            <v>10</v>
          </cell>
          <cell r="M803" t="str">
            <v>EUR</v>
          </cell>
          <cell r="N803">
            <v>615</v>
          </cell>
          <cell r="O803">
            <v>20.5</v>
          </cell>
          <cell r="P803">
            <v>30</v>
          </cell>
          <cell r="Q803">
            <v>30</v>
          </cell>
          <cell r="R803">
            <v>0</v>
          </cell>
        </row>
        <row r="804">
          <cell r="A804" t="str">
            <v>81V4YVNTB00U77CYLE</v>
          </cell>
          <cell r="B804" t="str">
            <v>Q1-23</v>
          </cell>
          <cell r="C804" t="str">
            <v>Europe Operations OU</v>
          </cell>
          <cell r="D804">
            <v>2674345</v>
          </cell>
          <cell r="E804" t="str">
            <v>Amazon EU SARL, succursale Italiana</v>
          </cell>
          <cell r="F804" t="str">
            <v>81V4YVNT</v>
          </cell>
          <cell r="G804" t="str">
            <v>B00U77CYLE</v>
          </cell>
          <cell r="H804" t="str">
            <v>960-001034</v>
          </cell>
          <cell r="I804" t="str">
            <v>OE INVOICES</v>
          </cell>
          <cell r="J804">
            <v>44421954710</v>
          </cell>
          <cell r="K804">
            <v>44677</v>
          </cell>
          <cell r="L804">
            <v>11</v>
          </cell>
          <cell r="M804" t="str">
            <v>EUR</v>
          </cell>
          <cell r="N804">
            <v>1330.68</v>
          </cell>
          <cell r="O804">
            <v>332.67</v>
          </cell>
          <cell r="P804">
            <v>4</v>
          </cell>
          <cell r="Q804">
            <v>4</v>
          </cell>
          <cell r="R804">
            <v>0</v>
          </cell>
        </row>
        <row r="805">
          <cell r="A805" t="str">
            <v>81V4YVNTB00Y0G2L9I</v>
          </cell>
          <cell r="B805" t="str">
            <v>Q1-23</v>
          </cell>
          <cell r="C805" t="str">
            <v>Europe Operations OU</v>
          </cell>
          <cell r="D805">
            <v>2674345</v>
          </cell>
          <cell r="E805" t="str">
            <v>Amazon EU SARL, succursale Italiana</v>
          </cell>
          <cell r="F805" t="str">
            <v>81V4YVNT</v>
          </cell>
          <cell r="G805" t="str">
            <v>B00Y0G2L9I</v>
          </cell>
          <cell r="H805" t="str">
            <v>920-007135</v>
          </cell>
          <cell r="I805" t="str">
            <v>OE INVOICES</v>
          </cell>
          <cell r="J805">
            <v>44421958327</v>
          </cell>
          <cell r="K805">
            <v>44684</v>
          </cell>
          <cell r="L805">
            <v>1</v>
          </cell>
          <cell r="M805" t="str">
            <v>EUR</v>
          </cell>
          <cell r="N805">
            <v>585.6</v>
          </cell>
          <cell r="O805">
            <v>29.28</v>
          </cell>
          <cell r="P805">
            <v>20</v>
          </cell>
          <cell r="Q805">
            <v>20</v>
          </cell>
          <cell r="R805">
            <v>0</v>
          </cell>
        </row>
        <row r="806">
          <cell r="A806" t="str">
            <v>81V4YVNTB00YR92VMA</v>
          </cell>
          <cell r="B806" t="str">
            <v>Q1-23</v>
          </cell>
          <cell r="C806" t="str">
            <v>Europe Operations OU</v>
          </cell>
          <cell r="D806">
            <v>2674345</v>
          </cell>
          <cell r="E806" t="str">
            <v>Amazon EU SARL, succursale Italiana</v>
          </cell>
          <cell r="F806" t="str">
            <v>81V4YVNT</v>
          </cell>
          <cell r="G806" t="str">
            <v>B00YR92VMA</v>
          </cell>
          <cell r="H806" t="str">
            <v>980-001201</v>
          </cell>
          <cell r="I806" t="str">
            <v>OE INVOICES</v>
          </cell>
          <cell r="J806">
            <v>44421954710</v>
          </cell>
          <cell r="K806">
            <v>44677</v>
          </cell>
          <cell r="L806">
            <v>12</v>
          </cell>
          <cell r="M806" t="str">
            <v>EUR</v>
          </cell>
          <cell r="N806">
            <v>281.10000000000002</v>
          </cell>
          <cell r="O806">
            <v>46.85</v>
          </cell>
          <cell r="P806">
            <v>6</v>
          </cell>
          <cell r="Q806">
            <v>6</v>
          </cell>
          <cell r="R806">
            <v>0</v>
          </cell>
        </row>
        <row r="807">
          <cell r="A807" t="str">
            <v>81V4YVNTB010EPT2X6</v>
          </cell>
          <cell r="B807" t="str">
            <v>Q1-23</v>
          </cell>
          <cell r="C807" t="str">
            <v>Europe Operations OU</v>
          </cell>
          <cell r="D807">
            <v>2674345</v>
          </cell>
          <cell r="E807" t="str">
            <v>Amazon EU SARL, succursale Italiana</v>
          </cell>
          <cell r="F807" t="str">
            <v>81V4YVNT</v>
          </cell>
          <cell r="G807" t="str">
            <v>B010EPT2X6</v>
          </cell>
          <cell r="H807" t="str">
            <v>920-007145</v>
          </cell>
          <cell r="I807" t="str">
            <v>OE INVOICES</v>
          </cell>
          <cell r="J807">
            <v>44421954710</v>
          </cell>
          <cell r="K807">
            <v>44677</v>
          </cell>
          <cell r="L807">
            <v>13</v>
          </cell>
          <cell r="M807" t="str">
            <v>EUR</v>
          </cell>
          <cell r="N807">
            <v>4099.2</v>
          </cell>
          <cell r="O807">
            <v>29.28</v>
          </cell>
          <cell r="P807">
            <v>140</v>
          </cell>
          <cell r="Q807">
            <v>140</v>
          </cell>
          <cell r="R807">
            <v>0</v>
          </cell>
        </row>
        <row r="808">
          <cell r="A808" t="str">
            <v>81V4YVNTB0118K7K4O</v>
          </cell>
          <cell r="B808" t="str">
            <v>Q1-23</v>
          </cell>
          <cell r="C808" t="str">
            <v>Europe Operations OU</v>
          </cell>
          <cell r="D808">
            <v>2674345</v>
          </cell>
          <cell r="E808" t="str">
            <v>Amazon EU SARL, succursale Italiana</v>
          </cell>
          <cell r="F808" t="str">
            <v>81V4YVNT</v>
          </cell>
          <cell r="G808" t="str">
            <v>B0118K7K4O</v>
          </cell>
          <cell r="H808" t="str">
            <v>910-002236</v>
          </cell>
          <cell r="I808" t="str">
            <v>OE INVOICES</v>
          </cell>
          <cell r="J808">
            <v>44421954710</v>
          </cell>
          <cell r="K808">
            <v>44677</v>
          </cell>
          <cell r="L808">
            <v>14</v>
          </cell>
          <cell r="M808" t="str">
            <v>EUR</v>
          </cell>
          <cell r="N808">
            <v>995</v>
          </cell>
          <cell r="O808">
            <v>9.9499999999999993</v>
          </cell>
          <cell r="P808">
            <v>100</v>
          </cell>
          <cell r="Q808">
            <v>100</v>
          </cell>
          <cell r="R808">
            <v>0</v>
          </cell>
        </row>
        <row r="809">
          <cell r="A809" t="str">
            <v>81V4YVNTB013SL2050</v>
          </cell>
          <cell r="B809" t="str">
            <v>Q1-23</v>
          </cell>
          <cell r="C809" t="str">
            <v>Europe Operations OU</v>
          </cell>
          <cell r="D809">
            <v>2674345</v>
          </cell>
          <cell r="E809" t="str">
            <v>Amazon EU SARL, succursale Italiana</v>
          </cell>
          <cell r="F809" t="str">
            <v>81V4YVNT</v>
          </cell>
          <cell r="G809" t="str">
            <v>B013SL2050</v>
          </cell>
          <cell r="H809" t="str">
            <v>920-007574</v>
          </cell>
          <cell r="I809" t="str">
            <v>OE INVOICES</v>
          </cell>
          <cell r="J809">
            <v>44421954710</v>
          </cell>
          <cell r="K809">
            <v>44677</v>
          </cell>
          <cell r="L809">
            <v>15</v>
          </cell>
          <cell r="M809" t="str">
            <v>EUR</v>
          </cell>
          <cell r="N809">
            <v>234.24</v>
          </cell>
          <cell r="O809">
            <v>29.28</v>
          </cell>
          <cell r="P809">
            <v>8</v>
          </cell>
          <cell r="Q809">
            <v>8</v>
          </cell>
          <cell r="R809">
            <v>0</v>
          </cell>
        </row>
        <row r="810">
          <cell r="A810" t="str">
            <v>81V4YVNTB01DKTP30O</v>
          </cell>
          <cell r="B810" t="str">
            <v>Q1-23</v>
          </cell>
          <cell r="C810" t="str">
            <v>Europe Operations OU</v>
          </cell>
          <cell r="D810">
            <v>2674345</v>
          </cell>
          <cell r="E810" t="str">
            <v>Amazon EU SARL, succursale Italiana</v>
          </cell>
          <cell r="F810" t="str">
            <v>81V4YVNT</v>
          </cell>
          <cell r="G810" t="str">
            <v>B01DKTP30O</v>
          </cell>
          <cell r="H810" t="str">
            <v>943-000089</v>
          </cell>
          <cell r="I810" t="str">
            <v>OE INVOICES</v>
          </cell>
          <cell r="J810">
            <v>44421954710</v>
          </cell>
          <cell r="K810">
            <v>44677</v>
          </cell>
          <cell r="L810">
            <v>16</v>
          </cell>
          <cell r="M810" t="str">
            <v>EUR</v>
          </cell>
          <cell r="N810">
            <v>1181.5999999999999</v>
          </cell>
          <cell r="O810">
            <v>21.1</v>
          </cell>
          <cell r="P810">
            <v>56</v>
          </cell>
          <cell r="Q810">
            <v>56</v>
          </cell>
          <cell r="R810">
            <v>0</v>
          </cell>
        </row>
        <row r="811">
          <cell r="A811" t="str">
            <v>81V4YVNTB01GNP4Y70</v>
          </cell>
          <cell r="B811" t="str">
            <v>Q1-23</v>
          </cell>
          <cell r="C811" t="str">
            <v>Europe Operations OU</v>
          </cell>
          <cell r="D811">
            <v>2674345</v>
          </cell>
          <cell r="E811" t="str">
            <v>Amazon EU SARL, succursale Italiana</v>
          </cell>
          <cell r="F811" t="str">
            <v>81V4YVNT</v>
          </cell>
          <cell r="G811" t="str">
            <v>B01GNP4Y70</v>
          </cell>
          <cell r="H811" t="str">
            <v>920-008034</v>
          </cell>
          <cell r="I811" t="str">
            <v>OE INVOICES</v>
          </cell>
          <cell r="J811">
            <v>44421954710</v>
          </cell>
          <cell r="K811">
            <v>44677</v>
          </cell>
          <cell r="L811">
            <v>17</v>
          </cell>
          <cell r="M811" t="str">
            <v>EUR</v>
          </cell>
          <cell r="N811">
            <v>1113.76</v>
          </cell>
          <cell r="O811">
            <v>69.61</v>
          </cell>
          <cell r="P811">
            <v>16</v>
          </cell>
          <cell r="Q811">
            <v>16</v>
          </cell>
          <cell r="R811">
            <v>0</v>
          </cell>
        </row>
        <row r="812">
          <cell r="A812" t="str">
            <v>81V4YVNTB01K7GEAF2</v>
          </cell>
          <cell r="B812" t="str">
            <v>Q1-23</v>
          </cell>
          <cell r="C812" t="str">
            <v>Europe Operations OU</v>
          </cell>
          <cell r="D812">
            <v>2674345</v>
          </cell>
          <cell r="E812" t="str">
            <v>Amazon EU SARL, succursale Italiana</v>
          </cell>
          <cell r="F812" t="str">
            <v>81V4YVNT</v>
          </cell>
          <cell r="G812" t="str">
            <v>B01K7GEAF2</v>
          </cell>
          <cell r="H812" t="str">
            <v>910-004879</v>
          </cell>
          <cell r="I812" t="str">
            <v>OE INVOICES</v>
          </cell>
          <cell r="J812">
            <v>44421954710</v>
          </cell>
          <cell r="K812">
            <v>44677</v>
          </cell>
          <cell r="L812">
            <v>18</v>
          </cell>
          <cell r="M812" t="str">
            <v>EUR</v>
          </cell>
          <cell r="N812">
            <v>585.6</v>
          </cell>
          <cell r="O812">
            <v>14.64</v>
          </cell>
          <cell r="P812">
            <v>40</v>
          </cell>
          <cell r="Q812">
            <v>40</v>
          </cell>
          <cell r="R812">
            <v>0</v>
          </cell>
        </row>
        <row r="813">
          <cell r="A813" t="str">
            <v>81V4YVNTB01KZVQB42</v>
          </cell>
          <cell r="B813" t="str">
            <v>Q1-23</v>
          </cell>
          <cell r="C813" t="str">
            <v>Europe Operations OU</v>
          </cell>
          <cell r="D813">
            <v>2674345</v>
          </cell>
          <cell r="E813" t="str">
            <v>Amazon EU SARL, succursale Italiana</v>
          </cell>
          <cell r="F813" t="str">
            <v>81V4YVNT</v>
          </cell>
          <cell r="G813" t="str">
            <v>B01KZVQB42</v>
          </cell>
          <cell r="H813" t="str">
            <v>910-004791</v>
          </cell>
          <cell r="I813" t="str">
            <v>OE INVOICES</v>
          </cell>
          <cell r="J813">
            <v>44421954710</v>
          </cell>
          <cell r="K813">
            <v>44677</v>
          </cell>
          <cell r="L813">
            <v>19</v>
          </cell>
          <cell r="M813" t="str">
            <v>EUR</v>
          </cell>
          <cell r="N813">
            <v>1639.6</v>
          </cell>
          <cell r="O813">
            <v>40.99</v>
          </cell>
          <cell r="P813">
            <v>40</v>
          </cell>
          <cell r="Q813">
            <v>40</v>
          </cell>
          <cell r="R813">
            <v>0</v>
          </cell>
        </row>
        <row r="814">
          <cell r="A814" t="str">
            <v>81V4YVNTB01LCQTEXE</v>
          </cell>
          <cell r="B814" t="str">
            <v>Q1-23</v>
          </cell>
          <cell r="C814" t="str">
            <v>Europe Operations OU</v>
          </cell>
          <cell r="D814">
            <v>2674345</v>
          </cell>
          <cell r="E814" t="str">
            <v>Amazon EU SARL, succursale Italiana</v>
          </cell>
          <cell r="F814" t="str">
            <v>81V4YVNT</v>
          </cell>
          <cell r="G814" t="str">
            <v>B01LCQTEXE</v>
          </cell>
          <cell r="H814" t="str">
            <v>910-004881</v>
          </cell>
          <cell r="I814" t="str">
            <v>OE INVOICES</v>
          </cell>
          <cell r="J814">
            <v>44421954710</v>
          </cell>
          <cell r="K814">
            <v>44677</v>
          </cell>
          <cell r="L814">
            <v>20</v>
          </cell>
          <cell r="M814" t="str">
            <v>EUR</v>
          </cell>
          <cell r="N814">
            <v>146.4</v>
          </cell>
          <cell r="O814">
            <v>14.64</v>
          </cell>
          <cell r="P814">
            <v>10</v>
          </cell>
          <cell r="Q814">
            <v>10</v>
          </cell>
          <cell r="R814">
            <v>0</v>
          </cell>
        </row>
        <row r="815">
          <cell r="A815" t="str">
            <v>81V4YVNTB01MV1GX63</v>
          </cell>
          <cell r="B815" t="str">
            <v>Q1-23</v>
          </cell>
          <cell r="C815" t="str">
            <v>Europe Operations OU</v>
          </cell>
          <cell r="D815">
            <v>2674345</v>
          </cell>
          <cell r="E815" t="str">
            <v>Amazon EU SARL, succursale Italiana</v>
          </cell>
          <cell r="F815" t="str">
            <v>81V4YVNT</v>
          </cell>
          <cell r="G815" t="str">
            <v>B01MV1GX63</v>
          </cell>
          <cell r="H815" t="str">
            <v>910-005003</v>
          </cell>
          <cell r="I815" t="str">
            <v>OE INVOICES</v>
          </cell>
          <cell r="J815">
            <v>44421954710</v>
          </cell>
          <cell r="K815">
            <v>44677</v>
          </cell>
          <cell r="L815">
            <v>21</v>
          </cell>
          <cell r="M815" t="str">
            <v>EUR</v>
          </cell>
          <cell r="N815">
            <v>608.79999999999995</v>
          </cell>
          <cell r="O815">
            <v>7.61</v>
          </cell>
          <cell r="P815">
            <v>80</v>
          </cell>
          <cell r="Q815">
            <v>80</v>
          </cell>
          <cell r="R815">
            <v>0</v>
          </cell>
        </row>
        <row r="816">
          <cell r="A816" t="str">
            <v>81V4YVNTB07FNHV4MW</v>
          </cell>
          <cell r="B816" t="str">
            <v>Q1-23</v>
          </cell>
          <cell r="C816" t="str">
            <v>Europe Operations OU</v>
          </cell>
          <cell r="D816">
            <v>2674345</v>
          </cell>
          <cell r="E816" t="str">
            <v>Amazon EU SARL, succursale Italiana</v>
          </cell>
          <cell r="F816" t="str">
            <v>81V4YVNT</v>
          </cell>
          <cell r="G816" t="str">
            <v>B07FNHV4MW</v>
          </cell>
          <cell r="H816" t="str">
            <v>910-005448</v>
          </cell>
          <cell r="I816" t="str">
            <v>OE INVOICES</v>
          </cell>
          <cell r="J816">
            <v>44421954710</v>
          </cell>
          <cell r="K816">
            <v>44677</v>
          </cell>
          <cell r="L816">
            <v>22</v>
          </cell>
          <cell r="M816" t="str">
            <v>EUR</v>
          </cell>
          <cell r="N816">
            <v>5290.36</v>
          </cell>
          <cell r="O816">
            <v>69.61</v>
          </cell>
          <cell r="P816">
            <v>76</v>
          </cell>
          <cell r="Q816">
            <v>76</v>
          </cell>
          <cell r="R816">
            <v>0</v>
          </cell>
        </row>
        <row r="817">
          <cell r="A817" t="str">
            <v>81V4YVNTB07G6B2SGF</v>
          </cell>
          <cell r="B817" t="str">
            <v>Q1-23</v>
          </cell>
          <cell r="C817" t="str">
            <v>Europe Operations OU</v>
          </cell>
          <cell r="D817">
            <v>2674345</v>
          </cell>
          <cell r="E817" t="str">
            <v>Amazon EU SARL, succursale Italiana</v>
          </cell>
          <cell r="F817" t="str">
            <v>81V4YVNT</v>
          </cell>
          <cell r="G817" t="str">
            <v>B07G6B2SGF</v>
          </cell>
          <cell r="H817" t="str">
            <v>989-000434</v>
          </cell>
          <cell r="I817" t="str">
            <v>OE INVOICES</v>
          </cell>
          <cell r="J817">
            <v>44421954710</v>
          </cell>
          <cell r="K817">
            <v>44677</v>
          </cell>
          <cell r="L817">
            <v>23</v>
          </cell>
          <cell r="M817" t="str">
            <v>EUR</v>
          </cell>
          <cell r="N817">
            <v>513.6</v>
          </cell>
          <cell r="O817">
            <v>21.4</v>
          </cell>
          <cell r="P817">
            <v>24</v>
          </cell>
          <cell r="Q817">
            <v>24</v>
          </cell>
          <cell r="R817">
            <v>0</v>
          </cell>
        </row>
        <row r="818">
          <cell r="A818" t="str">
            <v>81V4YVNTB07G6LZVWH</v>
          </cell>
          <cell r="B818" t="str">
            <v>Q1-23</v>
          </cell>
          <cell r="C818" t="str">
            <v>Europe Operations OU</v>
          </cell>
          <cell r="D818">
            <v>2674345</v>
          </cell>
          <cell r="E818" t="str">
            <v>Amazon EU SARL, succursale Italiana</v>
          </cell>
          <cell r="F818" t="str">
            <v>81V4YVNT</v>
          </cell>
          <cell r="G818" t="str">
            <v>B07G6LZVWH</v>
          </cell>
          <cell r="H818" t="str">
            <v>984-001406</v>
          </cell>
          <cell r="I818" t="str">
            <v>OE INVOICES</v>
          </cell>
          <cell r="J818">
            <v>44421958327</v>
          </cell>
          <cell r="K818">
            <v>44684</v>
          </cell>
          <cell r="L818">
            <v>2</v>
          </cell>
          <cell r="M818" t="str">
            <v>EUR</v>
          </cell>
          <cell r="N818">
            <v>212.98</v>
          </cell>
          <cell r="O818">
            <v>106.49</v>
          </cell>
          <cell r="P818">
            <v>2</v>
          </cell>
          <cell r="Q818">
            <v>2</v>
          </cell>
          <cell r="R818">
            <v>0</v>
          </cell>
        </row>
        <row r="819">
          <cell r="A819" t="str">
            <v>81V4YVNTB07G6MYMKD</v>
          </cell>
          <cell r="B819" t="str">
            <v>Q1-23</v>
          </cell>
          <cell r="C819" t="str">
            <v>Europe Operations OU</v>
          </cell>
          <cell r="D819">
            <v>2674345</v>
          </cell>
          <cell r="E819" t="str">
            <v>Amazon EU SARL, succursale Italiana</v>
          </cell>
          <cell r="F819" t="str">
            <v>81V4YVNT</v>
          </cell>
          <cell r="G819" t="str">
            <v>B07G6MYMKD</v>
          </cell>
          <cell r="H819" t="str">
            <v>984-001402</v>
          </cell>
          <cell r="I819" t="str">
            <v>OE INVOICES</v>
          </cell>
          <cell r="J819">
            <v>44421954710</v>
          </cell>
          <cell r="K819">
            <v>44677</v>
          </cell>
          <cell r="L819">
            <v>24</v>
          </cell>
          <cell r="M819" t="str">
            <v>EUR</v>
          </cell>
          <cell r="N819">
            <v>1703.84</v>
          </cell>
          <cell r="O819">
            <v>106.49</v>
          </cell>
          <cell r="P819">
            <v>16</v>
          </cell>
          <cell r="Q819">
            <v>16</v>
          </cell>
          <cell r="R819">
            <v>0</v>
          </cell>
        </row>
        <row r="820">
          <cell r="A820" t="str">
            <v>81V4YVNTB07H3HGVDW</v>
          </cell>
          <cell r="B820" t="str">
            <v>Q1-23</v>
          </cell>
          <cell r="C820" t="str">
            <v>Europe Operations OU</v>
          </cell>
          <cell r="D820">
            <v>2674345</v>
          </cell>
          <cell r="E820" t="str">
            <v>Amazon EU SARL, succursale Italiana</v>
          </cell>
          <cell r="F820" t="str">
            <v>81V4YVNT</v>
          </cell>
          <cell r="G820" t="str">
            <v>B07H3HGVDW</v>
          </cell>
          <cell r="H820" t="str">
            <v>914-000034</v>
          </cell>
          <cell r="I820" t="str">
            <v>OE INVOICES</v>
          </cell>
          <cell r="J820">
            <v>44421954710</v>
          </cell>
          <cell r="K820">
            <v>44677</v>
          </cell>
          <cell r="L820">
            <v>25</v>
          </cell>
          <cell r="M820" t="str">
            <v>EUR</v>
          </cell>
          <cell r="N820">
            <v>3600.24</v>
          </cell>
          <cell r="O820">
            <v>42.86</v>
          </cell>
          <cell r="P820">
            <v>84</v>
          </cell>
          <cell r="Q820">
            <v>84</v>
          </cell>
          <cell r="R820">
            <v>0</v>
          </cell>
        </row>
        <row r="821">
          <cell r="A821" t="str">
            <v>81V4YVNTB07RRXXPMZ</v>
          </cell>
          <cell r="B821" t="str">
            <v>Q1-23</v>
          </cell>
          <cell r="C821" t="str">
            <v>Europe Operations OU</v>
          </cell>
          <cell r="D821">
            <v>2674345</v>
          </cell>
          <cell r="E821" t="str">
            <v>Amazon EU SARL, succursale Italiana</v>
          </cell>
          <cell r="F821" t="str">
            <v>81V4YVNT</v>
          </cell>
          <cell r="G821" t="str">
            <v>B07RRXXPMZ</v>
          </cell>
          <cell r="H821" t="str">
            <v>984-001561</v>
          </cell>
          <cell r="I821" t="str">
            <v>OE INVOICES</v>
          </cell>
          <cell r="J821">
            <v>44421954710</v>
          </cell>
          <cell r="K821">
            <v>44677</v>
          </cell>
          <cell r="L821">
            <v>26</v>
          </cell>
          <cell r="M821" t="str">
            <v>EUR</v>
          </cell>
          <cell r="N821">
            <v>428.08</v>
          </cell>
          <cell r="O821">
            <v>53.51</v>
          </cell>
          <cell r="P821">
            <v>8</v>
          </cell>
          <cell r="Q821">
            <v>8</v>
          </cell>
          <cell r="R821">
            <v>0</v>
          </cell>
        </row>
        <row r="822">
          <cell r="A822" t="str">
            <v>81V4YVNTB07S9DR8QG</v>
          </cell>
          <cell r="B822" t="str">
            <v>Q1-23</v>
          </cell>
          <cell r="C822" t="str">
            <v>Europe Operations OU</v>
          </cell>
          <cell r="D822">
            <v>2674345</v>
          </cell>
          <cell r="E822" t="str">
            <v>Amazon EU SARL, succursale Italiana</v>
          </cell>
          <cell r="F822" t="str">
            <v>81V4YVNT</v>
          </cell>
          <cell r="G822" t="str">
            <v>B07S9DR8QG</v>
          </cell>
          <cell r="H822" t="str">
            <v>910-005641</v>
          </cell>
          <cell r="I822" t="str">
            <v>OE INVOICES</v>
          </cell>
          <cell r="J822">
            <v>44421954710</v>
          </cell>
          <cell r="K822">
            <v>44677</v>
          </cell>
          <cell r="L822">
            <v>27</v>
          </cell>
          <cell r="M822" t="str">
            <v>EUR</v>
          </cell>
          <cell r="N822">
            <v>1055.2</v>
          </cell>
          <cell r="O822">
            <v>52.76</v>
          </cell>
          <cell r="P822">
            <v>20</v>
          </cell>
          <cell r="Q822">
            <v>20</v>
          </cell>
          <cell r="R822">
            <v>0</v>
          </cell>
        </row>
        <row r="823">
          <cell r="A823" t="str">
            <v>81V4YVNTB07TQ6G276</v>
          </cell>
          <cell r="B823" t="str">
            <v>Q1-23</v>
          </cell>
          <cell r="C823" t="str">
            <v>Europe Operations OU</v>
          </cell>
          <cell r="D823">
            <v>2674345</v>
          </cell>
          <cell r="E823" t="str">
            <v>Amazon EU SARL, succursale Italiana</v>
          </cell>
          <cell r="F823" t="str">
            <v>81V4YVNT</v>
          </cell>
          <cell r="G823" t="str">
            <v>B07TQ6G276</v>
          </cell>
          <cell r="H823" t="str">
            <v>981-000812</v>
          </cell>
          <cell r="I823" t="str">
            <v>OE INVOICES</v>
          </cell>
          <cell r="J823">
            <v>44421954710</v>
          </cell>
          <cell r="K823">
            <v>44677</v>
          </cell>
          <cell r="L823">
            <v>28</v>
          </cell>
          <cell r="M823" t="str">
            <v>EUR</v>
          </cell>
          <cell r="N823">
            <v>211.04</v>
          </cell>
          <cell r="O823">
            <v>52.76</v>
          </cell>
          <cell r="P823">
            <v>4</v>
          </cell>
          <cell r="Q823">
            <v>4</v>
          </cell>
          <cell r="R823">
            <v>0</v>
          </cell>
        </row>
        <row r="824">
          <cell r="A824" t="str">
            <v>81V4YVNTB07VGYXCQ9</v>
          </cell>
          <cell r="B824" t="str">
            <v>Q1-23</v>
          </cell>
          <cell r="C824" t="str">
            <v>Europe Operations OU</v>
          </cell>
          <cell r="D824">
            <v>2674345</v>
          </cell>
          <cell r="E824" t="str">
            <v>Amazon EU SARL, succursale Italiana</v>
          </cell>
          <cell r="F824" t="str">
            <v>81V4YVNT</v>
          </cell>
          <cell r="G824" t="str">
            <v>B07VGYXCQ9</v>
          </cell>
          <cell r="H824" t="str">
            <v>920-009198</v>
          </cell>
          <cell r="I824" t="str">
            <v>OE INVOICES</v>
          </cell>
          <cell r="J824">
            <v>44421954710</v>
          </cell>
          <cell r="K824">
            <v>44677</v>
          </cell>
          <cell r="L824">
            <v>29</v>
          </cell>
          <cell r="M824" t="str">
            <v>EUR</v>
          </cell>
          <cell r="N824">
            <v>140.52000000000001</v>
          </cell>
          <cell r="O824">
            <v>35.130000000000003</v>
          </cell>
          <cell r="P824">
            <v>4</v>
          </cell>
          <cell r="Q824">
            <v>4</v>
          </cell>
          <cell r="R824">
            <v>0</v>
          </cell>
        </row>
        <row r="825">
          <cell r="A825" t="str">
            <v>81V4YVNTB07VL9YHC9</v>
          </cell>
          <cell r="B825" t="str">
            <v>Q1-23</v>
          </cell>
          <cell r="C825" t="str">
            <v>Europe Operations OU</v>
          </cell>
          <cell r="D825">
            <v>2674345</v>
          </cell>
          <cell r="E825" t="str">
            <v>Amazon EU SARL, succursale Italiana</v>
          </cell>
          <cell r="F825" t="str">
            <v>81V4YVNT</v>
          </cell>
          <cell r="G825" t="str">
            <v>B07VL9YHC9</v>
          </cell>
          <cell r="H825" t="str">
            <v>920-009189</v>
          </cell>
          <cell r="I825" t="str">
            <v>OE INVOICES</v>
          </cell>
          <cell r="J825">
            <v>44421954710</v>
          </cell>
          <cell r="K825">
            <v>44677</v>
          </cell>
          <cell r="L825">
            <v>30</v>
          </cell>
          <cell r="M825" t="str">
            <v>EUR</v>
          </cell>
          <cell r="N825">
            <v>562.08000000000004</v>
          </cell>
          <cell r="O825">
            <v>35.130000000000003</v>
          </cell>
          <cell r="P825">
            <v>16</v>
          </cell>
          <cell r="Q825">
            <v>16</v>
          </cell>
          <cell r="R825">
            <v>0</v>
          </cell>
        </row>
        <row r="826">
          <cell r="A826" t="str">
            <v>81V4YVNTB07W4DH9CY</v>
          </cell>
          <cell r="B826" t="str">
            <v>Q1-23</v>
          </cell>
          <cell r="C826" t="str">
            <v>Europe Operations OU</v>
          </cell>
          <cell r="D826">
            <v>2674345</v>
          </cell>
          <cell r="E826" t="str">
            <v>Amazon EU SARL, succursale Italiana</v>
          </cell>
          <cell r="F826" t="str">
            <v>81V4YVNT</v>
          </cell>
          <cell r="G826" t="str">
            <v>B07W4DH9CY</v>
          </cell>
          <cell r="H826" t="str">
            <v>981-000890</v>
          </cell>
          <cell r="I826" t="str">
            <v>OE INVOICES</v>
          </cell>
          <cell r="J826">
            <v>44421954710</v>
          </cell>
          <cell r="K826">
            <v>44677</v>
          </cell>
          <cell r="L826">
            <v>31</v>
          </cell>
          <cell r="M826" t="str">
            <v>EUR</v>
          </cell>
          <cell r="N826">
            <v>628.96</v>
          </cell>
          <cell r="O826">
            <v>78.62</v>
          </cell>
          <cell r="P826">
            <v>8</v>
          </cell>
          <cell r="Q826">
            <v>8</v>
          </cell>
          <cell r="R826">
            <v>0</v>
          </cell>
        </row>
        <row r="827">
          <cell r="A827" t="str">
            <v>81V4YVNTB07W4DHJ91</v>
          </cell>
          <cell r="B827" t="str">
            <v>Q1-23</v>
          </cell>
          <cell r="C827" t="str">
            <v>Europe Operations OU</v>
          </cell>
          <cell r="D827">
            <v>2674345</v>
          </cell>
          <cell r="E827" t="str">
            <v>Amazon EU SARL, succursale Italiana</v>
          </cell>
          <cell r="F827" t="str">
            <v>81V4YVNT</v>
          </cell>
          <cell r="G827" t="str">
            <v>B07W4DHJ91</v>
          </cell>
          <cell r="H827" t="str">
            <v>910-005990</v>
          </cell>
          <cell r="I827" t="str">
            <v>OE INVOICES</v>
          </cell>
          <cell r="J827">
            <v>44421954710</v>
          </cell>
          <cell r="K827">
            <v>44677</v>
          </cell>
          <cell r="L827">
            <v>32</v>
          </cell>
          <cell r="M827" t="str">
            <v>EUR</v>
          </cell>
          <cell r="N827">
            <v>1740</v>
          </cell>
          <cell r="O827">
            <v>58</v>
          </cell>
          <cell r="P827">
            <v>30</v>
          </cell>
          <cell r="Q827">
            <v>30</v>
          </cell>
          <cell r="R827">
            <v>0</v>
          </cell>
        </row>
        <row r="828">
          <cell r="A828" t="str">
            <v>81V4YVNTB07W4DHMVB</v>
          </cell>
          <cell r="B828" t="str">
            <v>Q1-23</v>
          </cell>
          <cell r="C828" t="str">
            <v>Europe Operations OU</v>
          </cell>
          <cell r="D828">
            <v>2674345</v>
          </cell>
          <cell r="E828" t="str">
            <v>Amazon EU SARL, succursale Italiana</v>
          </cell>
          <cell r="F828" t="str">
            <v>81V4YVNT</v>
          </cell>
          <cell r="G828" t="str">
            <v>B07W4DHMVB</v>
          </cell>
          <cell r="H828" t="str">
            <v>981-001074</v>
          </cell>
          <cell r="I828" t="str">
            <v>OE INVOICES</v>
          </cell>
          <cell r="J828">
            <v>44421954710</v>
          </cell>
          <cell r="K828">
            <v>44677</v>
          </cell>
          <cell r="L828">
            <v>33</v>
          </cell>
          <cell r="M828" t="str">
            <v>EUR</v>
          </cell>
          <cell r="N828">
            <v>337.6</v>
          </cell>
          <cell r="O828">
            <v>42.2</v>
          </cell>
          <cell r="P828">
            <v>8</v>
          </cell>
          <cell r="Q828">
            <v>8</v>
          </cell>
          <cell r="R828">
            <v>0</v>
          </cell>
        </row>
        <row r="829">
          <cell r="A829" t="str">
            <v>81V4YVNTB07W4DHMXL</v>
          </cell>
          <cell r="B829" t="str">
            <v>Q1-23</v>
          </cell>
          <cell r="C829" t="str">
            <v>Europe Operations OU</v>
          </cell>
          <cell r="D829">
            <v>2674345</v>
          </cell>
          <cell r="E829" t="str">
            <v>Amazon EU SARL, succursale Italiana</v>
          </cell>
          <cell r="F829" t="str">
            <v>81V4YVNT</v>
          </cell>
          <cell r="G829" t="str">
            <v>B07W4DHMXL</v>
          </cell>
          <cell r="H829" t="str">
            <v>910-006053</v>
          </cell>
          <cell r="I829" t="str">
            <v>OE INVOICES</v>
          </cell>
          <cell r="J829">
            <v>44421954710</v>
          </cell>
          <cell r="K829">
            <v>44677</v>
          </cell>
          <cell r="L829">
            <v>34</v>
          </cell>
          <cell r="M829" t="str">
            <v>EUR</v>
          </cell>
          <cell r="N829">
            <v>126.6</v>
          </cell>
          <cell r="O829">
            <v>31.65</v>
          </cell>
          <cell r="P829">
            <v>4</v>
          </cell>
          <cell r="Q829">
            <v>4</v>
          </cell>
          <cell r="R829">
            <v>0</v>
          </cell>
        </row>
        <row r="830">
          <cell r="A830" t="str">
            <v>81V4YVNTB07W4DHQJ9</v>
          </cell>
          <cell r="B830" t="str">
            <v>Q1-23</v>
          </cell>
          <cell r="C830" t="str">
            <v>Europe Operations OU</v>
          </cell>
          <cell r="D830">
            <v>2674345</v>
          </cell>
          <cell r="E830" t="str">
            <v>Amazon EU SARL, succursale Italiana</v>
          </cell>
          <cell r="F830" t="str">
            <v>81V4YVNT</v>
          </cell>
          <cell r="G830" t="str">
            <v>B07W4DHQJ9</v>
          </cell>
          <cell r="H830" t="str">
            <v>910-005872</v>
          </cell>
          <cell r="I830" t="str">
            <v>OE INVOICES</v>
          </cell>
          <cell r="J830">
            <v>44421954710</v>
          </cell>
          <cell r="K830">
            <v>44677</v>
          </cell>
          <cell r="L830">
            <v>35</v>
          </cell>
          <cell r="M830" t="str">
            <v>EUR</v>
          </cell>
          <cell r="N830">
            <v>290</v>
          </cell>
          <cell r="O830">
            <v>29</v>
          </cell>
          <cell r="P830">
            <v>10</v>
          </cell>
          <cell r="Q830">
            <v>10</v>
          </cell>
          <cell r="R830">
            <v>0</v>
          </cell>
        </row>
        <row r="831">
          <cell r="A831" t="str">
            <v>81V4YVNTB07W4DHT47</v>
          </cell>
          <cell r="B831" t="str">
            <v>Q1-23</v>
          </cell>
          <cell r="C831" t="str">
            <v>Europe Operations OU</v>
          </cell>
          <cell r="D831">
            <v>2674345</v>
          </cell>
          <cell r="E831" t="str">
            <v>Amazon EU SARL, succursale Italiana</v>
          </cell>
          <cell r="F831" t="str">
            <v>81V4YVNT</v>
          </cell>
          <cell r="G831" t="str">
            <v>B07W4DHT47</v>
          </cell>
          <cell r="H831" t="str">
            <v>910-006034</v>
          </cell>
          <cell r="I831" t="str">
            <v>OE INVOICES</v>
          </cell>
          <cell r="J831">
            <v>44421958327</v>
          </cell>
          <cell r="K831">
            <v>44684</v>
          </cell>
          <cell r="L831">
            <v>3</v>
          </cell>
          <cell r="M831" t="str">
            <v>EUR</v>
          </cell>
          <cell r="N831">
            <v>7320</v>
          </cell>
          <cell r="O831">
            <v>29.28</v>
          </cell>
          <cell r="P831">
            <v>250</v>
          </cell>
          <cell r="Q831">
            <v>250</v>
          </cell>
          <cell r="R831">
            <v>0</v>
          </cell>
        </row>
        <row r="832">
          <cell r="A832" t="str">
            <v>81V4YVNTB07W4DHXC8</v>
          </cell>
          <cell r="B832" t="str">
            <v>Q1-23</v>
          </cell>
          <cell r="C832" t="str">
            <v>Europe Operations OU</v>
          </cell>
          <cell r="D832">
            <v>2674345</v>
          </cell>
          <cell r="E832" t="str">
            <v>Amazon EU SARL, succursale Italiana</v>
          </cell>
          <cell r="F832" t="str">
            <v>81V4YVNT</v>
          </cell>
          <cell r="G832" t="str">
            <v>B07W4DHXC8</v>
          </cell>
          <cell r="H832" t="str">
            <v>946-000002</v>
          </cell>
          <cell r="I832" t="str">
            <v>OE INVOICES</v>
          </cell>
          <cell r="J832">
            <v>44421954710</v>
          </cell>
          <cell r="K832">
            <v>44677</v>
          </cell>
          <cell r="L832">
            <v>36</v>
          </cell>
          <cell r="M832" t="str">
            <v>EUR</v>
          </cell>
          <cell r="N832">
            <v>1280.96</v>
          </cell>
          <cell r="O832">
            <v>40.03</v>
          </cell>
          <cell r="P832">
            <v>32</v>
          </cell>
          <cell r="Q832">
            <v>32</v>
          </cell>
          <cell r="R832">
            <v>0</v>
          </cell>
        </row>
        <row r="833">
          <cell r="A833" t="str">
            <v>81V4YVNTB07W4DJDCS</v>
          </cell>
          <cell r="B833" t="str">
            <v>Q1-23</v>
          </cell>
          <cell r="C833" t="str">
            <v>Europe Operations OU</v>
          </cell>
          <cell r="D833">
            <v>2674345</v>
          </cell>
          <cell r="E833" t="str">
            <v>Amazon EU SARL, succursale Italiana</v>
          </cell>
          <cell r="F833" t="str">
            <v>81V4YVNT</v>
          </cell>
          <cell r="G833" t="str">
            <v>B07W4DJDCS</v>
          </cell>
          <cell r="H833" t="str">
            <v>920-010229</v>
          </cell>
          <cell r="I833" t="str">
            <v>OE INVOICES</v>
          </cell>
          <cell r="J833">
            <v>44421954710</v>
          </cell>
          <cell r="K833">
            <v>44677</v>
          </cell>
          <cell r="L833">
            <v>37</v>
          </cell>
          <cell r="M833" t="str">
            <v>EUR</v>
          </cell>
          <cell r="N833">
            <v>9976.2800000000007</v>
          </cell>
          <cell r="O833">
            <v>146.71</v>
          </cell>
          <cell r="P833">
            <v>68</v>
          </cell>
          <cell r="Q833">
            <v>68</v>
          </cell>
          <cell r="R833">
            <v>0</v>
          </cell>
        </row>
        <row r="834">
          <cell r="A834" t="str">
            <v>81V4YVNTB07W5JHF5D</v>
          </cell>
          <cell r="B834" t="str">
            <v>Q1-23</v>
          </cell>
          <cell r="C834" t="str">
            <v>Europe Operations OU</v>
          </cell>
          <cell r="D834">
            <v>2674345</v>
          </cell>
          <cell r="E834" t="str">
            <v>Amazon EU SARL, succursale Italiana</v>
          </cell>
          <cell r="F834" t="str">
            <v>81V4YVNT</v>
          </cell>
          <cell r="G834" t="str">
            <v>B07W5JHF5D</v>
          </cell>
          <cell r="H834" t="str">
            <v>920-009866</v>
          </cell>
          <cell r="I834" t="str">
            <v>OE INVOICES</v>
          </cell>
          <cell r="J834">
            <v>44421954710</v>
          </cell>
          <cell r="K834">
            <v>44677</v>
          </cell>
          <cell r="L834">
            <v>38</v>
          </cell>
          <cell r="M834" t="str">
            <v>EUR</v>
          </cell>
          <cell r="N834">
            <v>234.24</v>
          </cell>
          <cell r="O834">
            <v>29.28</v>
          </cell>
          <cell r="P834">
            <v>8</v>
          </cell>
          <cell r="Q834">
            <v>8</v>
          </cell>
          <cell r="R834">
            <v>0</v>
          </cell>
        </row>
        <row r="835">
          <cell r="A835" t="str">
            <v>81V4YVNTB07W5JHXF8</v>
          </cell>
          <cell r="B835" t="str">
            <v>Q1-23</v>
          </cell>
          <cell r="C835" t="str">
            <v>Europe Operations OU</v>
          </cell>
          <cell r="D835">
            <v>2674345</v>
          </cell>
          <cell r="E835" t="str">
            <v>Amazon EU SARL, succursale Italiana</v>
          </cell>
          <cell r="F835" t="str">
            <v>81V4YVNT</v>
          </cell>
          <cell r="G835" t="str">
            <v>B07W5JHXF8</v>
          </cell>
          <cell r="H835" t="str">
            <v>920-010398</v>
          </cell>
          <cell r="I835" t="str">
            <v>OE INVOICES</v>
          </cell>
          <cell r="J835">
            <v>44421954710</v>
          </cell>
          <cell r="K835">
            <v>44677</v>
          </cell>
          <cell r="L835">
            <v>39</v>
          </cell>
          <cell r="M835" t="str">
            <v>EUR</v>
          </cell>
          <cell r="N835">
            <v>234.24</v>
          </cell>
          <cell r="O835">
            <v>29.28</v>
          </cell>
          <cell r="P835">
            <v>8</v>
          </cell>
          <cell r="Q835">
            <v>8</v>
          </cell>
          <cell r="R835">
            <v>0</v>
          </cell>
        </row>
        <row r="836">
          <cell r="A836" t="str">
            <v>81V4YVNTB07W5JJR4H</v>
          </cell>
          <cell r="B836" t="str">
            <v>Q1-23</v>
          </cell>
          <cell r="C836" t="str">
            <v>Europe Operations OU</v>
          </cell>
          <cell r="D836">
            <v>2674345</v>
          </cell>
          <cell r="E836" t="str">
            <v>Amazon EU SARL, succursale Italiana</v>
          </cell>
          <cell r="F836" t="str">
            <v>81V4YVNT</v>
          </cell>
          <cell r="G836" t="str">
            <v>B07W5JJR4H</v>
          </cell>
          <cell r="H836" t="str">
            <v>910-006211</v>
          </cell>
          <cell r="I836" t="str">
            <v>OE INVOICES</v>
          </cell>
          <cell r="J836">
            <v>44421954710</v>
          </cell>
          <cell r="K836">
            <v>44677</v>
          </cell>
          <cell r="L836">
            <v>40</v>
          </cell>
          <cell r="M836" t="str">
            <v>EUR</v>
          </cell>
          <cell r="N836">
            <v>2088</v>
          </cell>
          <cell r="O836">
            <v>52.2</v>
          </cell>
          <cell r="P836">
            <v>40</v>
          </cell>
          <cell r="Q836">
            <v>40</v>
          </cell>
          <cell r="R836">
            <v>0</v>
          </cell>
        </row>
        <row r="837">
          <cell r="A837" t="str">
            <v>81V4YVNTB07W5JK53T</v>
          </cell>
          <cell r="B837" t="str">
            <v>Q1-23</v>
          </cell>
          <cell r="C837" t="str">
            <v>Europe Operations OU</v>
          </cell>
          <cell r="D837">
            <v>2674345</v>
          </cell>
          <cell r="E837" t="str">
            <v>Amazon EU SARL, succursale Italiana</v>
          </cell>
          <cell r="F837" t="str">
            <v>81V4YVNT</v>
          </cell>
          <cell r="G837" t="str">
            <v>B07W5JK53T</v>
          </cell>
          <cell r="H837" t="str">
            <v>981-000990</v>
          </cell>
          <cell r="I837" t="str">
            <v>OE INVOICES</v>
          </cell>
          <cell r="J837">
            <v>44421954710</v>
          </cell>
          <cell r="K837">
            <v>44677</v>
          </cell>
          <cell r="L837">
            <v>41</v>
          </cell>
          <cell r="M837" t="str">
            <v>EUR</v>
          </cell>
          <cell r="N837">
            <v>4088.24</v>
          </cell>
          <cell r="O837">
            <v>78.62</v>
          </cell>
          <cell r="P837">
            <v>52</v>
          </cell>
          <cell r="Q837">
            <v>52</v>
          </cell>
          <cell r="R837">
            <v>0</v>
          </cell>
        </row>
        <row r="838">
          <cell r="A838" t="str">
            <v>81V4YVNTB07W5JKB92</v>
          </cell>
          <cell r="B838" t="str">
            <v>Q1-23</v>
          </cell>
          <cell r="C838" t="str">
            <v>Europe Operations OU</v>
          </cell>
          <cell r="D838">
            <v>2674345</v>
          </cell>
          <cell r="E838" t="str">
            <v>Amazon EU SARL, succursale Italiana</v>
          </cell>
          <cell r="F838" t="str">
            <v>81V4YVNT</v>
          </cell>
          <cell r="G838" t="str">
            <v>B07W5JKB92</v>
          </cell>
          <cell r="H838" t="str">
            <v>920-009503</v>
          </cell>
          <cell r="I838" t="str">
            <v>OE INVOICES</v>
          </cell>
          <cell r="J838">
            <v>44421954710</v>
          </cell>
          <cell r="K838">
            <v>44677</v>
          </cell>
          <cell r="L838">
            <v>42</v>
          </cell>
          <cell r="M838" t="str">
            <v>EUR</v>
          </cell>
          <cell r="N838">
            <v>966.64</v>
          </cell>
          <cell r="O838">
            <v>120.83</v>
          </cell>
          <cell r="P838">
            <v>8</v>
          </cell>
          <cell r="Q838">
            <v>8</v>
          </cell>
          <cell r="R838">
            <v>0</v>
          </cell>
        </row>
        <row r="839">
          <cell r="A839" t="str">
            <v>81V4YVNTB07W5JKHFR</v>
          </cell>
          <cell r="B839" t="str">
            <v>Q1-23</v>
          </cell>
          <cell r="C839" t="str">
            <v>Europe Operations OU</v>
          </cell>
          <cell r="D839">
            <v>2674345</v>
          </cell>
          <cell r="E839" t="str">
            <v>Amazon EU SARL, succursale Italiana</v>
          </cell>
          <cell r="F839" t="str">
            <v>81V4YVNT</v>
          </cell>
          <cell r="G839" t="str">
            <v>B07W5JKHFR</v>
          </cell>
          <cell r="H839" t="str">
            <v>910-006475</v>
          </cell>
          <cell r="I839" t="str">
            <v>OE INVOICES</v>
          </cell>
          <cell r="J839">
            <v>44421954710</v>
          </cell>
          <cell r="K839">
            <v>44677</v>
          </cell>
          <cell r="L839">
            <v>43</v>
          </cell>
          <cell r="M839" t="str">
            <v>EUR</v>
          </cell>
          <cell r="N839">
            <v>371.2</v>
          </cell>
          <cell r="O839">
            <v>46.4</v>
          </cell>
          <cell r="P839">
            <v>8</v>
          </cell>
          <cell r="Q839">
            <v>8</v>
          </cell>
          <cell r="R839">
            <v>0</v>
          </cell>
        </row>
        <row r="840">
          <cell r="A840" t="str">
            <v>81V4YVNTB07W5JKNB9</v>
          </cell>
          <cell r="B840" t="str">
            <v>Q1-23</v>
          </cell>
          <cell r="C840" t="str">
            <v>Europe Operations OU</v>
          </cell>
          <cell r="D840">
            <v>2674345</v>
          </cell>
          <cell r="E840" t="str">
            <v>Amazon EU SARL, succursale Italiana</v>
          </cell>
          <cell r="F840" t="str">
            <v>81V4YVNT</v>
          </cell>
          <cell r="G840" t="str">
            <v>B07W5JKNB9</v>
          </cell>
          <cell r="H840" t="str">
            <v>920-010522</v>
          </cell>
          <cell r="I840" t="str">
            <v>OE INVOICES</v>
          </cell>
          <cell r="J840">
            <v>44421954710</v>
          </cell>
          <cell r="K840">
            <v>44677</v>
          </cell>
          <cell r="L840">
            <v>44</v>
          </cell>
          <cell r="M840" t="str">
            <v>EUR</v>
          </cell>
          <cell r="N840">
            <v>2297.16</v>
          </cell>
          <cell r="O840">
            <v>63.81</v>
          </cell>
          <cell r="P840">
            <v>36</v>
          </cell>
          <cell r="Q840">
            <v>36</v>
          </cell>
          <cell r="R840">
            <v>0</v>
          </cell>
        </row>
        <row r="841">
          <cell r="A841" t="str">
            <v>81V4YVNTB07W6FNF6N</v>
          </cell>
          <cell r="B841" t="str">
            <v>Q1-23</v>
          </cell>
          <cell r="C841" t="str">
            <v>Europe Operations OU</v>
          </cell>
          <cell r="D841">
            <v>2674345</v>
          </cell>
          <cell r="E841" t="str">
            <v>Amazon EU SARL, succursale Italiana</v>
          </cell>
          <cell r="F841" t="str">
            <v>81V4YVNT</v>
          </cell>
          <cell r="G841" t="str">
            <v>B07W6FNF6N</v>
          </cell>
          <cell r="H841" t="str">
            <v>920-009841</v>
          </cell>
          <cell r="I841" t="str">
            <v>OE INVOICES</v>
          </cell>
          <cell r="J841">
            <v>44421954710</v>
          </cell>
          <cell r="K841">
            <v>44677</v>
          </cell>
          <cell r="L841">
            <v>45</v>
          </cell>
          <cell r="M841" t="str">
            <v>EUR</v>
          </cell>
          <cell r="N841">
            <v>3921.32</v>
          </cell>
          <cell r="O841">
            <v>75.41</v>
          </cell>
          <cell r="P841">
            <v>52</v>
          </cell>
          <cell r="Q841">
            <v>52</v>
          </cell>
          <cell r="R841">
            <v>0</v>
          </cell>
        </row>
        <row r="842">
          <cell r="A842" t="str">
            <v>81V4YVNTB07W6GW9BJ</v>
          </cell>
          <cell r="B842" t="str">
            <v>Q1-23</v>
          </cell>
          <cell r="C842" t="str">
            <v>Europe Operations OU</v>
          </cell>
          <cell r="D842">
            <v>2674345</v>
          </cell>
          <cell r="E842" t="str">
            <v>Amazon EU SARL, succursale Italiana</v>
          </cell>
          <cell r="F842" t="str">
            <v>81V4YVNT</v>
          </cell>
          <cell r="G842" t="str">
            <v>B07W6GW9BJ</v>
          </cell>
          <cell r="H842" t="str">
            <v>910-006022</v>
          </cell>
          <cell r="I842" t="str">
            <v>OE INVOICES</v>
          </cell>
          <cell r="J842">
            <v>44421954710</v>
          </cell>
          <cell r="K842">
            <v>44677</v>
          </cell>
          <cell r="L842">
            <v>46</v>
          </cell>
          <cell r="M842" t="str">
            <v>EUR</v>
          </cell>
          <cell r="N842">
            <v>126.6</v>
          </cell>
          <cell r="O842">
            <v>31.65</v>
          </cell>
          <cell r="P842">
            <v>4</v>
          </cell>
          <cell r="Q842">
            <v>4</v>
          </cell>
          <cell r="R842">
            <v>0</v>
          </cell>
        </row>
        <row r="843">
          <cell r="A843" t="str">
            <v>81V4YVNTB07W6GY669</v>
          </cell>
          <cell r="B843" t="str">
            <v>Q1-23</v>
          </cell>
          <cell r="C843" t="str">
            <v>Europe Operations OU</v>
          </cell>
          <cell r="D843">
            <v>2674345</v>
          </cell>
          <cell r="E843" t="str">
            <v>Amazon EU SARL, succursale Italiana</v>
          </cell>
          <cell r="F843" t="str">
            <v>81V4YVNT</v>
          </cell>
          <cell r="G843" t="str">
            <v>B07W6GY669</v>
          </cell>
          <cell r="H843" t="str">
            <v>920-010247</v>
          </cell>
          <cell r="I843" t="str">
            <v>OE INVOICES</v>
          </cell>
          <cell r="J843">
            <v>44421954710</v>
          </cell>
          <cell r="K843">
            <v>44677</v>
          </cell>
          <cell r="L843">
            <v>47</v>
          </cell>
          <cell r="M843" t="str">
            <v>EUR</v>
          </cell>
          <cell r="N843">
            <v>4695.04</v>
          </cell>
          <cell r="O843">
            <v>73.36</v>
          </cell>
          <cell r="P843">
            <v>64</v>
          </cell>
          <cell r="Q843">
            <v>64</v>
          </cell>
          <cell r="R843">
            <v>0</v>
          </cell>
        </row>
        <row r="844">
          <cell r="A844" t="str">
            <v>81V4YVNTB07W6HPP3R</v>
          </cell>
          <cell r="B844" t="str">
            <v>Q1-23</v>
          </cell>
          <cell r="C844" t="str">
            <v>Europe Operations OU</v>
          </cell>
          <cell r="D844">
            <v>2674345</v>
          </cell>
          <cell r="E844" t="str">
            <v>Amazon EU SARL, succursale Italiana</v>
          </cell>
          <cell r="F844" t="str">
            <v>81V4YVNT</v>
          </cell>
          <cell r="G844" t="str">
            <v>B07W6HPP3R</v>
          </cell>
          <cell r="H844" t="str">
            <v>920-010303</v>
          </cell>
          <cell r="I844" t="str">
            <v>OE INVOICES</v>
          </cell>
          <cell r="J844">
            <v>44421954710</v>
          </cell>
          <cell r="K844">
            <v>44677</v>
          </cell>
          <cell r="L844">
            <v>48</v>
          </cell>
          <cell r="M844" t="str">
            <v>EUR</v>
          </cell>
          <cell r="N844">
            <v>928.16</v>
          </cell>
          <cell r="O844">
            <v>116.02</v>
          </cell>
          <cell r="P844">
            <v>8</v>
          </cell>
          <cell r="Q844">
            <v>8</v>
          </cell>
          <cell r="R844">
            <v>0</v>
          </cell>
        </row>
        <row r="845">
          <cell r="A845" t="str">
            <v>81V4YVNTB07W6J51XR</v>
          </cell>
          <cell r="B845" t="str">
            <v>Q1-23</v>
          </cell>
          <cell r="C845" t="str">
            <v>Europe Operations OU</v>
          </cell>
          <cell r="D845">
            <v>2674345</v>
          </cell>
          <cell r="E845" t="str">
            <v>Amazon EU SARL, succursale Italiana</v>
          </cell>
          <cell r="F845" t="str">
            <v>81V4YVNT</v>
          </cell>
          <cell r="G845" t="str">
            <v>B07W6J51XR</v>
          </cell>
          <cell r="H845" t="str">
            <v>910-005942</v>
          </cell>
          <cell r="I845" t="str">
            <v>OE INVOICES</v>
          </cell>
          <cell r="J845">
            <v>44421954710</v>
          </cell>
          <cell r="K845">
            <v>44677</v>
          </cell>
          <cell r="L845">
            <v>49</v>
          </cell>
          <cell r="M845" t="str">
            <v>EUR</v>
          </cell>
          <cell r="N845">
            <v>1342.24</v>
          </cell>
          <cell r="O845">
            <v>83.89</v>
          </cell>
          <cell r="P845">
            <v>16</v>
          </cell>
          <cell r="Q845">
            <v>16</v>
          </cell>
          <cell r="R845">
            <v>0</v>
          </cell>
        </row>
        <row r="846">
          <cell r="A846" t="str">
            <v>81V4YVNTB07W6J829F</v>
          </cell>
          <cell r="B846" t="str">
            <v>Q1-23</v>
          </cell>
          <cell r="C846" t="str">
            <v>Europe Operations OU</v>
          </cell>
          <cell r="D846">
            <v>2674345</v>
          </cell>
          <cell r="E846" t="str">
            <v>Amazon EU SARL, succursale Italiana</v>
          </cell>
          <cell r="F846" t="str">
            <v>81V4YVNT</v>
          </cell>
          <cell r="G846" t="str">
            <v>B07W6J829F</v>
          </cell>
          <cell r="H846" t="str">
            <v>910-005784</v>
          </cell>
          <cell r="I846" t="str">
            <v>OE INVOICES</v>
          </cell>
          <cell r="J846">
            <v>44421961813</v>
          </cell>
          <cell r="K846">
            <v>44687</v>
          </cell>
          <cell r="L846">
            <v>4</v>
          </cell>
          <cell r="M846" t="str">
            <v>EUR</v>
          </cell>
          <cell r="N846">
            <v>12881</v>
          </cell>
          <cell r="O846">
            <v>23.42</v>
          </cell>
          <cell r="P846">
            <v>550</v>
          </cell>
          <cell r="Q846">
            <v>550</v>
          </cell>
          <cell r="R846">
            <v>0</v>
          </cell>
        </row>
        <row r="847">
          <cell r="A847" t="str">
            <v>81V4YVNTB07W6JDL3Z</v>
          </cell>
          <cell r="B847" t="str">
            <v>Q1-23</v>
          </cell>
          <cell r="C847" t="str">
            <v>Europe Operations OU</v>
          </cell>
          <cell r="D847">
            <v>2674345</v>
          </cell>
          <cell r="E847" t="str">
            <v>Amazon EU SARL, succursale Italiana</v>
          </cell>
          <cell r="F847" t="str">
            <v>81V4YVNT</v>
          </cell>
          <cell r="G847" t="str">
            <v>B07W6JDL3Z</v>
          </cell>
          <cell r="H847" t="str">
            <v>980-001348</v>
          </cell>
          <cell r="I847" t="str">
            <v>OE INVOICES</v>
          </cell>
          <cell r="J847">
            <v>44421954710</v>
          </cell>
          <cell r="K847">
            <v>44677</v>
          </cell>
          <cell r="L847">
            <v>50</v>
          </cell>
          <cell r="M847" t="str">
            <v>EUR</v>
          </cell>
          <cell r="N847">
            <v>139.22</v>
          </cell>
          <cell r="O847">
            <v>69.61</v>
          </cell>
          <cell r="P847">
            <v>2</v>
          </cell>
          <cell r="Q847">
            <v>2</v>
          </cell>
          <cell r="R847">
            <v>0</v>
          </cell>
        </row>
        <row r="848">
          <cell r="A848" t="str">
            <v>81V4YVNTB07W6JG6Z7</v>
          </cell>
          <cell r="B848" t="str">
            <v>Q1-23</v>
          </cell>
          <cell r="C848" t="str">
            <v>Europe Operations OU</v>
          </cell>
          <cell r="D848">
            <v>2674345</v>
          </cell>
          <cell r="E848" t="str">
            <v>Amazon EU SARL, succursale Italiana</v>
          </cell>
          <cell r="F848" t="str">
            <v>81V4YVNT</v>
          </cell>
          <cell r="G848" t="str">
            <v>B07W6JG6Z7</v>
          </cell>
          <cell r="H848" t="str">
            <v>910-005694</v>
          </cell>
          <cell r="I848" t="str">
            <v>OE INVOICES</v>
          </cell>
          <cell r="J848">
            <v>44421954710</v>
          </cell>
          <cell r="K848">
            <v>44677</v>
          </cell>
          <cell r="L848">
            <v>51</v>
          </cell>
          <cell r="M848" t="str">
            <v>EUR</v>
          </cell>
          <cell r="N848">
            <v>28655.8</v>
          </cell>
          <cell r="O848">
            <v>75.41</v>
          </cell>
          <cell r="P848">
            <v>380</v>
          </cell>
          <cell r="Q848">
            <v>380</v>
          </cell>
          <cell r="R848">
            <v>0</v>
          </cell>
        </row>
        <row r="849">
          <cell r="A849" t="str">
            <v>81V4YVNTB07W6JKKBV</v>
          </cell>
          <cell r="B849" t="str">
            <v>Q1-23</v>
          </cell>
          <cell r="C849" t="str">
            <v>Europe Operations OU</v>
          </cell>
          <cell r="D849">
            <v>2674345</v>
          </cell>
          <cell r="E849" t="str">
            <v>Amazon EU SARL, succursale Italiana</v>
          </cell>
          <cell r="F849" t="str">
            <v>81V4YVNT</v>
          </cell>
          <cell r="G849" t="str">
            <v>B07W6JKKBV</v>
          </cell>
          <cell r="H849" t="str">
            <v>920-010146</v>
          </cell>
          <cell r="I849" t="str">
            <v>OE INVOICES</v>
          </cell>
          <cell r="J849">
            <v>44421954710</v>
          </cell>
          <cell r="K849">
            <v>44677</v>
          </cell>
          <cell r="L849">
            <v>52</v>
          </cell>
          <cell r="M849" t="str">
            <v>EUR</v>
          </cell>
          <cell r="N849">
            <v>2784.48</v>
          </cell>
          <cell r="O849">
            <v>116.02</v>
          </cell>
          <cell r="P849">
            <v>24</v>
          </cell>
          <cell r="Q849">
            <v>24</v>
          </cell>
          <cell r="R849">
            <v>0</v>
          </cell>
        </row>
        <row r="850">
          <cell r="A850" t="str">
            <v>81V4YVNTB07W6JM35X</v>
          </cell>
          <cell r="B850" t="str">
            <v>Q1-23</v>
          </cell>
          <cell r="C850" t="str">
            <v>Europe Operations OU</v>
          </cell>
          <cell r="D850">
            <v>2674345</v>
          </cell>
          <cell r="E850" t="str">
            <v>Amazon EU SARL, succursale Italiana</v>
          </cell>
          <cell r="F850" t="str">
            <v>81V4YVNT</v>
          </cell>
          <cell r="G850" t="str">
            <v>B07W6JM35X</v>
          </cell>
          <cell r="H850" t="str">
            <v>981-001062</v>
          </cell>
          <cell r="I850" t="str">
            <v>OE INVOICES</v>
          </cell>
          <cell r="J850">
            <v>44421954710</v>
          </cell>
          <cell r="K850">
            <v>44677</v>
          </cell>
          <cell r="L850">
            <v>53</v>
          </cell>
          <cell r="M850" t="str">
            <v>EUR</v>
          </cell>
          <cell r="N850">
            <v>168.8</v>
          </cell>
          <cell r="O850">
            <v>42.2</v>
          </cell>
          <cell r="P850">
            <v>4</v>
          </cell>
          <cell r="Q850">
            <v>4</v>
          </cell>
          <cell r="R850">
            <v>0</v>
          </cell>
        </row>
        <row r="851">
          <cell r="A851" t="str">
            <v>81V4YVNTB07W7KMK4Y</v>
          </cell>
          <cell r="B851" t="str">
            <v>Q1-23</v>
          </cell>
          <cell r="C851" t="str">
            <v>Europe Operations OU</v>
          </cell>
          <cell r="D851">
            <v>2674345</v>
          </cell>
          <cell r="E851" t="str">
            <v>Amazon EU SARL, succursale Italiana</v>
          </cell>
          <cell r="F851" t="str">
            <v>81V4YVNT</v>
          </cell>
          <cell r="G851" t="str">
            <v>B07W7KMK4Y</v>
          </cell>
          <cell r="H851" t="str">
            <v>920-010488</v>
          </cell>
          <cell r="I851" t="str">
            <v>OE INVOICES</v>
          </cell>
          <cell r="J851">
            <v>44421954710</v>
          </cell>
          <cell r="K851">
            <v>44677</v>
          </cell>
          <cell r="L851">
            <v>54</v>
          </cell>
          <cell r="M851" t="str">
            <v>EUR</v>
          </cell>
          <cell r="N851">
            <v>1276.2</v>
          </cell>
          <cell r="O851">
            <v>63.81</v>
          </cell>
          <cell r="P851">
            <v>20</v>
          </cell>
          <cell r="Q851">
            <v>20</v>
          </cell>
          <cell r="R851">
            <v>0</v>
          </cell>
        </row>
        <row r="852">
          <cell r="A852" t="str">
            <v>81V4YVNTB07W7KT2B3</v>
          </cell>
          <cell r="B852" t="str">
            <v>Q1-23</v>
          </cell>
          <cell r="C852" t="str">
            <v>Europe Operations OU</v>
          </cell>
          <cell r="D852">
            <v>2674345</v>
          </cell>
          <cell r="E852" t="str">
            <v>Amazon EU SARL, succursale Italiana</v>
          </cell>
          <cell r="F852" t="str">
            <v>81V4YVNT</v>
          </cell>
          <cell r="G852" t="str">
            <v>B07W7KT2B3</v>
          </cell>
          <cell r="H852" t="str">
            <v>981-000864</v>
          </cell>
          <cell r="I852" t="str">
            <v>OE INVOICES</v>
          </cell>
          <cell r="J852">
            <v>44421954710</v>
          </cell>
          <cell r="K852">
            <v>44677</v>
          </cell>
          <cell r="L852">
            <v>55</v>
          </cell>
          <cell r="M852" t="str">
            <v>EUR</v>
          </cell>
          <cell r="N852">
            <v>314.48</v>
          </cell>
          <cell r="O852">
            <v>78.62</v>
          </cell>
          <cell r="P852">
            <v>4</v>
          </cell>
          <cell r="Q852">
            <v>4</v>
          </cell>
          <cell r="R852">
            <v>0</v>
          </cell>
        </row>
        <row r="853">
          <cell r="A853" t="str">
            <v>81V4YVNTB07W7L3DSX</v>
          </cell>
          <cell r="B853" t="str">
            <v>Q1-23</v>
          </cell>
          <cell r="C853" t="str">
            <v>Europe Operations OU</v>
          </cell>
          <cell r="D853">
            <v>2674345</v>
          </cell>
          <cell r="E853" t="str">
            <v>Amazon EU SARL, succursale Italiana</v>
          </cell>
          <cell r="F853" t="str">
            <v>81V4YVNT</v>
          </cell>
          <cell r="G853" t="str">
            <v>B07W7L3DSX</v>
          </cell>
          <cell r="H853" t="str">
            <v>920-010399</v>
          </cell>
          <cell r="I853" t="str">
            <v>OE INVOICES</v>
          </cell>
          <cell r="J853">
            <v>44421954710</v>
          </cell>
          <cell r="K853">
            <v>44677</v>
          </cell>
          <cell r="L853">
            <v>56</v>
          </cell>
          <cell r="M853" t="str">
            <v>EUR</v>
          </cell>
          <cell r="N853">
            <v>234.24</v>
          </cell>
          <cell r="O853">
            <v>29.28</v>
          </cell>
          <cell r="P853">
            <v>8</v>
          </cell>
          <cell r="Q853">
            <v>8</v>
          </cell>
          <cell r="R853">
            <v>0</v>
          </cell>
        </row>
        <row r="854">
          <cell r="A854" t="str">
            <v>83YYT1WXB002VA464S</v>
          </cell>
          <cell r="B854" t="str">
            <v>Q1-23</v>
          </cell>
          <cell r="C854" t="str">
            <v>Europe Operations OU</v>
          </cell>
          <cell r="D854">
            <v>2674345</v>
          </cell>
          <cell r="E854" t="str">
            <v>Amazon EU SARL, succursale Italiana</v>
          </cell>
          <cell r="F854" t="str">
            <v>83YYT1WX</v>
          </cell>
          <cell r="G854" t="str">
            <v>B002VA464S</v>
          </cell>
          <cell r="H854" t="str">
            <v>988-000238</v>
          </cell>
          <cell r="I854" t="str">
            <v>OE INVOICES</v>
          </cell>
          <cell r="J854">
            <v>44421958337</v>
          </cell>
          <cell r="K854">
            <v>44684</v>
          </cell>
          <cell r="L854">
            <v>1</v>
          </cell>
          <cell r="M854" t="str">
            <v>EUR</v>
          </cell>
          <cell r="N854">
            <v>774.64</v>
          </cell>
          <cell r="O854">
            <v>96.83</v>
          </cell>
          <cell r="P854">
            <v>8</v>
          </cell>
          <cell r="Q854">
            <v>8</v>
          </cell>
          <cell r="R854">
            <v>0</v>
          </cell>
        </row>
        <row r="855">
          <cell r="A855" t="str">
            <v>84Q57SSPB07QNYCLBJ</v>
          </cell>
          <cell r="B855" t="str">
            <v>Q1-23</v>
          </cell>
          <cell r="C855" t="str">
            <v>Europe Operations OU</v>
          </cell>
          <cell r="D855">
            <v>2674345</v>
          </cell>
          <cell r="E855" t="str">
            <v>Amazon EU SARL, succursale Italiana</v>
          </cell>
          <cell r="F855" t="str">
            <v>84Q57SSP</v>
          </cell>
          <cell r="G855" t="str">
            <v>B07QNYCLBJ</v>
          </cell>
          <cell r="H855" t="str">
            <v>910-005567</v>
          </cell>
          <cell r="I855" t="str">
            <v>OE INVOICES</v>
          </cell>
          <cell r="J855">
            <v>44421961814</v>
          </cell>
          <cell r="K855">
            <v>44687</v>
          </cell>
          <cell r="L855">
            <v>1</v>
          </cell>
          <cell r="M855" t="str">
            <v>EUR</v>
          </cell>
          <cell r="N855">
            <v>4402.72</v>
          </cell>
          <cell r="O855">
            <v>78.62</v>
          </cell>
          <cell r="P855">
            <v>56</v>
          </cell>
          <cell r="Q855">
            <v>56</v>
          </cell>
          <cell r="R855">
            <v>0</v>
          </cell>
        </row>
        <row r="856">
          <cell r="A856" t="str">
            <v>84Q57SSPB07W4DGC27</v>
          </cell>
          <cell r="B856" t="str">
            <v>Q1-23</v>
          </cell>
          <cell r="C856" t="str">
            <v>Europe Operations OU</v>
          </cell>
          <cell r="D856">
            <v>2674345</v>
          </cell>
          <cell r="E856" t="str">
            <v>Amazon EU SARL, succursale Italiana</v>
          </cell>
          <cell r="F856" t="str">
            <v>84Q57SSP</v>
          </cell>
          <cell r="G856" t="str">
            <v>B07W4DGC27</v>
          </cell>
          <cell r="H856" t="str">
            <v>910-006473</v>
          </cell>
          <cell r="I856" t="str">
            <v>OE INVOICES</v>
          </cell>
          <cell r="J856">
            <v>44421961814</v>
          </cell>
          <cell r="K856">
            <v>44687</v>
          </cell>
          <cell r="L856">
            <v>2</v>
          </cell>
          <cell r="M856" t="str">
            <v>EUR</v>
          </cell>
          <cell r="N856">
            <v>2412.8000000000002</v>
          </cell>
          <cell r="O856">
            <v>46.4</v>
          </cell>
          <cell r="P856">
            <v>52</v>
          </cell>
          <cell r="Q856">
            <v>52</v>
          </cell>
          <cell r="R856">
            <v>0</v>
          </cell>
        </row>
        <row r="857">
          <cell r="A857" t="str">
            <v>84Q57SSPB07W5JHM12</v>
          </cell>
          <cell r="B857" t="str">
            <v>Q1-23</v>
          </cell>
          <cell r="C857" t="str">
            <v>Europe Operations OU</v>
          </cell>
          <cell r="D857">
            <v>2674345</v>
          </cell>
          <cell r="E857" t="str">
            <v>Amazon EU SARL, succursale Italiana</v>
          </cell>
          <cell r="F857" t="str">
            <v>84Q57SSP</v>
          </cell>
          <cell r="G857" t="str">
            <v>B07W5JHM12</v>
          </cell>
          <cell r="H857" t="str">
            <v>910-006236</v>
          </cell>
          <cell r="I857" t="str">
            <v>OE INVOICES</v>
          </cell>
          <cell r="J857">
            <v>44421961814</v>
          </cell>
          <cell r="K857">
            <v>44687</v>
          </cell>
          <cell r="L857">
            <v>3</v>
          </cell>
          <cell r="M857" t="str">
            <v>EUR</v>
          </cell>
          <cell r="N857">
            <v>3689</v>
          </cell>
          <cell r="O857">
            <v>26.35</v>
          </cell>
          <cell r="P857">
            <v>140</v>
          </cell>
          <cell r="Q857">
            <v>140</v>
          </cell>
          <cell r="R857">
            <v>0</v>
          </cell>
        </row>
        <row r="858">
          <cell r="A858" t="str">
            <v>89J1FZUEB0100055LI</v>
          </cell>
          <cell r="B858" t="str">
            <v>Q1-23</v>
          </cell>
          <cell r="C858" t="str">
            <v>Europe Operations OU</v>
          </cell>
          <cell r="D858">
            <v>2674345</v>
          </cell>
          <cell r="E858" t="str">
            <v>Amazon EU SARL, succursale Italiana</v>
          </cell>
          <cell r="F858" t="str">
            <v>89J1FZUE</v>
          </cell>
          <cell r="G858" t="str">
            <v>B0100055LI</v>
          </cell>
          <cell r="H858" t="str">
            <v>980-001054</v>
          </cell>
          <cell r="I858" t="str">
            <v>OE INVOICES</v>
          </cell>
          <cell r="J858">
            <v>44421958335</v>
          </cell>
          <cell r="K858">
            <v>44684</v>
          </cell>
          <cell r="L858">
            <v>1</v>
          </cell>
          <cell r="M858" t="str">
            <v>EUR</v>
          </cell>
          <cell r="N858">
            <v>152.26</v>
          </cell>
          <cell r="O858">
            <v>76.13</v>
          </cell>
          <cell r="P858">
            <v>2</v>
          </cell>
          <cell r="Q858">
            <v>2</v>
          </cell>
          <cell r="R858">
            <v>0</v>
          </cell>
        </row>
        <row r="859">
          <cell r="A859" t="str">
            <v>89J1FZUEB07W6J51XR</v>
          </cell>
          <cell r="B859" t="str">
            <v>Q1-23</v>
          </cell>
          <cell r="C859" t="str">
            <v>Europe Operations OU</v>
          </cell>
          <cell r="D859">
            <v>2674345</v>
          </cell>
          <cell r="E859" t="str">
            <v>Amazon EU SARL, succursale Italiana</v>
          </cell>
          <cell r="F859" t="str">
            <v>89J1FZUE</v>
          </cell>
          <cell r="G859" t="str">
            <v>B07W6J51XR</v>
          </cell>
          <cell r="H859" t="str">
            <v>910-005942</v>
          </cell>
          <cell r="I859" t="str">
            <v>OE INVOICES</v>
          </cell>
          <cell r="J859">
            <v>44421954586</v>
          </cell>
          <cell r="K859">
            <v>44677</v>
          </cell>
          <cell r="L859">
            <v>1</v>
          </cell>
          <cell r="M859" t="str">
            <v>EUR</v>
          </cell>
          <cell r="N859">
            <v>671.12</v>
          </cell>
          <cell r="O859">
            <v>83.89</v>
          </cell>
          <cell r="P859">
            <v>8</v>
          </cell>
          <cell r="Q859">
            <v>8</v>
          </cell>
          <cell r="R859">
            <v>0</v>
          </cell>
        </row>
        <row r="860">
          <cell r="A860" t="str">
            <v>8CRK8PGRB07W5JKB8Z</v>
          </cell>
          <cell r="B860" t="str">
            <v>Q1-23</v>
          </cell>
          <cell r="C860" t="str">
            <v>Europe Operations OU</v>
          </cell>
          <cell r="D860">
            <v>2674345</v>
          </cell>
          <cell r="E860" t="str">
            <v>Amazon EU SARL, succursale Italiana</v>
          </cell>
          <cell r="F860" t="str">
            <v>8CRK8PGR</v>
          </cell>
          <cell r="G860" t="str">
            <v>B07W5JKB8Z</v>
          </cell>
          <cell r="H860" t="str">
            <v>981-000907</v>
          </cell>
          <cell r="I860" t="str">
            <v>OE INVOICES</v>
          </cell>
          <cell r="J860">
            <v>44421958338</v>
          </cell>
          <cell r="K860">
            <v>44684</v>
          </cell>
          <cell r="L860">
            <v>1</v>
          </cell>
          <cell r="M860" t="str">
            <v>EUR</v>
          </cell>
          <cell r="N860">
            <v>53165.2</v>
          </cell>
          <cell r="O860">
            <v>120.83</v>
          </cell>
          <cell r="P860">
            <v>440</v>
          </cell>
          <cell r="Q860">
            <v>440</v>
          </cell>
          <cell r="R860">
            <v>0</v>
          </cell>
        </row>
        <row r="861">
          <cell r="A861" t="str">
            <v>8E4YHFGVB07W6HDNNV</v>
          </cell>
          <cell r="B861" t="str">
            <v>Q1-23</v>
          </cell>
          <cell r="C861" t="str">
            <v>Europe Operations OU</v>
          </cell>
          <cell r="D861">
            <v>2674345</v>
          </cell>
          <cell r="E861" t="str">
            <v>Amazon EU SARL, succursale Italiana</v>
          </cell>
          <cell r="F861" t="str">
            <v>8E4YHFGV</v>
          </cell>
          <cell r="G861" t="str">
            <v>B07W6HDNNV</v>
          </cell>
          <cell r="H861" t="str">
            <v>910-005696</v>
          </cell>
          <cell r="I861" t="str">
            <v>OE INVOICES</v>
          </cell>
          <cell r="J861">
            <v>44421954909</v>
          </cell>
          <cell r="K861">
            <v>44677</v>
          </cell>
          <cell r="L861">
            <v>1</v>
          </cell>
          <cell r="M861" t="str">
            <v>EUR</v>
          </cell>
          <cell r="N861">
            <v>1508.2</v>
          </cell>
          <cell r="O861">
            <v>75.41</v>
          </cell>
          <cell r="P861">
            <v>20</v>
          </cell>
          <cell r="Q861">
            <v>20</v>
          </cell>
          <cell r="R861">
            <v>0</v>
          </cell>
        </row>
        <row r="862">
          <cell r="A862" t="str">
            <v>8FNVZZXMB003PAMIA2</v>
          </cell>
          <cell r="B862" t="str">
            <v>Q1-23</v>
          </cell>
          <cell r="C862" t="str">
            <v>Europe Operations OU</v>
          </cell>
          <cell r="D862">
            <v>2674345</v>
          </cell>
          <cell r="E862" t="str">
            <v>Amazon EU SARL, succursale Italiana</v>
          </cell>
          <cell r="F862" t="str">
            <v>8FNVZZXM</v>
          </cell>
          <cell r="G862" t="str">
            <v>B003PAMIA2</v>
          </cell>
          <cell r="H862" t="str">
            <v>920-002489</v>
          </cell>
          <cell r="I862" t="str">
            <v>OE INVOICES</v>
          </cell>
          <cell r="J862">
            <v>44421961195</v>
          </cell>
          <cell r="K862">
            <v>44687</v>
          </cell>
          <cell r="L862">
            <v>1</v>
          </cell>
          <cell r="M862" t="str">
            <v>EUR</v>
          </cell>
          <cell r="N862">
            <v>398</v>
          </cell>
          <cell r="O862">
            <v>9.9499999999999993</v>
          </cell>
          <cell r="P862">
            <v>40</v>
          </cell>
          <cell r="Q862">
            <v>40</v>
          </cell>
          <cell r="R862">
            <v>0</v>
          </cell>
        </row>
        <row r="863">
          <cell r="A863" t="str">
            <v>8GFIEEZOB00IRCDT7Y</v>
          </cell>
          <cell r="B863" t="str">
            <v>Q1-23</v>
          </cell>
          <cell r="C863" t="str">
            <v>Europe Operations OU</v>
          </cell>
          <cell r="D863">
            <v>2674345</v>
          </cell>
          <cell r="E863" t="str">
            <v>Amazon EU SARL, succursale Italiana</v>
          </cell>
          <cell r="F863" t="str">
            <v>8GFIEEZO</v>
          </cell>
          <cell r="G863" t="str">
            <v>B00IRCDT7Y</v>
          </cell>
          <cell r="H863" t="str">
            <v>980-000912</v>
          </cell>
          <cell r="I863" t="str">
            <v>OE INVOICES</v>
          </cell>
          <cell r="J863">
            <v>44421958342</v>
          </cell>
          <cell r="K863">
            <v>44684</v>
          </cell>
          <cell r="L863">
            <v>1</v>
          </cell>
          <cell r="M863" t="str">
            <v>EUR</v>
          </cell>
          <cell r="N863">
            <v>7729.92</v>
          </cell>
          <cell r="O863">
            <v>29.28</v>
          </cell>
          <cell r="P863">
            <v>264</v>
          </cell>
          <cell r="Q863">
            <v>264</v>
          </cell>
          <cell r="R863">
            <v>0</v>
          </cell>
        </row>
        <row r="864">
          <cell r="A864" t="str">
            <v>8GFIEEZOB00NGKYKPW</v>
          </cell>
          <cell r="B864" t="str">
            <v>Q1-23</v>
          </cell>
          <cell r="C864" t="str">
            <v>Europe Operations OU</v>
          </cell>
          <cell r="D864">
            <v>2674345</v>
          </cell>
          <cell r="E864" t="str">
            <v>Amazon EU SARL, succursale Italiana</v>
          </cell>
          <cell r="F864" t="str">
            <v>8GFIEEZO</v>
          </cell>
          <cell r="G864" t="str">
            <v>B00NGKYKPW</v>
          </cell>
          <cell r="H864" t="str">
            <v>920-006358</v>
          </cell>
          <cell r="I864" t="str">
            <v>OE INVOICES</v>
          </cell>
          <cell r="J864">
            <v>44421954721</v>
          </cell>
          <cell r="K864">
            <v>44677</v>
          </cell>
          <cell r="L864">
            <v>1</v>
          </cell>
          <cell r="M864" t="str">
            <v>EUR</v>
          </cell>
          <cell r="N864">
            <v>515.36</v>
          </cell>
          <cell r="O864">
            <v>32.21</v>
          </cell>
          <cell r="P864">
            <v>16</v>
          </cell>
          <cell r="Q864">
            <v>16</v>
          </cell>
          <cell r="R864">
            <v>0</v>
          </cell>
        </row>
        <row r="865">
          <cell r="A865" t="str">
            <v>8IC45Q9KB000XUQ2LI</v>
          </cell>
          <cell r="B865" t="str">
            <v>Q1-23</v>
          </cell>
          <cell r="C865" t="str">
            <v>Europe Operations OU</v>
          </cell>
          <cell r="D865">
            <v>2674345</v>
          </cell>
          <cell r="E865" t="str">
            <v>Amazon EU SARL, succursale Italiana</v>
          </cell>
          <cell r="F865" t="str">
            <v>8IC45Q9K</v>
          </cell>
          <cell r="G865" t="str">
            <v>B000XUQ2LI</v>
          </cell>
          <cell r="H865" t="str">
            <v>980-000029</v>
          </cell>
          <cell r="I865" t="str">
            <v>OE INVOICES</v>
          </cell>
          <cell r="J865">
            <v>44421961184</v>
          </cell>
          <cell r="K865">
            <v>44687</v>
          </cell>
          <cell r="L865">
            <v>1</v>
          </cell>
          <cell r="M865" t="str">
            <v>EUR</v>
          </cell>
          <cell r="N865">
            <v>140.52000000000001</v>
          </cell>
          <cell r="O865">
            <v>11.71</v>
          </cell>
          <cell r="P865">
            <v>12</v>
          </cell>
          <cell r="Q865">
            <v>12</v>
          </cell>
          <cell r="R865">
            <v>0</v>
          </cell>
        </row>
        <row r="866">
          <cell r="A866" t="str">
            <v>8IC45Q9KB00544XKK4</v>
          </cell>
          <cell r="B866" t="str">
            <v>Q1-23</v>
          </cell>
          <cell r="C866" t="str">
            <v>Europe Operations OU</v>
          </cell>
          <cell r="D866">
            <v>2674345</v>
          </cell>
          <cell r="E866" t="str">
            <v>Amazon EU SARL, succursale Italiana</v>
          </cell>
          <cell r="F866" t="str">
            <v>8IC45Q9K</v>
          </cell>
          <cell r="G866" t="str">
            <v>B00544XKK4</v>
          </cell>
          <cell r="H866" t="str">
            <v>980-000513</v>
          </cell>
          <cell r="I866" t="str">
            <v>OE INVOICES</v>
          </cell>
          <cell r="J866">
            <v>44421961184</v>
          </cell>
          <cell r="K866">
            <v>44687</v>
          </cell>
          <cell r="L866">
            <v>2</v>
          </cell>
          <cell r="M866" t="str">
            <v>EUR</v>
          </cell>
          <cell r="N866">
            <v>187.36</v>
          </cell>
          <cell r="O866">
            <v>11.71</v>
          </cell>
          <cell r="P866">
            <v>16</v>
          </cell>
          <cell r="Q866">
            <v>16</v>
          </cell>
          <cell r="R866">
            <v>0</v>
          </cell>
        </row>
        <row r="867">
          <cell r="A867" t="str">
            <v>8IC45Q9KB005BFCNYU</v>
          </cell>
          <cell r="B867" t="str">
            <v>Q1-23</v>
          </cell>
          <cell r="C867" t="str">
            <v>Europe Operations OU</v>
          </cell>
          <cell r="D867">
            <v>2674345</v>
          </cell>
          <cell r="E867" t="str">
            <v>Amazon EU SARL, succursale Italiana</v>
          </cell>
          <cell r="F867" t="str">
            <v>8IC45Q9K</v>
          </cell>
          <cell r="G867" t="str">
            <v>B005BFCNYU</v>
          </cell>
          <cell r="H867" t="str">
            <v>981-000406</v>
          </cell>
          <cell r="I867" t="str">
            <v>OE INVOICES</v>
          </cell>
          <cell r="J867">
            <v>44421961184</v>
          </cell>
          <cell r="K867">
            <v>44687</v>
          </cell>
          <cell r="L867">
            <v>3</v>
          </cell>
          <cell r="M867" t="str">
            <v>EUR</v>
          </cell>
          <cell r="N867">
            <v>2951.2</v>
          </cell>
          <cell r="O867">
            <v>26.35</v>
          </cell>
          <cell r="P867">
            <v>112</v>
          </cell>
          <cell r="Q867">
            <v>112</v>
          </cell>
          <cell r="R867">
            <v>0</v>
          </cell>
        </row>
        <row r="868">
          <cell r="A868" t="str">
            <v>8IC45Q9KB00CJ5FP04</v>
          </cell>
          <cell r="B868" t="str">
            <v>Q1-23</v>
          </cell>
          <cell r="C868" t="str">
            <v>Europe Operations OU</v>
          </cell>
          <cell r="D868">
            <v>2674345</v>
          </cell>
          <cell r="E868" t="str">
            <v>Amazon EU SARL, succursale Italiana</v>
          </cell>
          <cell r="F868" t="str">
            <v>8IC45Q9K</v>
          </cell>
          <cell r="G868" t="str">
            <v>B00CJ5FP04</v>
          </cell>
          <cell r="H868" t="str">
            <v>940-000135</v>
          </cell>
          <cell r="I868" t="str">
            <v>OE INVOICES</v>
          </cell>
          <cell r="J868">
            <v>44421961184</v>
          </cell>
          <cell r="K868">
            <v>44687</v>
          </cell>
          <cell r="L868">
            <v>4</v>
          </cell>
          <cell r="M868" t="str">
            <v>EUR</v>
          </cell>
          <cell r="N868">
            <v>147.68</v>
          </cell>
          <cell r="O868">
            <v>18.46</v>
          </cell>
          <cell r="P868">
            <v>8</v>
          </cell>
          <cell r="Q868">
            <v>8</v>
          </cell>
          <cell r="R868">
            <v>0</v>
          </cell>
        </row>
        <row r="869">
          <cell r="A869" t="str">
            <v>8IC45Q9KB00CJ5FPTA</v>
          </cell>
          <cell r="B869" t="str">
            <v>Q1-23</v>
          </cell>
          <cell r="C869" t="str">
            <v>Europe Operations OU</v>
          </cell>
          <cell r="D869">
            <v>2674345</v>
          </cell>
          <cell r="E869" t="str">
            <v>Amazon EU SARL, succursale Italiana</v>
          </cell>
          <cell r="F869" t="str">
            <v>8IC45Q9K</v>
          </cell>
          <cell r="G869" t="str">
            <v>B00CJ5FPTA</v>
          </cell>
          <cell r="H869" t="str">
            <v>942-000031</v>
          </cell>
          <cell r="I869" t="str">
            <v>OE INVOICES</v>
          </cell>
          <cell r="J869">
            <v>44421961184</v>
          </cell>
          <cell r="K869">
            <v>44687</v>
          </cell>
          <cell r="L869">
            <v>5</v>
          </cell>
          <cell r="M869" t="str">
            <v>EUR</v>
          </cell>
          <cell r="N869">
            <v>379.8</v>
          </cell>
          <cell r="O869">
            <v>31.65</v>
          </cell>
          <cell r="P869">
            <v>12</v>
          </cell>
          <cell r="Q869">
            <v>12</v>
          </cell>
          <cell r="R869">
            <v>0</v>
          </cell>
        </row>
        <row r="870">
          <cell r="A870" t="str">
            <v>8IC45Q9KB00ZOZZM4U</v>
          </cell>
          <cell r="B870" t="str">
            <v>Q1-23</v>
          </cell>
          <cell r="C870" t="str">
            <v>Europe Operations OU</v>
          </cell>
          <cell r="D870">
            <v>2674345</v>
          </cell>
          <cell r="E870" t="str">
            <v>Amazon EU SARL, succursale Italiana</v>
          </cell>
          <cell r="F870" t="str">
            <v>8IC45Q9K</v>
          </cell>
          <cell r="G870" t="str">
            <v>B00ZOZZM4U</v>
          </cell>
          <cell r="H870" t="str">
            <v>981-000593</v>
          </cell>
          <cell r="I870" t="str">
            <v>OE INVOICES</v>
          </cell>
          <cell r="J870">
            <v>44421961184</v>
          </cell>
          <cell r="K870">
            <v>44687</v>
          </cell>
          <cell r="L870">
            <v>6</v>
          </cell>
          <cell r="M870" t="str">
            <v>EUR</v>
          </cell>
          <cell r="N870">
            <v>187.36</v>
          </cell>
          <cell r="O870">
            <v>11.71</v>
          </cell>
          <cell r="P870">
            <v>16</v>
          </cell>
          <cell r="Q870">
            <v>16</v>
          </cell>
          <cell r="R870">
            <v>0</v>
          </cell>
        </row>
        <row r="871">
          <cell r="A871" t="str">
            <v>8IC45Q9KB01DIJICIQ</v>
          </cell>
          <cell r="B871" t="str">
            <v>Q1-23</v>
          </cell>
          <cell r="C871" t="str">
            <v>Europe Operations OU</v>
          </cell>
          <cell r="D871">
            <v>2674345</v>
          </cell>
          <cell r="E871" t="str">
            <v>Amazon EU SARL, succursale Italiana</v>
          </cell>
          <cell r="F871" t="str">
            <v>8IC45Q9K</v>
          </cell>
          <cell r="G871" t="str">
            <v>B01DIJICIQ</v>
          </cell>
          <cell r="H871" t="str">
            <v>943-000090</v>
          </cell>
          <cell r="I871" t="str">
            <v>OE INVOICES</v>
          </cell>
          <cell r="J871">
            <v>44421961184</v>
          </cell>
          <cell r="K871">
            <v>44687</v>
          </cell>
          <cell r="L871">
            <v>7</v>
          </cell>
          <cell r="M871" t="str">
            <v>EUR</v>
          </cell>
          <cell r="N871">
            <v>84.4</v>
          </cell>
          <cell r="O871">
            <v>21.1</v>
          </cell>
          <cell r="P871">
            <v>4</v>
          </cell>
          <cell r="Q871">
            <v>4</v>
          </cell>
          <cell r="R871">
            <v>0</v>
          </cell>
        </row>
        <row r="872">
          <cell r="A872" t="str">
            <v>8IC45Q9KB01DKTP3PY</v>
          </cell>
          <cell r="B872" t="str">
            <v>Q1-23</v>
          </cell>
          <cell r="C872" t="str">
            <v>Europe Operations OU</v>
          </cell>
          <cell r="D872">
            <v>2674345</v>
          </cell>
          <cell r="E872" t="str">
            <v>Amazon EU SARL, succursale Italiana</v>
          </cell>
          <cell r="F872" t="str">
            <v>8IC45Q9K</v>
          </cell>
          <cell r="G872" t="str">
            <v>B01DKTP3PY</v>
          </cell>
          <cell r="H872" t="str">
            <v>943-000099</v>
          </cell>
          <cell r="I872" t="str">
            <v>OE INVOICES</v>
          </cell>
          <cell r="J872">
            <v>44421961184</v>
          </cell>
          <cell r="K872">
            <v>44687</v>
          </cell>
          <cell r="L872">
            <v>8</v>
          </cell>
          <cell r="M872" t="str">
            <v>EUR</v>
          </cell>
          <cell r="N872">
            <v>1012.48</v>
          </cell>
          <cell r="O872">
            <v>15.82</v>
          </cell>
          <cell r="P872">
            <v>64</v>
          </cell>
          <cell r="Q872">
            <v>64</v>
          </cell>
          <cell r="R872">
            <v>0</v>
          </cell>
        </row>
        <row r="873">
          <cell r="A873" t="str">
            <v>8IC45Q9KB01DKTP3X6</v>
          </cell>
          <cell r="B873" t="str">
            <v>Q1-23</v>
          </cell>
          <cell r="C873" t="str">
            <v>Europe Operations OU</v>
          </cell>
          <cell r="D873">
            <v>2674345</v>
          </cell>
          <cell r="E873" t="str">
            <v>Amazon EU SARL, succursale Italiana</v>
          </cell>
          <cell r="F873" t="str">
            <v>8IC45Q9K</v>
          </cell>
          <cell r="G873" t="str">
            <v>B01DKTP3X6</v>
          </cell>
          <cell r="H873" t="str">
            <v>943-000094</v>
          </cell>
          <cell r="I873" t="str">
            <v>OE INVOICES</v>
          </cell>
          <cell r="J873">
            <v>44421961184</v>
          </cell>
          <cell r="K873">
            <v>44687</v>
          </cell>
          <cell r="L873">
            <v>9</v>
          </cell>
          <cell r="M873" t="str">
            <v>EUR</v>
          </cell>
          <cell r="N873">
            <v>337.6</v>
          </cell>
          <cell r="O873">
            <v>10.55</v>
          </cell>
          <cell r="P873">
            <v>32</v>
          </cell>
          <cell r="Q873">
            <v>32</v>
          </cell>
          <cell r="R873">
            <v>0</v>
          </cell>
        </row>
        <row r="874">
          <cell r="A874" t="str">
            <v>8IC45Q9KB01M3TTXMY</v>
          </cell>
          <cell r="B874" t="str">
            <v>Q1-23</v>
          </cell>
          <cell r="C874" t="str">
            <v>Europe Operations OU</v>
          </cell>
          <cell r="D874">
            <v>2674345</v>
          </cell>
          <cell r="E874" t="str">
            <v>Amazon EU SARL, succursale Italiana</v>
          </cell>
          <cell r="F874" t="str">
            <v>8IC45Q9K</v>
          </cell>
          <cell r="G874" t="str">
            <v>B01M3TTXMY</v>
          </cell>
          <cell r="H874" t="str">
            <v>945-000008</v>
          </cell>
          <cell r="I874" t="str">
            <v>OE INVOICES</v>
          </cell>
          <cell r="J874">
            <v>44421961184</v>
          </cell>
          <cell r="K874">
            <v>44687</v>
          </cell>
          <cell r="L874">
            <v>10</v>
          </cell>
          <cell r="M874" t="str">
            <v>EUR</v>
          </cell>
          <cell r="N874">
            <v>314.48</v>
          </cell>
          <cell r="O874">
            <v>78.62</v>
          </cell>
          <cell r="P874">
            <v>4</v>
          </cell>
          <cell r="Q874">
            <v>4</v>
          </cell>
          <cell r="R874">
            <v>0</v>
          </cell>
        </row>
        <row r="875">
          <cell r="A875" t="str">
            <v>8IC45Q9KB071ZFMC9Q</v>
          </cell>
          <cell r="B875" t="str">
            <v>Q1-23</v>
          </cell>
          <cell r="C875" t="str">
            <v>Europe Operations OU</v>
          </cell>
          <cell r="D875">
            <v>2674345</v>
          </cell>
          <cell r="E875" t="str">
            <v>Amazon EU SARL, succursale Italiana</v>
          </cell>
          <cell r="F875" t="str">
            <v>8IC45Q9K</v>
          </cell>
          <cell r="G875" t="str">
            <v>B071ZFMC9Q</v>
          </cell>
          <cell r="H875" t="str">
            <v>939-001498</v>
          </cell>
          <cell r="I875" t="str">
            <v>OE INVOICES</v>
          </cell>
          <cell r="J875">
            <v>44421961184</v>
          </cell>
          <cell r="K875">
            <v>44687</v>
          </cell>
          <cell r="L875">
            <v>11</v>
          </cell>
          <cell r="M875" t="str">
            <v>EUR</v>
          </cell>
          <cell r="N875">
            <v>399.96</v>
          </cell>
          <cell r="O875">
            <v>66.66</v>
          </cell>
          <cell r="P875">
            <v>6</v>
          </cell>
          <cell r="Q875">
            <v>6</v>
          </cell>
          <cell r="R875">
            <v>0</v>
          </cell>
        </row>
        <row r="876">
          <cell r="A876" t="str">
            <v>8IC45Q9KB0766JZ8Q3</v>
          </cell>
          <cell r="B876" t="str">
            <v>Q1-23</v>
          </cell>
          <cell r="C876" t="str">
            <v>Europe Operations OU</v>
          </cell>
          <cell r="D876">
            <v>2674345</v>
          </cell>
          <cell r="E876" t="str">
            <v>Amazon EU SARL, succursale Italiana</v>
          </cell>
          <cell r="F876" t="str">
            <v>8IC45Q9K</v>
          </cell>
          <cell r="G876" t="str">
            <v>B0766JZ8Q3</v>
          </cell>
          <cell r="H876" t="str">
            <v>943-000118</v>
          </cell>
          <cell r="I876" t="str">
            <v>OE INVOICES</v>
          </cell>
          <cell r="J876">
            <v>44421961184</v>
          </cell>
          <cell r="K876">
            <v>44687</v>
          </cell>
          <cell r="L876">
            <v>12</v>
          </cell>
          <cell r="M876" t="str">
            <v>EUR</v>
          </cell>
          <cell r="N876">
            <v>105.48</v>
          </cell>
          <cell r="O876">
            <v>26.37</v>
          </cell>
          <cell r="P876">
            <v>4</v>
          </cell>
          <cell r="Q876">
            <v>4</v>
          </cell>
          <cell r="R876">
            <v>0</v>
          </cell>
        </row>
        <row r="877">
          <cell r="A877" t="str">
            <v>8IC45Q9KB079Z3DSBK</v>
          </cell>
          <cell r="B877" t="str">
            <v>Q1-23</v>
          </cell>
          <cell r="C877" t="str">
            <v>Europe Operations OU</v>
          </cell>
          <cell r="D877">
            <v>2674345</v>
          </cell>
          <cell r="E877" t="str">
            <v>Amazon EU SARL, succursale Italiana</v>
          </cell>
          <cell r="F877" t="str">
            <v>8IC45Q9K</v>
          </cell>
          <cell r="G877" t="str">
            <v>B079Z3DSBK</v>
          </cell>
          <cell r="H877" t="str">
            <v>945-000059</v>
          </cell>
          <cell r="I877" t="str">
            <v>OE INVOICES</v>
          </cell>
          <cell r="J877">
            <v>44421963421</v>
          </cell>
          <cell r="K877">
            <v>44691</v>
          </cell>
          <cell r="L877">
            <v>1</v>
          </cell>
          <cell r="M877" t="str">
            <v>EUR</v>
          </cell>
          <cell r="N877">
            <v>1419.3</v>
          </cell>
          <cell r="O877">
            <v>141.93</v>
          </cell>
          <cell r="P877">
            <v>10</v>
          </cell>
          <cell r="Q877">
            <v>10</v>
          </cell>
          <cell r="R877">
            <v>0</v>
          </cell>
        </row>
        <row r="878">
          <cell r="A878" t="str">
            <v>8IC45Q9KB07GS6ZB7T</v>
          </cell>
          <cell r="B878" t="str">
            <v>Q1-23</v>
          </cell>
          <cell r="C878" t="str">
            <v>Europe Operations OU</v>
          </cell>
          <cell r="D878">
            <v>2674345</v>
          </cell>
          <cell r="E878" t="str">
            <v>Amazon EU SARL, succursale Italiana</v>
          </cell>
          <cell r="F878" t="str">
            <v>8IC45Q9K</v>
          </cell>
          <cell r="G878" t="str">
            <v>B07GS6ZB7T</v>
          </cell>
          <cell r="H878" t="str">
            <v>910-005471</v>
          </cell>
          <cell r="I878" t="str">
            <v>OE INVOICES</v>
          </cell>
          <cell r="J878">
            <v>44421961184</v>
          </cell>
          <cell r="K878">
            <v>44687</v>
          </cell>
          <cell r="L878">
            <v>13</v>
          </cell>
          <cell r="M878" t="str">
            <v>EUR</v>
          </cell>
          <cell r="N878">
            <v>1899.2</v>
          </cell>
          <cell r="O878">
            <v>47.48</v>
          </cell>
          <cell r="P878">
            <v>40</v>
          </cell>
          <cell r="Q878">
            <v>40</v>
          </cell>
          <cell r="R878">
            <v>0</v>
          </cell>
        </row>
        <row r="879">
          <cell r="A879" t="str">
            <v>8IC45Q9KB07MTWHWZ1</v>
          </cell>
          <cell r="B879" t="str">
            <v>Q1-23</v>
          </cell>
          <cell r="C879" t="str">
            <v>Europe Operations OU</v>
          </cell>
          <cell r="D879">
            <v>2674345</v>
          </cell>
          <cell r="E879" t="str">
            <v>Amazon EU SARL, succursale Italiana</v>
          </cell>
          <cell r="F879" t="str">
            <v>8IC45Q9K</v>
          </cell>
          <cell r="G879" t="str">
            <v>B07MTWHWZ1</v>
          </cell>
          <cell r="H879" t="str">
            <v>981-000757</v>
          </cell>
          <cell r="I879" t="str">
            <v>OE INVOICES</v>
          </cell>
          <cell r="J879">
            <v>44421961184</v>
          </cell>
          <cell r="K879">
            <v>44687</v>
          </cell>
          <cell r="L879">
            <v>14</v>
          </cell>
          <cell r="M879" t="str">
            <v>EUR</v>
          </cell>
          <cell r="N879">
            <v>253.2</v>
          </cell>
          <cell r="O879">
            <v>31.65</v>
          </cell>
          <cell r="P879">
            <v>8</v>
          </cell>
          <cell r="Q879">
            <v>8</v>
          </cell>
          <cell r="R879">
            <v>0</v>
          </cell>
        </row>
        <row r="880">
          <cell r="A880" t="str">
            <v>8IC45Q9KB07MTXLFXV</v>
          </cell>
          <cell r="B880" t="str">
            <v>Q1-23</v>
          </cell>
          <cell r="C880" t="str">
            <v>Europe Operations OU</v>
          </cell>
          <cell r="D880">
            <v>2674345</v>
          </cell>
          <cell r="E880" t="str">
            <v>Amazon EU SARL, succursale Italiana</v>
          </cell>
          <cell r="F880" t="str">
            <v>8IC45Q9K</v>
          </cell>
          <cell r="G880" t="str">
            <v>B07MTXLFXV</v>
          </cell>
          <cell r="H880" t="str">
            <v>981-000770</v>
          </cell>
          <cell r="I880" t="str">
            <v>OE INVOICES</v>
          </cell>
          <cell r="J880">
            <v>44421961184</v>
          </cell>
          <cell r="K880">
            <v>44687</v>
          </cell>
          <cell r="L880">
            <v>15</v>
          </cell>
          <cell r="M880" t="str">
            <v>EUR</v>
          </cell>
          <cell r="N880">
            <v>337.6</v>
          </cell>
          <cell r="O880">
            <v>42.2</v>
          </cell>
          <cell r="P880">
            <v>8</v>
          </cell>
          <cell r="Q880">
            <v>8</v>
          </cell>
          <cell r="R880">
            <v>0</v>
          </cell>
        </row>
        <row r="881">
          <cell r="A881" t="str">
            <v>8IC45Q9KB07VWZHCNX</v>
          </cell>
          <cell r="B881" t="str">
            <v>Q1-23</v>
          </cell>
          <cell r="C881" t="str">
            <v>Europe Operations OU</v>
          </cell>
          <cell r="D881">
            <v>2674345</v>
          </cell>
          <cell r="E881" t="str">
            <v>Amazon EU SARL, succursale Italiana</v>
          </cell>
          <cell r="F881" t="str">
            <v>8IC45Q9K</v>
          </cell>
          <cell r="G881" t="str">
            <v>B07VWZHCNX</v>
          </cell>
          <cell r="H881" t="str">
            <v>956-000001</v>
          </cell>
          <cell r="I881" t="str">
            <v>OE INVOICES</v>
          </cell>
          <cell r="J881">
            <v>44421961184</v>
          </cell>
          <cell r="K881">
            <v>44687</v>
          </cell>
          <cell r="L881">
            <v>16</v>
          </cell>
          <cell r="M881" t="str">
            <v>EUR</v>
          </cell>
          <cell r="N881">
            <v>176.32</v>
          </cell>
          <cell r="O881">
            <v>11.02</v>
          </cell>
          <cell r="P881">
            <v>16</v>
          </cell>
          <cell r="Q881">
            <v>16</v>
          </cell>
          <cell r="R881">
            <v>0</v>
          </cell>
        </row>
        <row r="882">
          <cell r="A882" t="str">
            <v>8IC45Q9KB07W6HDNNV</v>
          </cell>
          <cell r="B882" t="str">
            <v>Q1-23</v>
          </cell>
          <cell r="C882" t="str">
            <v>Europe Operations OU</v>
          </cell>
          <cell r="D882">
            <v>2674345</v>
          </cell>
          <cell r="E882" t="str">
            <v>Amazon EU SARL, succursale Italiana</v>
          </cell>
          <cell r="F882" t="str">
            <v>8IC45Q9K</v>
          </cell>
          <cell r="G882" t="str">
            <v>B07W6HDNNV</v>
          </cell>
          <cell r="H882" t="str">
            <v>910-005696</v>
          </cell>
          <cell r="I882" t="str">
            <v>OE INVOICES</v>
          </cell>
          <cell r="J882">
            <v>44421961184</v>
          </cell>
          <cell r="K882">
            <v>44687</v>
          </cell>
          <cell r="L882">
            <v>17</v>
          </cell>
          <cell r="M882" t="str">
            <v>EUR</v>
          </cell>
          <cell r="N882">
            <v>2714.76</v>
          </cell>
          <cell r="O882">
            <v>75.41</v>
          </cell>
          <cell r="P882">
            <v>36</v>
          </cell>
          <cell r="Q882">
            <v>36</v>
          </cell>
          <cell r="R882">
            <v>0</v>
          </cell>
        </row>
        <row r="883">
          <cell r="A883" t="str">
            <v>8IC45Q9KB07W6HFDR8</v>
          </cell>
          <cell r="B883" t="str">
            <v>Q1-23</v>
          </cell>
          <cell r="C883" t="str">
            <v>Europe Operations OU</v>
          </cell>
          <cell r="D883">
            <v>2674345</v>
          </cell>
          <cell r="E883" t="str">
            <v>Amazon EU SARL, succursale Italiana</v>
          </cell>
          <cell r="F883" t="str">
            <v>8IC45Q9K</v>
          </cell>
          <cell r="G883" t="str">
            <v>B07W6HFDR8</v>
          </cell>
          <cell r="H883" t="str">
            <v>943-000457</v>
          </cell>
          <cell r="I883" t="str">
            <v>OE INVOICES</v>
          </cell>
          <cell r="J883">
            <v>44421961184</v>
          </cell>
          <cell r="K883">
            <v>44687</v>
          </cell>
          <cell r="L883">
            <v>18</v>
          </cell>
          <cell r="M883" t="str">
            <v>EUR</v>
          </cell>
          <cell r="N883">
            <v>105.48</v>
          </cell>
          <cell r="O883">
            <v>26.37</v>
          </cell>
          <cell r="P883">
            <v>4</v>
          </cell>
          <cell r="Q883">
            <v>4</v>
          </cell>
          <cell r="R883">
            <v>0</v>
          </cell>
        </row>
        <row r="884">
          <cell r="A884" t="str">
            <v>8IC45Q9KB07W6J6TG5</v>
          </cell>
          <cell r="B884" t="str">
            <v>Q1-23</v>
          </cell>
          <cell r="C884" t="str">
            <v>Europe Operations OU</v>
          </cell>
          <cell r="D884">
            <v>2674345</v>
          </cell>
          <cell r="E884" t="str">
            <v>Amazon EU SARL, succursale Italiana</v>
          </cell>
          <cell r="F884" t="str">
            <v>8IC45Q9K</v>
          </cell>
          <cell r="G884" t="str">
            <v>B07W6J6TG5</v>
          </cell>
          <cell r="H884" t="str">
            <v>981-000978</v>
          </cell>
          <cell r="I884" t="str">
            <v>OE INVOICES</v>
          </cell>
          <cell r="J884">
            <v>44421961184</v>
          </cell>
          <cell r="K884">
            <v>44687</v>
          </cell>
          <cell r="L884">
            <v>19</v>
          </cell>
          <cell r="M884" t="str">
            <v>EUR</v>
          </cell>
          <cell r="N884">
            <v>2215.8000000000002</v>
          </cell>
          <cell r="O884">
            <v>36.93</v>
          </cell>
          <cell r="P884">
            <v>60</v>
          </cell>
          <cell r="Q884">
            <v>60</v>
          </cell>
          <cell r="R884">
            <v>0</v>
          </cell>
        </row>
        <row r="885">
          <cell r="A885" t="str">
            <v>8JRL112ZB07W6HDNNV</v>
          </cell>
          <cell r="B885" t="str">
            <v>Q1-23</v>
          </cell>
          <cell r="C885" t="str">
            <v>Europe Operations OU</v>
          </cell>
          <cell r="D885">
            <v>2674345</v>
          </cell>
          <cell r="E885" t="str">
            <v>Amazon EU SARL, succursale Italiana</v>
          </cell>
          <cell r="F885" t="str">
            <v>8JRL112Z</v>
          </cell>
          <cell r="G885" t="str">
            <v>B07W6HDNNV</v>
          </cell>
          <cell r="H885" t="str">
            <v>910-005696</v>
          </cell>
          <cell r="I885" t="str">
            <v>OE INVOICES</v>
          </cell>
          <cell r="J885">
            <v>44421963570</v>
          </cell>
          <cell r="K885">
            <v>44691</v>
          </cell>
          <cell r="L885">
            <v>1</v>
          </cell>
          <cell r="M885" t="str">
            <v>EUR</v>
          </cell>
          <cell r="N885">
            <v>6937.72</v>
          </cell>
          <cell r="O885">
            <v>75.41</v>
          </cell>
          <cell r="P885">
            <v>92</v>
          </cell>
          <cell r="Q885">
            <v>92</v>
          </cell>
          <cell r="R885">
            <v>0</v>
          </cell>
        </row>
        <row r="886">
          <cell r="A886" t="str">
            <v>8JVTHC2JB07H3HGS9R</v>
          </cell>
          <cell r="B886" t="str">
            <v>Q1-23</v>
          </cell>
          <cell r="C886" t="str">
            <v>Europe Operations OU</v>
          </cell>
          <cell r="D886">
            <v>2674345</v>
          </cell>
          <cell r="E886" t="str">
            <v>Amazon EU SARL, succursale Italiana</v>
          </cell>
          <cell r="F886" t="str">
            <v>8JVTHC2J</v>
          </cell>
          <cell r="G886" t="str">
            <v>B07H3HGS9R</v>
          </cell>
          <cell r="H886" t="str">
            <v>910-005508</v>
          </cell>
          <cell r="I886" t="str">
            <v>OE INVOICES</v>
          </cell>
          <cell r="J886">
            <v>44421958392</v>
          </cell>
          <cell r="K886">
            <v>44684</v>
          </cell>
          <cell r="L886">
            <v>1</v>
          </cell>
          <cell r="M886" t="str">
            <v>EUR</v>
          </cell>
          <cell r="N886">
            <v>351</v>
          </cell>
          <cell r="O886">
            <v>5.85</v>
          </cell>
          <cell r="P886">
            <v>60</v>
          </cell>
          <cell r="Q886">
            <v>60</v>
          </cell>
          <cell r="R886">
            <v>0</v>
          </cell>
        </row>
        <row r="887">
          <cell r="A887" t="str">
            <v>8TBCZ9EDB00EUUX59O</v>
          </cell>
          <cell r="B887" t="str">
            <v>Q1-23</v>
          </cell>
          <cell r="C887" t="str">
            <v>Europe Operations OU</v>
          </cell>
          <cell r="D887">
            <v>2674345</v>
          </cell>
          <cell r="E887" t="str">
            <v>Amazon EU SARL, succursale Italiana</v>
          </cell>
          <cell r="F887" t="str">
            <v>8TBCZ9ED</v>
          </cell>
          <cell r="G887" t="str">
            <v>B00EUUX59O</v>
          </cell>
          <cell r="H887" t="str">
            <v>980-000811</v>
          </cell>
          <cell r="I887" t="str">
            <v>OE INVOICES</v>
          </cell>
          <cell r="J887">
            <v>44421958391</v>
          </cell>
          <cell r="K887">
            <v>44684</v>
          </cell>
          <cell r="L887">
            <v>1</v>
          </cell>
          <cell r="M887" t="str">
            <v>EUR</v>
          </cell>
          <cell r="N887">
            <v>234.24</v>
          </cell>
          <cell r="O887">
            <v>29.28</v>
          </cell>
          <cell r="P887">
            <v>8</v>
          </cell>
          <cell r="Q887">
            <v>8</v>
          </cell>
          <cell r="R887">
            <v>0</v>
          </cell>
        </row>
        <row r="888">
          <cell r="A888" t="str">
            <v>8TBCZ9EDB07W5JHLCB</v>
          </cell>
          <cell r="B888" t="str">
            <v>Q1-23</v>
          </cell>
          <cell r="C888" t="str">
            <v>Europe Operations OU</v>
          </cell>
          <cell r="D888">
            <v>2674345</v>
          </cell>
          <cell r="E888" t="str">
            <v>Amazon EU SARL, succursale Italiana</v>
          </cell>
          <cell r="F888" t="str">
            <v>8TBCZ9ED</v>
          </cell>
          <cell r="G888" t="str">
            <v>B07W5JHLCB</v>
          </cell>
          <cell r="H888" t="str">
            <v>910-005988</v>
          </cell>
          <cell r="I888" t="str">
            <v>OE INVOICES</v>
          </cell>
          <cell r="J888">
            <v>44421958391</v>
          </cell>
          <cell r="K888">
            <v>44684</v>
          </cell>
          <cell r="L888">
            <v>2</v>
          </cell>
          <cell r="M888" t="str">
            <v>EUR</v>
          </cell>
          <cell r="N888">
            <v>2320</v>
          </cell>
          <cell r="O888">
            <v>58</v>
          </cell>
          <cell r="P888">
            <v>40</v>
          </cell>
          <cell r="Q888">
            <v>40</v>
          </cell>
          <cell r="R888">
            <v>0</v>
          </cell>
        </row>
        <row r="889">
          <cell r="A889" t="str">
            <v>8TP6LKKAB01GNP4Y70</v>
          </cell>
          <cell r="B889" t="str">
            <v>Q1-23</v>
          </cell>
          <cell r="C889" t="str">
            <v>Europe Operations OU</v>
          </cell>
          <cell r="D889">
            <v>2674345</v>
          </cell>
          <cell r="E889" t="str">
            <v>Amazon EU SARL, succursale Italiana</v>
          </cell>
          <cell r="F889" t="str">
            <v>8TP6LKKA</v>
          </cell>
          <cell r="G889" t="str">
            <v>B01GNP4Y70</v>
          </cell>
          <cell r="H889" t="str">
            <v>920-008034</v>
          </cell>
          <cell r="I889" t="str">
            <v>OE INVOICES</v>
          </cell>
          <cell r="J889">
            <v>44421951820</v>
          </cell>
          <cell r="K889">
            <v>44672</v>
          </cell>
          <cell r="L889">
            <v>1</v>
          </cell>
          <cell r="M889" t="str">
            <v>EUR</v>
          </cell>
          <cell r="N889">
            <v>556.88</v>
          </cell>
          <cell r="O889">
            <v>69.61</v>
          </cell>
          <cell r="P889">
            <v>8</v>
          </cell>
          <cell r="Q889">
            <v>8</v>
          </cell>
          <cell r="R889">
            <v>0</v>
          </cell>
        </row>
        <row r="890">
          <cell r="A890" t="str">
            <v>8TP6LKKAB01N5NYRES</v>
          </cell>
          <cell r="B890" t="str">
            <v>Q1-23</v>
          </cell>
          <cell r="C890" t="str">
            <v>Europe Operations OU</v>
          </cell>
          <cell r="D890">
            <v>2674345</v>
          </cell>
          <cell r="E890" t="str">
            <v>Amazon EU SARL, succursale Italiana</v>
          </cell>
          <cell r="F890" t="str">
            <v>8TP6LKKA</v>
          </cell>
          <cell r="G890" t="str">
            <v>B01N5NYRES</v>
          </cell>
          <cell r="H890" t="str">
            <v>960-001106</v>
          </cell>
          <cell r="I890" t="str">
            <v>OE INVOICES</v>
          </cell>
          <cell r="J890">
            <v>44421951820</v>
          </cell>
          <cell r="K890">
            <v>44672</v>
          </cell>
          <cell r="L890">
            <v>2</v>
          </cell>
          <cell r="M890" t="str">
            <v>EUR</v>
          </cell>
          <cell r="N890">
            <v>6373.2</v>
          </cell>
          <cell r="O890">
            <v>159.33000000000001</v>
          </cell>
          <cell r="P890">
            <v>40</v>
          </cell>
          <cell r="Q890">
            <v>40</v>
          </cell>
          <cell r="R890">
            <v>0</v>
          </cell>
        </row>
        <row r="891">
          <cell r="A891" t="str">
            <v>8TP6LKKAB07G6B2SGF</v>
          </cell>
          <cell r="B891" t="str">
            <v>Q1-23</v>
          </cell>
          <cell r="C891" t="str">
            <v>Europe Operations OU</v>
          </cell>
          <cell r="D891">
            <v>2674345</v>
          </cell>
          <cell r="E891" t="str">
            <v>Amazon EU SARL, succursale Italiana</v>
          </cell>
          <cell r="F891" t="str">
            <v>8TP6LKKA</v>
          </cell>
          <cell r="G891" t="str">
            <v>B07G6B2SGF</v>
          </cell>
          <cell r="H891" t="str">
            <v>989-000434</v>
          </cell>
          <cell r="I891" t="str">
            <v>OE INVOICES</v>
          </cell>
          <cell r="J891">
            <v>44421951820</v>
          </cell>
          <cell r="K891">
            <v>44672</v>
          </cell>
          <cell r="L891">
            <v>3</v>
          </cell>
          <cell r="M891" t="str">
            <v>EUR</v>
          </cell>
          <cell r="N891">
            <v>171.2</v>
          </cell>
          <cell r="O891">
            <v>21.4</v>
          </cell>
          <cell r="P891">
            <v>8</v>
          </cell>
          <cell r="Q891">
            <v>8</v>
          </cell>
          <cell r="R891">
            <v>0</v>
          </cell>
        </row>
        <row r="892">
          <cell r="A892" t="str">
            <v>8TP6LKKAB07GS6ZB7T</v>
          </cell>
          <cell r="B892" t="str">
            <v>Q1-23</v>
          </cell>
          <cell r="C892" t="str">
            <v>Europe Operations OU</v>
          </cell>
          <cell r="D892">
            <v>2674345</v>
          </cell>
          <cell r="E892" t="str">
            <v>Amazon EU SARL, succursale Italiana</v>
          </cell>
          <cell r="F892" t="str">
            <v>8TP6LKKA</v>
          </cell>
          <cell r="G892" t="str">
            <v>B07GS6ZB7T</v>
          </cell>
          <cell r="H892" t="str">
            <v>910-005471</v>
          </cell>
          <cell r="I892" t="str">
            <v>OE INVOICES</v>
          </cell>
          <cell r="J892">
            <v>44421951820</v>
          </cell>
          <cell r="K892">
            <v>44672</v>
          </cell>
          <cell r="L892">
            <v>4</v>
          </cell>
          <cell r="M892" t="str">
            <v>EUR</v>
          </cell>
          <cell r="N892">
            <v>379.84</v>
          </cell>
          <cell r="O892">
            <v>47.48</v>
          </cell>
          <cell r="P892">
            <v>8</v>
          </cell>
          <cell r="Q892">
            <v>8</v>
          </cell>
          <cell r="R892">
            <v>0</v>
          </cell>
        </row>
        <row r="893">
          <cell r="A893" t="str">
            <v>8TP6LKKAB07W4DGVQF</v>
          </cell>
          <cell r="B893" t="str">
            <v>Q1-23</v>
          </cell>
          <cell r="C893" t="str">
            <v>Europe Operations OU</v>
          </cell>
          <cell r="D893">
            <v>2674345</v>
          </cell>
          <cell r="E893" t="str">
            <v>Amazon EU SARL, succursale Italiana</v>
          </cell>
          <cell r="F893" t="str">
            <v>8TP6LKKA</v>
          </cell>
          <cell r="G893" t="str">
            <v>B07W4DGVQF</v>
          </cell>
          <cell r="H893" t="str">
            <v>910-005966</v>
          </cell>
          <cell r="I893" t="str">
            <v>OE INVOICES</v>
          </cell>
          <cell r="J893">
            <v>44421951820</v>
          </cell>
          <cell r="K893">
            <v>44672</v>
          </cell>
          <cell r="L893">
            <v>5</v>
          </cell>
          <cell r="M893" t="str">
            <v>EUR</v>
          </cell>
          <cell r="N893">
            <v>1160</v>
          </cell>
          <cell r="O893">
            <v>58</v>
          </cell>
          <cell r="P893">
            <v>20</v>
          </cell>
          <cell r="Q893">
            <v>20</v>
          </cell>
          <cell r="R893">
            <v>0</v>
          </cell>
        </row>
        <row r="894">
          <cell r="A894" t="str">
            <v>8TP6LKKAB07W4DHKTD</v>
          </cell>
          <cell r="B894" t="str">
            <v>Q1-23</v>
          </cell>
          <cell r="C894" t="str">
            <v>Europe Operations OU</v>
          </cell>
          <cell r="D894">
            <v>2674345</v>
          </cell>
          <cell r="E894" t="str">
            <v>Amazon EU SARL, succursale Italiana</v>
          </cell>
          <cell r="F894" t="str">
            <v>8TP6LKKA</v>
          </cell>
          <cell r="G894" t="str">
            <v>B07W4DHKTD</v>
          </cell>
          <cell r="H894" t="str">
            <v>910-005880</v>
          </cell>
          <cell r="I894" t="str">
            <v>OE INVOICES</v>
          </cell>
          <cell r="J894">
            <v>44421951820</v>
          </cell>
          <cell r="K894">
            <v>44672</v>
          </cell>
          <cell r="L894">
            <v>6</v>
          </cell>
          <cell r="M894" t="str">
            <v>EUR</v>
          </cell>
          <cell r="N894">
            <v>14093.52</v>
          </cell>
          <cell r="O894">
            <v>83.89</v>
          </cell>
          <cell r="P894">
            <v>168</v>
          </cell>
          <cell r="Q894">
            <v>168</v>
          </cell>
          <cell r="R894">
            <v>0</v>
          </cell>
        </row>
        <row r="895">
          <cell r="A895" t="str">
            <v>8TP6LKKAB07W5JHLCB</v>
          </cell>
          <cell r="B895" t="str">
            <v>Q1-23</v>
          </cell>
          <cell r="C895" t="str">
            <v>Europe Operations OU</v>
          </cell>
          <cell r="D895">
            <v>2674345</v>
          </cell>
          <cell r="E895" t="str">
            <v>Amazon EU SARL, succursale Italiana</v>
          </cell>
          <cell r="F895" t="str">
            <v>8TP6LKKA</v>
          </cell>
          <cell r="G895" t="str">
            <v>B07W5JHLCB</v>
          </cell>
          <cell r="H895" t="str">
            <v>910-005988</v>
          </cell>
          <cell r="I895" t="str">
            <v>OE INVOICES</v>
          </cell>
          <cell r="J895">
            <v>44421951820</v>
          </cell>
          <cell r="K895">
            <v>44672</v>
          </cell>
          <cell r="L895">
            <v>7</v>
          </cell>
          <cell r="M895" t="str">
            <v>EUR</v>
          </cell>
          <cell r="N895">
            <v>10440</v>
          </cell>
          <cell r="O895">
            <v>58</v>
          </cell>
          <cell r="P895">
            <v>180</v>
          </cell>
          <cell r="Q895">
            <v>180</v>
          </cell>
          <cell r="R895">
            <v>0</v>
          </cell>
        </row>
        <row r="896">
          <cell r="A896" t="str">
            <v>8TP6LKKAB07W5JKPJX</v>
          </cell>
          <cell r="B896" t="str">
            <v>Q1-23</v>
          </cell>
          <cell r="C896" t="str">
            <v>Europe Operations OU</v>
          </cell>
          <cell r="D896">
            <v>2674345</v>
          </cell>
          <cell r="E896" t="str">
            <v>Amazon EU SARL, succursale Italiana</v>
          </cell>
          <cell r="F896" t="str">
            <v>8TP6LKKA</v>
          </cell>
          <cell r="G896" t="str">
            <v>B07W5JKPJX</v>
          </cell>
          <cell r="H896" t="str">
            <v>910-005881</v>
          </cell>
          <cell r="I896" t="str">
            <v>OE INVOICES</v>
          </cell>
          <cell r="J896">
            <v>44421951820</v>
          </cell>
          <cell r="K896">
            <v>44672</v>
          </cell>
          <cell r="L896">
            <v>8</v>
          </cell>
          <cell r="M896" t="str">
            <v>EUR</v>
          </cell>
          <cell r="N896">
            <v>335.56</v>
          </cell>
          <cell r="O896">
            <v>83.89</v>
          </cell>
          <cell r="P896">
            <v>4</v>
          </cell>
          <cell r="Q896">
            <v>4</v>
          </cell>
          <cell r="R896">
            <v>0</v>
          </cell>
        </row>
        <row r="897">
          <cell r="A897" t="str">
            <v>8TP6LKKAB07W6FNF6N</v>
          </cell>
          <cell r="B897" t="str">
            <v>Q1-23</v>
          </cell>
          <cell r="C897" t="str">
            <v>Europe Operations OU</v>
          </cell>
          <cell r="D897">
            <v>2674345</v>
          </cell>
          <cell r="E897" t="str">
            <v>Amazon EU SARL, succursale Italiana</v>
          </cell>
          <cell r="F897" t="str">
            <v>8TP6LKKA</v>
          </cell>
          <cell r="G897" t="str">
            <v>B07W6FNF6N</v>
          </cell>
          <cell r="H897" t="str">
            <v>920-009841</v>
          </cell>
          <cell r="I897" t="str">
            <v>OE INVOICES</v>
          </cell>
          <cell r="J897">
            <v>44421951820</v>
          </cell>
          <cell r="K897">
            <v>44672</v>
          </cell>
          <cell r="L897">
            <v>9</v>
          </cell>
          <cell r="M897" t="str">
            <v>EUR</v>
          </cell>
          <cell r="N897">
            <v>603.28</v>
          </cell>
          <cell r="O897">
            <v>75.41</v>
          </cell>
          <cell r="P897">
            <v>8</v>
          </cell>
          <cell r="Q897">
            <v>8</v>
          </cell>
          <cell r="R897">
            <v>0</v>
          </cell>
        </row>
        <row r="898">
          <cell r="A898" t="str">
            <v>8TP6LKKAB07W6HDNNV</v>
          </cell>
          <cell r="B898" t="str">
            <v>Q1-23</v>
          </cell>
          <cell r="C898" t="str">
            <v>Europe Operations OU</v>
          </cell>
          <cell r="D898">
            <v>2674345</v>
          </cell>
          <cell r="E898" t="str">
            <v>Amazon EU SARL, succursale Italiana</v>
          </cell>
          <cell r="F898" t="str">
            <v>8TP6LKKA</v>
          </cell>
          <cell r="G898" t="str">
            <v>B07W6HDNNV</v>
          </cell>
          <cell r="H898" t="str">
            <v>910-005696</v>
          </cell>
          <cell r="I898" t="str">
            <v>OE INVOICES</v>
          </cell>
          <cell r="J898">
            <v>44421951820</v>
          </cell>
          <cell r="K898">
            <v>44672</v>
          </cell>
          <cell r="L898">
            <v>10</v>
          </cell>
          <cell r="M898" t="str">
            <v>EUR</v>
          </cell>
          <cell r="N898">
            <v>904.92</v>
          </cell>
          <cell r="O898">
            <v>75.41</v>
          </cell>
          <cell r="P898">
            <v>12</v>
          </cell>
          <cell r="Q898">
            <v>12</v>
          </cell>
          <cell r="R898">
            <v>0</v>
          </cell>
        </row>
        <row r="899">
          <cell r="A899" t="str">
            <v>8TP6LKKAB07W6J51XR</v>
          </cell>
          <cell r="B899" t="str">
            <v>Q1-23</v>
          </cell>
          <cell r="C899" t="str">
            <v>Europe Operations OU</v>
          </cell>
          <cell r="D899">
            <v>2674345</v>
          </cell>
          <cell r="E899" t="str">
            <v>Amazon EU SARL, succursale Italiana</v>
          </cell>
          <cell r="F899" t="str">
            <v>8TP6LKKA</v>
          </cell>
          <cell r="G899" t="str">
            <v>B07W6J51XR</v>
          </cell>
          <cell r="H899" t="str">
            <v>910-005942</v>
          </cell>
          <cell r="I899" t="str">
            <v>OE INVOICES</v>
          </cell>
          <cell r="J899">
            <v>44421951820</v>
          </cell>
          <cell r="K899">
            <v>44672</v>
          </cell>
          <cell r="L899">
            <v>11</v>
          </cell>
          <cell r="M899" t="str">
            <v>EUR</v>
          </cell>
          <cell r="N899">
            <v>671.12</v>
          </cell>
          <cell r="O899">
            <v>83.89</v>
          </cell>
          <cell r="P899">
            <v>8</v>
          </cell>
          <cell r="Q899">
            <v>8</v>
          </cell>
          <cell r="R899">
            <v>0</v>
          </cell>
        </row>
        <row r="900">
          <cell r="A900" t="str">
            <v>8TP6LKKAB07W6JFPT1</v>
          </cell>
          <cell r="B900" t="str">
            <v>Q1-23</v>
          </cell>
          <cell r="C900" t="str">
            <v>Europe Operations OU</v>
          </cell>
          <cell r="D900">
            <v>2674345</v>
          </cell>
          <cell r="E900" t="str">
            <v>Amazon EU SARL, succursale Italiana</v>
          </cell>
          <cell r="F900" t="str">
            <v>8TP6LKKA</v>
          </cell>
          <cell r="G900" t="str">
            <v>B07W6JFPT1</v>
          </cell>
          <cell r="H900" t="str">
            <v>920-009405</v>
          </cell>
          <cell r="I900" t="str">
            <v>OE INVOICES</v>
          </cell>
          <cell r="J900">
            <v>44421951820</v>
          </cell>
          <cell r="K900">
            <v>44672</v>
          </cell>
          <cell r="L900">
            <v>12</v>
          </cell>
          <cell r="M900" t="str">
            <v>EUR</v>
          </cell>
          <cell r="N900">
            <v>301.64</v>
          </cell>
          <cell r="O900">
            <v>75.41</v>
          </cell>
          <cell r="P900">
            <v>4</v>
          </cell>
          <cell r="Q900">
            <v>4</v>
          </cell>
          <cell r="R90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9E4E-4EC7-416D-B5CB-571D9156F926}">
  <dimension ref="A1:AJ537"/>
  <sheetViews>
    <sheetView workbookViewId="0">
      <pane ySplit="1" topLeftCell="A2" activePane="bottomLeft" state="frozen"/>
      <selection pane="bottomLeft" activeCell="J1" sqref="J1:L1"/>
    </sheetView>
  </sheetViews>
  <sheetFormatPr defaultColWidth="9" defaultRowHeight="15" x14ac:dyDescent="0.25"/>
  <cols>
    <col min="1" max="3" width="10.85546875" customWidth="1"/>
    <col min="4" max="4" width="20.85546875" customWidth="1"/>
    <col min="5" max="5" width="8.85546875" customWidth="1"/>
    <col min="6" max="6" width="12.85546875" customWidth="1"/>
    <col min="7" max="7" width="9.85546875" customWidth="1"/>
    <col min="8" max="8" width="12.85546875" customWidth="1"/>
    <col min="9" max="9" width="9.85546875" customWidth="1"/>
    <col min="10" max="12" width="11.85546875" customWidth="1"/>
    <col min="13" max="13" width="9.85546875" customWidth="1"/>
    <col min="14" max="14" width="11.85546875" customWidth="1"/>
    <col min="15" max="15" width="9.85546875" customWidth="1"/>
    <col min="16" max="16" width="11.85546875" customWidth="1"/>
    <col min="17" max="17" width="12.85546875" customWidth="1"/>
    <col min="18" max="19" width="14.85546875" customWidth="1"/>
    <col min="20" max="20" width="12.85546875" customWidth="1"/>
    <col min="21" max="21" width="10.85546875" customWidth="1"/>
    <col min="22" max="22" width="7.85546875" customWidth="1"/>
    <col min="23" max="24" width="12.85546875" customWidth="1"/>
    <col min="25" max="26" width="18.85546875" customWidth="1"/>
    <col min="27" max="27" width="10.85546875" customWidth="1"/>
    <col min="28" max="28" width="8.85546875" customWidth="1"/>
    <col min="29" max="30" width="9.85546875" customWidth="1"/>
    <col min="31" max="31" width="12.85546875" customWidth="1"/>
    <col min="32" max="34" width="10.85546875" customWidth="1"/>
    <col min="35" max="35" width="15.140625" customWidth="1"/>
    <col min="259" max="261" width="10.85546875" customWidth="1"/>
    <col min="262" max="262" width="20.85546875" customWidth="1"/>
    <col min="263" max="263" width="8.85546875" customWidth="1"/>
    <col min="264" max="264" width="12.85546875" customWidth="1"/>
    <col min="265" max="265" width="9.85546875" customWidth="1"/>
    <col min="266" max="266" width="12.85546875" customWidth="1"/>
    <col min="267" max="267" width="9.85546875" customWidth="1"/>
    <col min="268" max="268" width="11.85546875" customWidth="1"/>
    <col min="269" max="269" width="9.85546875" customWidth="1"/>
    <col min="270" max="270" width="11.85546875" customWidth="1"/>
    <col min="271" max="271" width="9.85546875" customWidth="1"/>
    <col min="272" max="272" width="11.85546875" customWidth="1"/>
    <col min="273" max="273" width="12.85546875" customWidth="1"/>
    <col min="274" max="275" width="14.85546875" customWidth="1"/>
    <col min="276" max="276" width="12.85546875" customWidth="1"/>
    <col min="277" max="277" width="10.85546875" customWidth="1"/>
    <col min="278" max="278" width="7.85546875" customWidth="1"/>
    <col min="279" max="280" width="12.85546875" customWidth="1"/>
    <col min="281" max="282" width="18.85546875" customWidth="1"/>
    <col min="283" max="283" width="10.85546875" customWidth="1"/>
    <col min="284" max="284" width="8.85546875" customWidth="1"/>
    <col min="285" max="286" width="9.85546875" customWidth="1"/>
    <col min="287" max="287" width="12.85546875" customWidth="1"/>
    <col min="288" max="290" width="10.85546875" customWidth="1"/>
    <col min="291" max="291" width="15.140625" customWidth="1"/>
    <col min="515" max="517" width="10.85546875" customWidth="1"/>
    <col min="518" max="518" width="20.85546875" customWidth="1"/>
    <col min="519" max="519" width="8.85546875" customWidth="1"/>
    <col min="520" max="520" width="12.85546875" customWidth="1"/>
    <col min="521" max="521" width="9.85546875" customWidth="1"/>
    <col min="522" max="522" width="12.85546875" customWidth="1"/>
    <col min="523" max="523" width="9.85546875" customWidth="1"/>
    <col min="524" max="524" width="11.85546875" customWidth="1"/>
    <col min="525" max="525" width="9.85546875" customWidth="1"/>
    <col min="526" max="526" width="11.85546875" customWidth="1"/>
    <col min="527" max="527" width="9.85546875" customWidth="1"/>
    <col min="528" max="528" width="11.85546875" customWidth="1"/>
    <col min="529" max="529" width="12.85546875" customWidth="1"/>
    <col min="530" max="531" width="14.85546875" customWidth="1"/>
    <col min="532" max="532" width="12.85546875" customWidth="1"/>
    <col min="533" max="533" width="10.85546875" customWidth="1"/>
    <col min="534" max="534" width="7.85546875" customWidth="1"/>
    <col min="535" max="536" width="12.85546875" customWidth="1"/>
    <col min="537" max="538" width="18.85546875" customWidth="1"/>
    <col min="539" max="539" width="10.85546875" customWidth="1"/>
    <col min="540" max="540" width="8.85546875" customWidth="1"/>
    <col min="541" max="542" width="9.85546875" customWidth="1"/>
    <col min="543" max="543" width="12.85546875" customWidth="1"/>
    <col min="544" max="546" width="10.85546875" customWidth="1"/>
    <col min="547" max="547" width="15.140625" customWidth="1"/>
    <col min="771" max="773" width="10.85546875" customWidth="1"/>
    <col min="774" max="774" width="20.85546875" customWidth="1"/>
    <col min="775" max="775" width="8.85546875" customWidth="1"/>
    <col min="776" max="776" width="12.85546875" customWidth="1"/>
    <col min="777" max="777" width="9.85546875" customWidth="1"/>
    <col min="778" max="778" width="12.85546875" customWidth="1"/>
    <col min="779" max="779" width="9.85546875" customWidth="1"/>
    <col min="780" max="780" width="11.85546875" customWidth="1"/>
    <col min="781" max="781" width="9.85546875" customWidth="1"/>
    <col min="782" max="782" width="11.85546875" customWidth="1"/>
    <col min="783" max="783" width="9.85546875" customWidth="1"/>
    <col min="784" max="784" width="11.85546875" customWidth="1"/>
    <col min="785" max="785" width="12.85546875" customWidth="1"/>
    <col min="786" max="787" width="14.85546875" customWidth="1"/>
    <col min="788" max="788" width="12.85546875" customWidth="1"/>
    <col min="789" max="789" width="10.85546875" customWidth="1"/>
    <col min="790" max="790" width="7.85546875" customWidth="1"/>
    <col min="791" max="792" width="12.85546875" customWidth="1"/>
    <col min="793" max="794" width="18.85546875" customWidth="1"/>
    <col min="795" max="795" width="10.85546875" customWidth="1"/>
    <col min="796" max="796" width="8.85546875" customWidth="1"/>
    <col min="797" max="798" width="9.85546875" customWidth="1"/>
    <col min="799" max="799" width="12.85546875" customWidth="1"/>
    <col min="800" max="802" width="10.85546875" customWidth="1"/>
    <col min="803" max="803" width="15.140625" customWidth="1"/>
    <col min="1027" max="1029" width="10.85546875" customWidth="1"/>
    <col min="1030" max="1030" width="20.85546875" customWidth="1"/>
    <col min="1031" max="1031" width="8.85546875" customWidth="1"/>
    <col min="1032" max="1032" width="12.85546875" customWidth="1"/>
    <col min="1033" max="1033" width="9.85546875" customWidth="1"/>
    <col min="1034" max="1034" width="12.85546875" customWidth="1"/>
    <col min="1035" max="1035" width="9.85546875" customWidth="1"/>
    <col min="1036" max="1036" width="11.85546875" customWidth="1"/>
    <col min="1037" max="1037" width="9.85546875" customWidth="1"/>
    <col min="1038" max="1038" width="11.85546875" customWidth="1"/>
    <col min="1039" max="1039" width="9.85546875" customWidth="1"/>
    <col min="1040" max="1040" width="11.85546875" customWidth="1"/>
    <col min="1041" max="1041" width="12.85546875" customWidth="1"/>
    <col min="1042" max="1043" width="14.85546875" customWidth="1"/>
    <col min="1044" max="1044" width="12.85546875" customWidth="1"/>
    <col min="1045" max="1045" width="10.85546875" customWidth="1"/>
    <col min="1046" max="1046" width="7.85546875" customWidth="1"/>
    <col min="1047" max="1048" width="12.85546875" customWidth="1"/>
    <col min="1049" max="1050" width="18.85546875" customWidth="1"/>
    <col min="1051" max="1051" width="10.85546875" customWidth="1"/>
    <col min="1052" max="1052" width="8.85546875" customWidth="1"/>
    <col min="1053" max="1054" width="9.85546875" customWidth="1"/>
    <col min="1055" max="1055" width="12.85546875" customWidth="1"/>
    <col min="1056" max="1058" width="10.85546875" customWidth="1"/>
    <col min="1059" max="1059" width="15.140625" customWidth="1"/>
    <col min="1283" max="1285" width="10.85546875" customWidth="1"/>
    <col min="1286" max="1286" width="20.85546875" customWidth="1"/>
    <col min="1287" max="1287" width="8.85546875" customWidth="1"/>
    <col min="1288" max="1288" width="12.85546875" customWidth="1"/>
    <col min="1289" max="1289" width="9.85546875" customWidth="1"/>
    <col min="1290" max="1290" width="12.85546875" customWidth="1"/>
    <col min="1291" max="1291" width="9.85546875" customWidth="1"/>
    <col min="1292" max="1292" width="11.85546875" customWidth="1"/>
    <col min="1293" max="1293" width="9.85546875" customWidth="1"/>
    <col min="1294" max="1294" width="11.85546875" customWidth="1"/>
    <col min="1295" max="1295" width="9.85546875" customWidth="1"/>
    <col min="1296" max="1296" width="11.85546875" customWidth="1"/>
    <col min="1297" max="1297" width="12.85546875" customWidth="1"/>
    <col min="1298" max="1299" width="14.85546875" customWidth="1"/>
    <col min="1300" max="1300" width="12.85546875" customWidth="1"/>
    <col min="1301" max="1301" width="10.85546875" customWidth="1"/>
    <col min="1302" max="1302" width="7.85546875" customWidth="1"/>
    <col min="1303" max="1304" width="12.85546875" customWidth="1"/>
    <col min="1305" max="1306" width="18.85546875" customWidth="1"/>
    <col min="1307" max="1307" width="10.85546875" customWidth="1"/>
    <col min="1308" max="1308" width="8.85546875" customWidth="1"/>
    <col min="1309" max="1310" width="9.85546875" customWidth="1"/>
    <col min="1311" max="1311" width="12.85546875" customWidth="1"/>
    <col min="1312" max="1314" width="10.85546875" customWidth="1"/>
    <col min="1315" max="1315" width="15.140625" customWidth="1"/>
    <col min="1539" max="1541" width="10.85546875" customWidth="1"/>
    <col min="1542" max="1542" width="20.85546875" customWidth="1"/>
    <col min="1543" max="1543" width="8.85546875" customWidth="1"/>
    <col min="1544" max="1544" width="12.85546875" customWidth="1"/>
    <col min="1545" max="1545" width="9.85546875" customWidth="1"/>
    <col min="1546" max="1546" width="12.85546875" customWidth="1"/>
    <col min="1547" max="1547" width="9.85546875" customWidth="1"/>
    <col min="1548" max="1548" width="11.85546875" customWidth="1"/>
    <col min="1549" max="1549" width="9.85546875" customWidth="1"/>
    <col min="1550" max="1550" width="11.85546875" customWidth="1"/>
    <col min="1551" max="1551" width="9.85546875" customWidth="1"/>
    <col min="1552" max="1552" width="11.85546875" customWidth="1"/>
    <col min="1553" max="1553" width="12.85546875" customWidth="1"/>
    <col min="1554" max="1555" width="14.85546875" customWidth="1"/>
    <col min="1556" max="1556" width="12.85546875" customWidth="1"/>
    <col min="1557" max="1557" width="10.85546875" customWidth="1"/>
    <col min="1558" max="1558" width="7.85546875" customWidth="1"/>
    <col min="1559" max="1560" width="12.85546875" customWidth="1"/>
    <col min="1561" max="1562" width="18.85546875" customWidth="1"/>
    <col min="1563" max="1563" width="10.85546875" customWidth="1"/>
    <col min="1564" max="1564" width="8.85546875" customWidth="1"/>
    <col min="1565" max="1566" width="9.85546875" customWidth="1"/>
    <col min="1567" max="1567" width="12.85546875" customWidth="1"/>
    <col min="1568" max="1570" width="10.85546875" customWidth="1"/>
    <col min="1571" max="1571" width="15.140625" customWidth="1"/>
    <col min="1795" max="1797" width="10.85546875" customWidth="1"/>
    <col min="1798" max="1798" width="20.85546875" customWidth="1"/>
    <col min="1799" max="1799" width="8.85546875" customWidth="1"/>
    <col min="1800" max="1800" width="12.85546875" customWidth="1"/>
    <col min="1801" max="1801" width="9.85546875" customWidth="1"/>
    <col min="1802" max="1802" width="12.85546875" customWidth="1"/>
    <col min="1803" max="1803" width="9.85546875" customWidth="1"/>
    <col min="1804" max="1804" width="11.85546875" customWidth="1"/>
    <col min="1805" max="1805" width="9.85546875" customWidth="1"/>
    <col min="1806" max="1806" width="11.85546875" customWidth="1"/>
    <col min="1807" max="1807" width="9.85546875" customWidth="1"/>
    <col min="1808" max="1808" width="11.85546875" customWidth="1"/>
    <col min="1809" max="1809" width="12.85546875" customWidth="1"/>
    <col min="1810" max="1811" width="14.85546875" customWidth="1"/>
    <col min="1812" max="1812" width="12.85546875" customWidth="1"/>
    <col min="1813" max="1813" width="10.85546875" customWidth="1"/>
    <col min="1814" max="1814" width="7.85546875" customWidth="1"/>
    <col min="1815" max="1816" width="12.85546875" customWidth="1"/>
    <col min="1817" max="1818" width="18.85546875" customWidth="1"/>
    <col min="1819" max="1819" width="10.85546875" customWidth="1"/>
    <col min="1820" max="1820" width="8.85546875" customWidth="1"/>
    <col min="1821" max="1822" width="9.85546875" customWidth="1"/>
    <col min="1823" max="1823" width="12.85546875" customWidth="1"/>
    <col min="1824" max="1826" width="10.85546875" customWidth="1"/>
    <col min="1827" max="1827" width="15.140625" customWidth="1"/>
    <col min="2051" max="2053" width="10.85546875" customWidth="1"/>
    <col min="2054" max="2054" width="20.85546875" customWidth="1"/>
    <col min="2055" max="2055" width="8.85546875" customWidth="1"/>
    <col min="2056" max="2056" width="12.85546875" customWidth="1"/>
    <col min="2057" max="2057" width="9.85546875" customWidth="1"/>
    <col min="2058" max="2058" width="12.85546875" customWidth="1"/>
    <col min="2059" max="2059" width="9.85546875" customWidth="1"/>
    <col min="2060" max="2060" width="11.85546875" customWidth="1"/>
    <col min="2061" max="2061" width="9.85546875" customWidth="1"/>
    <col min="2062" max="2062" width="11.85546875" customWidth="1"/>
    <col min="2063" max="2063" width="9.85546875" customWidth="1"/>
    <col min="2064" max="2064" width="11.85546875" customWidth="1"/>
    <col min="2065" max="2065" width="12.85546875" customWidth="1"/>
    <col min="2066" max="2067" width="14.85546875" customWidth="1"/>
    <col min="2068" max="2068" width="12.85546875" customWidth="1"/>
    <col min="2069" max="2069" width="10.85546875" customWidth="1"/>
    <col min="2070" max="2070" width="7.85546875" customWidth="1"/>
    <col min="2071" max="2072" width="12.85546875" customWidth="1"/>
    <col min="2073" max="2074" width="18.85546875" customWidth="1"/>
    <col min="2075" max="2075" width="10.85546875" customWidth="1"/>
    <col min="2076" max="2076" width="8.85546875" customWidth="1"/>
    <col min="2077" max="2078" width="9.85546875" customWidth="1"/>
    <col min="2079" max="2079" width="12.85546875" customWidth="1"/>
    <col min="2080" max="2082" width="10.85546875" customWidth="1"/>
    <col min="2083" max="2083" width="15.140625" customWidth="1"/>
    <col min="2307" max="2309" width="10.85546875" customWidth="1"/>
    <col min="2310" max="2310" width="20.85546875" customWidth="1"/>
    <col min="2311" max="2311" width="8.85546875" customWidth="1"/>
    <col min="2312" max="2312" width="12.85546875" customWidth="1"/>
    <col min="2313" max="2313" width="9.85546875" customWidth="1"/>
    <col min="2314" max="2314" width="12.85546875" customWidth="1"/>
    <col min="2315" max="2315" width="9.85546875" customWidth="1"/>
    <col min="2316" max="2316" width="11.85546875" customWidth="1"/>
    <col min="2317" max="2317" width="9.85546875" customWidth="1"/>
    <col min="2318" max="2318" width="11.85546875" customWidth="1"/>
    <col min="2319" max="2319" width="9.85546875" customWidth="1"/>
    <col min="2320" max="2320" width="11.85546875" customWidth="1"/>
    <col min="2321" max="2321" width="12.85546875" customWidth="1"/>
    <col min="2322" max="2323" width="14.85546875" customWidth="1"/>
    <col min="2324" max="2324" width="12.85546875" customWidth="1"/>
    <col min="2325" max="2325" width="10.85546875" customWidth="1"/>
    <col min="2326" max="2326" width="7.85546875" customWidth="1"/>
    <col min="2327" max="2328" width="12.85546875" customWidth="1"/>
    <col min="2329" max="2330" width="18.85546875" customWidth="1"/>
    <col min="2331" max="2331" width="10.85546875" customWidth="1"/>
    <col min="2332" max="2332" width="8.85546875" customWidth="1"/>
    <col min="2333" max="2334" width="9.85546875" customWidth="1"/>
    <col min="2335" max="2335" width="12.85546875" customWidth="1"/>
    <col min="2336" max="2338" width="10.85546875" customWidth="1"/>
    <col min="2339" max="2339" width="15.140625" customWidth="1"/>
    <col min="2563" max="2565" width="10.85546875" customWidth="1"/>
    <col min="2566" max="2566" width="20.85546875" customWidth="1"/>
    <col min="2567" max="2567" width="8.85546875" customWidth="1"/>
    <col min="2568" max="2568" width="12.85546875" customWidth="1"/>
    <col min="2569" max="2569" width="9.85546875" customWidth="1"/>
    <col min="2570" max="2570" width="12.85546875" customWidth="1"/>
    <col min="2571" max="2571" width="9.85546875" customWidth="1"/>
    <col min="2572" max="2572" width="11.85546875" customWidth="1"/>
    <col min="2573" max="2573" width="9.85546875" customWidth="1"/>
    <col min="2574" max="2574" width="11.85546875" customWidth="1"/>
    <col min="2575" max="2575" width="9.85546875" customWidth="1"/>
    <col min="2576" max="2576" width="11.85546875" customWidth="1"/>
    <col min="2577" max="2577" width="12.85546875" customWidth="1"/>
    <col min="2578" max="2579" width="14.85546875" customWidth="1"/>
    <col min="2580" max="2580" width="12.85546875" customWidth="1"/>
    <col min="2581" max="2581" width="10.85546875" customWidth="1"/>
    <col min="2582" max="2582" width="7.85546875" customWidth="1"/>
    <col min="2583" max="2584" width="12.85546875" customWidth="1"/>
    <col min="2585" max="2586" width="18.85546875" customWidth="1"/>
    <col min="2587" max="2587" width="10.85546875" customWidth="1"/>
    <col min="2588" max="2588" width="8.85546875" customWidth="1"/>
    <col min="2589" max="2590" width="9.85546875" customWidth="1"/>
    <col min="2591" max="2591" width="12.85546875" customWidth="1"/>
    <col min="2592" max="2594" width="10.85546875" customWidth="1"/>
    <col min="2595" max="2595" width="15.140625" customWidth="1"/>
    <col min="2819" max="2821" width="10.85546875" customWidth="1"/>
    <col min="2822" max="2822" width="20.85546875" customWidth="1"/>
    <col min="2823" max="2823" width="8.85546875" customWidth="1"/>
    <col min="2824" max="2824" width="12.85546875" customWidth="1"/>
    <col min="2825" max="2825" width="9.85546875" customWidth="1"/>
    <col min="2826" max="2826" width="12.85546875" customWidth="1"/>
    <col min="2827" max="2827" width="9.85546875" customWidth="1"/>
    <col min="2828" max="2828" width="11.85546875" customWidth="1"/>
    <col min="2829" max="2829" width="9.85546875" customWidth="1"/>
    <col min="2830" max="2830" width="11.85546875" customWidth="1"/>
    <col min="2831" max="2831" width="9.85546875" customWidth="1"/>
    <col min="2832" max="2832" width="11.85546875" customWidth="1"/>
    <col min="2833" max="2833" width="12.85546875" customWidth="1"/>
    <col min="2834" max="2835" width="14.85546875" customWidth="1"/>
    <col min="2836" max="2836" width="12.85546875" customWidth="1"/>
    <col min="2837" max="2837" width="10.85546875" customWidth="1"/>
    <col min="2838" max="2838" width="7.85546875" customWidth="1"/>
    <col min="2839" max="2840" width="12.85546875" customWidth="1"/>
    <col min="2841" max="2842" width="18.85546875" customWidth="1"/>
    <col min="2843" max="2843" width="10.85546875" customWidth="1"/>
    <col min="2844" max="2844" width="8.85546875" customWidth="1"/>
    <col min="2845" max="2846" width="9.85546875" customWidth="1"/>
    <col min="2847" max="2847" width="12.85546875" customWidth="1"/>
    <col min="2848" max="2850" width="10.85546875" customWidth="1"/>
    <col min="2851" max="2851" width="15.140625" customWidth="1"/>
    <col min="3075" max="3077" width="10.85546875" customWidth="1"/>
    <col min="3078" max="3078" width="20.85546875" customWidth="1"/>
    <col min="3079" max="3079" width="8.85546875" customWidth="1"/>
    <col min="3080" max="3080" width="12.85546875" customWidth="1"/>
    <col min="3081" max="3081" width="9.85546875" customWidth="1"/>
    <col min="3082" max="3082" width="12.85546875" customWidth="1"/>
    <col min="3083" max="3083" width="9.85546875" customWidth="1"/>
    <col min="3084" max="3084" width="11.85546875" customWidth="1"/>
    <col min="3085" max="3085" width="9.85546875" customWidth="1"/>
    <col min="3086" max="3086" width="11.85546875" customWidth="1"/>
    <col min="3087" max="3087" width="9.85546875" customWidth="1"/>
    <col min="3088" max="3088" width="11.85546875" customWidth="1"/>
    <col min="3089" max="3089" width="12.85546875" customWidth="1"/>
    <col min="3090" max="3091" width="14.85546875" customWidth="1"/>
    <col min="3092" max="3092" width="12.85546875" customWidth="1"/>
    <col min="3093" max="3093" width="10.85546875" customWidth="1"/>
    <col min="3094" max="3094" width="7.85546875" customWidth="1"/>
    <col min="3095" max="3096" width="12.85546875" customWidth="1"/>
    <col min="3097" max="3098" width="18.85546875" customWidth="1"/>
    <col min="3099" max="3099" width="10.85546875" customWidth="1"/>
    <col min="3100" max="3100" width="8.85546875" customWidth="1"/>
    <col min="3101" max="3102" width="9.85546875" customWidth="1"/>
    <col min="3103" max="3103" width="12.85546875" customWidth="1"/>
    <col min="3104" max="3106" width="10.85546875" customWidth="1"/>
    <col min="3107" max="3107" width="15.140625" customWidth="1"/>
    <col min="3331" max="3333" width="10.85546875" customWidth="1"/>
    <col min="3334" max="3334" width="20.85546875" customWidth="1"/>
    <col min="3335" max="3335" width="8.85546875" customWidth="1"/>
    <col min="3336" max="3336" width="12.85546875" customWidth="1"/>
    <col min="3337" max="3337" width="9.85546875" customWidth="1"/>
    <col min="3338" max="3338" width="12.85546875" customWidth="1"/>
    <col min="3339" max="3339" width="9.85546875" customWidth="1"/>
    <col min="3340" max="3340" width="11.85546875" customWidth="1"/>
    <col min="3341" max="3341" width="9.85546875" customWidth="1"/>
    <col min="3342" max="3342" width="11.85546875" customWidth="1"/>
    <col min="3343" max="3343" width="9.85546875" customWidth="1"/>
    <col min="3344" max="3344" width="11.85546875" customWidth="1"/>
    <col min="3345" max="3345" width="12.85546875" customWidth="1"/>
    <col min="3346" max="3347" width="14.85546875" customWidth="1"/>
    <col min="3348" max="3348" width="12.85546875" customWidth="1"/>
    <col min="3349" max="3349" width="10.85546875" customWidth="1"/>
    <col min="3350" max="3350" width="7.85546875" customWidth="1"/>
    <col min="3351" max="3352" width="12.85546875" customWidth="1"/>
    <col min="3353" max="3354" width="18.85546875" customWidth="1"/>
    <col min="3355" max="3355" width="10.85546875" customWidth="1"/>
    <col min="3356" max="3356" width="8.85546875" customWidth="1"/>
    <col min="3357" max="3358" width="9.85546875" customWidth="1"/>
    <col min="3359" max="3359" width="12.85546875" customWidth="1"/>
    <col min="3360" max="3362" width="10.85546875" customWidth="1"/>
    <col min="3363" max="3363" width="15.140625" customWidth="1"/>
    <col min="3587" max="3589" width="10.85546875" customWidth="1"/>
    <col min="3590" max="3590" width="20.85546875" customWidth="1"/>
    <col min="3591" max="3591" width="8.85546875" customWidth="1"/>
    <col min="3592" max="3592" width="12.85546875" customWidth="1"/>
    <col min="3593" max="3593" width="9.85546875" customWidth="1"/>
    <col min="3594" max="3594" width="12.85546875" customWidth="1"/>
    <col min="3595" max="3595" width="9.85546875" customWidth="1"/>
    <col min="3596" max="3596" width="11.85546875" customWidth="1"/>
    <col min="3597" max="3597" width="9.85546875" customWidth="1"/>
    <col min="3598" max="3598" width="11.85546875" customWidth="1"/>
    <col min="3599" max="3599" width="9.85546875" customWidth="1"/>
    <col min="3600" max="3600" width="11.85546875" customWidth="1"/>
    <col min="3601" max="3601" width="12.85546875" customWidth="1"/>
    <col min="3602" max="3603" width="14.85546875" customWidth="1"/>
    <col min="3604" max="3604" width="12.85546875" customWidth="1"/>
    <col min="3605" max="3605" width="10.85546875" customWidth="1"/>
    <col min="3606" max="3606" width="7.85546875" customWidth="1"/>
    <col min="3607" max="3608" width="12.85546875" customWidth="1"/>
    <col min="3609" max="3610" width="18.85546875" customWidth="1"/>
    <col min="3611" max="3611" width="10.85546875" customWidth="1"/>
    <col min="3612" max="3612" width="8.85546875" customWidth="1"/>
    <col min="3613" max="3614" width="9.85546875" customWidth="1"/>
    <col min="3615" max="3615" width="12.85546875" customWidth="1"/>
    <col min="3616" max="3618" width="10.85546875" customWidth="1"/>
    <col min="3619" max="3619" width="15.140625" customWidth="1"/>
    <col min="3843" max="3845" width="10.85546875" customWidth="1"/>
    <col min="3846" max="3846" width="20.85546875" customWidth="1"/>
    <col min="3847" max="3847" width="8.85546875" customWidth="1"/>
    <col min="3848" max="3848" width="12.85546875" customWidth="1"/>
    <col min="3849" max="3849" width="9.85546875" customWidth="1"/>
    <col min="3850" max="3850" width="12.85546875" customWidth="1"/>
    <col min="3851" max="3851" width="9.85546875" customWidth="1"/>
    <col min="3852" max="3852" width="11.85546875" customWidth="1"/>
    <col min="3853" max="3853" width="9.85546875" customWidth="1"/>
    <col min="3854" max="3854" width="11.85546875" customWidth="1"/>
    <col min="3855" max="3855" width="9.85546875" customWidth="1"/>
    <col min="3856" max="3856" width="11.85546875" customWidth="1"/>
    <col min="3857" max="3857" width="12.85546875" customWidth="1"/>
    <col min="3858" max="3859" width="14.85546875" customWidth="1"/>
    <col min="3860" max="3860" width="12.85546875" customWidth="1"/>
    <col min="3861" max="3861" width="10.85546875" customWidth="1"/>
    <col min="3862" max="3862" width="7.85546875" customWidth="1"/>
    <col min="3863" max="3864" width="12.85546875" customWidth="1"/>
    <col min="3865" max="3866" width="18.85546875" customWidth="1"/>
    <col min="3867" max="3867" width="10.85546875" customWidth="1"/>
    <col min="3868" max="3868" width="8.85546875" customWidth="1"/>
    <col min="3869" max="3870" width="9.85546875" customWidth="1"/>
    <col min="3871" max="3871" width="12.85546875" customWidth="1"/>
    <col min="3872" max="3874" width="10.85546875" customWidth="1"/>
    <col min="3875" max="3875" width="15.140625" customWidth="1"/>
    <col min="4099" max="4101" width="10.85546875" customWidth="1"/>
    <col min="4102" max="4102" width="20.85546875" customWidth="1"/>
    <col min="4103" max="4103" width="8.85546875" customWidth="1"/>
    <col min="4104" max="4104" width="12.85546875" customWidth="1"/>
    <col min="4105" max="4105" width="9.85546875" customWidth="1"/>
    <col min="4106" max="4106" width="12.85546875" customWidth="1"/>
    <col min="4107" max="4107" width="9.85546875" customWidth="1"/>
    <col min="4108" max="4108" width="11.85546875" customWidth="1"/>
    <col min="4109" max="4109" width="9.85546875" customWidth="1"/>
    <col min="4110" max="4110" width="11.85546875" customWidth="1"/>
    <col min="4111" max="4111" width="9.85546875" customWidth="1"/>
    <col min="4112" max="4112" width="11.85546875" customWidth="1"/>
    <col min="4113" max="4113" width="12.85546875" customWidth="1"/>
    <col min="4114" max="4115" width="14.85546875" customWidth="1"/>
    <col min="4116" max="4116" width="12.85546875" customWidth="1"/>
    <col min="4117" max="4117" width="10.85546875" customWidth="1"/>
    <col min="4118" max="4118" width="7.85546875" customWidth="1"/>
    <col min="4119" max="4120" width="12.85546875" customWidth="1"/>
    <col min="4121" max="4122" width="18.85546875" customWidth="1"/>
    <col min="4123" max="4123" width="10.85546875" customWidth="1"/>
    <col min="4124" max="4124" width="8.85546875" customWidth="1"/>
    <col min="4125" max="4126" width="9.85546875" customWidth="1"/>
    <col min="4127" max="4127" width="12.85546875" customWidth="1"/>
    <col min="4128" max="4130" width="10.85546875" customWidth="1"/>
    <col min="4131" max="4131" width="15.140625" customWidth="1"/>
    <col min="4355" max="4357" width="10.85546875" customWidth="1"/>
    <col min="4358" max="4358" width="20.85546875" customWidth="1"/>
    <col min="4359" max="4359" width="8.85546875" customWidth="1"/>
    <col min="4360" max="4360" width="12.85546875" customWidth="1"/>
    <col min="4361" max="4361" width="9.85546875" customWidth="1"/>
    <col min="4362" max="4362" width="12.85546875" customWidth="1"/>
    <col min="4363" max="4363" width="9.85546875" customWidth="1"/>
    <col min="4364" max="4364" width="11.85546875" customWidth="1"/>
    <col min="4365" max="4365" width="9.85546875" customWidth="1"/>
    <col min="4366" max="4366" width="11.85546875" customWidth="1"/>
    <col min="4367" max="4367" width="9.85546875" customWidth="1"/>
    <col min="4368" max="4368" width="11.85546875" customWidth="1"/>
    <col min="4369" max="4369" width="12.85546875" customWidth="1"/>
    <col min="4370" max="4371" width="14.85546875" customWidth="1"/>
    <col min="4372" max="4372" width="12.85546875" customWidth="1"/>
    <col min="4373" max="4373" width="10.85546875" customWidth="1"/>
    <col min="4374" max="4374" width="7.85546875" customWidth="1"/>
    <col min="4375" max="4376" width="12.85546875" customWidth="1"/>
    <col min="4377" max="4378" width="18.85546875" customWidth="1"/>
    <col min="4379" max="4379" width="10.85546875" customWidth="1"/>
    <col min="4380" max="4380" width="8.85546875" customWidth="1"/>
    <col min="4381" max="4382" width="9.85546875" customWidth="1"/>
    <col min="4383" max="4383" width="12.85546875" customWidth="1"/>
    <col min="4384" max="4386" width="10.85546875" customWidth="1"/>
    <col min="4387" max="4387" width="15.140625" customWidth="1"/>
    <col min="4611" max="4613" width="10.85546875" customWidth="1"/>
    <col min="4614" max="4614" width="20.85546875" customWidth="1"/>
    <col min="4615" max="4615" width="8.85546875" customWidth="1"/>
    <col min="4616" max="4616" width="12.85546875" customWidth="1"/>
    <col min="4617" max="4617" width="9.85546875" customWidth="1"/>
    <col min="4618" max="4618" width="12.85546875" customWidth="1"/>
    <col min="4619" max="4619" width="9.85546875" customWidth="1"/>
    <col min="4620" max="4620" width="11.85546875" customWidth="1"/>
    <col min="4621" max="4621" width="9.85546875" customWidth="1"/>
    <col min="4622" max="4622" width="11.85546875" customWidth="1"/>
    <col min="4623" max="4623" width="9.85546875" customWidth="1"/>
    <col min="4624" max="4624" width="11.85546875" customWidth="1"/>
    <col min="4625" max="4625" width="12.85546875" customWidth="1"/>
    <col min="4626" max="4627" width="14.85546875" customWidth="1"/>
    <col min="4628" max="4628" width="12.85546875" customWidth="1"/>
    <col min="4629" max="4629" width="10.85546875" customWidth="1"/>
    <col min="4630" max="4630" width="7.85546875" customWidth="1"/>
    <col min="4631" max="4632" width="12.85546875" customWidth="1"/>
    <col min="4633" max="4634" width="18.85546875" customWidth="1"/>
    <col min="4635" max="4635" width="10.85546875" customWidth="1"/>
    <col min="4636" max="4636" width="8.85546875" customWidth="1"/>
    <col min="4637" max="4638" width="9.85546875" customWidth="1"/>
    <col min="4639" max="4639" width="12.85546875" customWidth="1"/>
    <col min="4640" max="4642" width="10.85546875" customWidth="1"/>
    <col min="4643" max="4643" width="15.140625" customWidth="1"/>
    <col min="4867" max="4869" width="10.85546875" customWidth="1"/>
    <col min="4870" max="4870" width="20.85546875" customWidth="1"/>
    <col min="4871" max="4871" width="8.85546875" customWidth="1"/>
    <col min="4872" max="4872" width="12.85546875" customWidth="1"/>
    <col min="4873" max="4873" width="9.85546875" customWidth="1"/>
    <col min="4874" max="4874" width="12.85546875" customWidth="1"/>
    <col min="4875" max="4875" width="9.85546875" customWidth="1"/>
    <col min="4876" max="4876" width="11.85546875" customWidth="1"/>
    <col min="4877" max="4877" width="9.85546875" customWidth="1"/>
    <col min="4878" max="4878" width="11.85546875" customWidth="1"/>
    <col min="4879" max="4879" width="9.85546875" customWidth="1"/>
    <col min="4880" max="4880" width="11.85546875" customWidth="1"/>
    <col min="4881" max="4881" width="12.85546875" customWidth="1"/>
    <col min="4882" max="4883" width="14.85546875" customWidth="1"/>
    <col min="4884" max="4884" width="12.85546875" customWidth="1"/>
    <col min="4885" max="4885" width="10.85546875" customWidth="1"/>
    <col min="4886" max="4886" width="7.85546875" customWidth="1"/>
    <col min="4887" max="4888" width="12.85546875" customWidth="1"/>
    <col min="4889" max="4890" width="18.85546875" customWidth="1"/>
    <col min="4891" max="4891" width="10.85546875" customWidth="1"/>
    <col min="4892" max="4892" width="8.85546875" customWidth="1"/>
    <col min="4893" max="4894" width="9.85546875" customWidth="1"/>
    <col min="4895" max="4895" width="12.85546875" customWidth="1"/>
    <col min="4896" max="4898" width="10.85546875" customWidth="1"/>
    <col min="4899" max="4899" width="15.140625" customWidth="1"/>
    <col min="5123" max="5125" width="10.85546875" customWidth="1"/>
    <col min="5126" max="5126" width="20.85546875" customWidth="1"/>
    <col min="5127" max="5127" width="8.85546875" customWidth="1"/>
    <col min="5128" max="5128" width="12.85546875" customWidth="1"/>
    <col min="5129" max="5129" width="9.85546875" customWidth="1"/>
    <col min="5130" max="5130" width="12.85546875" customWidth="1"/>
    <col min="5131" max="5131" width="9.85546875" customWidth="1"/>
    <col min="5132" max="5132" width="11.85546875" customWidth="1"/>
    <col min="5133" max="5133" width="9.85546875" customWidth="1"/>
    <col min="5134" max="5134" width="11.85546875" customWidth="1"/>
    <col min="5135" max="5135" width="9.85546875" customWidth="1"/>
    <col min="5136" max="5136" width="11.85546875" customWidth="1"/>
    <col min="5137" max="5137" width="12.85546875" customWidth="1"/>
    <col min="5138" max="5139" width="14.85546875" customWidth="1"/>
    <col min="5140" max="5140" width="12.85546875" customWidth="1"/>
    <col min="5141" max="5141" width="10.85546875" customWidth="1"/>
    <col min="5142" max="5142" width="7.85546875" customWidth="1"/>
    <col min="5143" max="5144" width="12.85546875" customWidth="1"/>
    <col min="5145" max="5146" width="18.85546875" customWidth="1"/>
    <col min="5147" max="5147" width="10.85546875" customWidth="1"/>
    <col min="5148" max="5148" width="8.85546875" customWidth="1"/>
    <col min="5149" max="5150" width="9.85546875" customWidth="1"/>
    <col min="5151" max="5151" width="12.85546875" customWidth="1"/>
    <col min="5152" max="5154" width="10.85546875" customWidth="1"/>
    <col min="5155" max="5155" width="15.140625" customWidth="1"/>
    <col min="5379" max="5381" width="10.85546875" customWidth="1"/>
    <col min="5382" max="5382" width="20.85546875" customWidth="1"/>
    <col min="5383" max="5383" width="8.85546875" customWidth="1"/>
    <col min="5384" max="5384" width="12.85546875" customWidth="1"/>
    <col min="5385" max="5385" width="9.85546875" customWidth="1"/>
    <col min="5386" max="5386" width="12.85546875" customWidth="1"/>
    <col min="5387" max="5387" width="9.85546875" customWidth="1"/>
    <col min="5388" max="5388" width="11.85546875" customWidth="1"/>
    <col min="5389" max="5389" width="9.85546875" customWidth="1"/>
    <col min="5390" max="5390" width="11.85546875" customWidth="1"/>
    <col min="5391" max="5391" width="9.85546875" customWidth="1"/>
    <col min="5392" max="5392" width="11.85546875" customWidth="1"/>
    <col min="5393" max="5393" width="12.85546875" customWidth="1"/>
    <col min="5394" max="5395" width="14.85546875" customWidth="1"/>
    <col min="5396" max="5396" width="12.85546875" customWidth="1"/>
    <col min="5397" max="5397" width="10.85546875" customWidth="1"/>
    <col min="5398" max="5398" width="7.85546875" customWidth="1"/>
    <col min="5399" max="5400" width="12.85546875" customWidth="1"/>
    <col min="5401" max="5402" width="18.85546875" customWidth="1"/>
    <col min="5403" max="5403" width="10.85546875" customWidth="1"/>
    <col min="5404" max="5404" width="8.85546875" customWidth="1"/>
    <col min="5405" max="5406" width="9.85546875" customWidth="1"/>
    <col min="5407" max="5407" width="12.85546875" customWidth="1"/>
    <col min="5408" max="5410" width="10.85546875" customWidth="1"/>
    <col min="5411" max="5411" width="15.140625" customWidth="1"/>
    <col min="5635" max="5637" width="10.85546875" customWidth="1"/>
    <col min="5638" max="5638" width="20.85546875" customWidth="1"/>
    <col min="5639" max="5639" width="8.85546875" customWidth="1"/>
    <col min="5640" max="5640" width="12.85546875" customWidth="1"/>
    <col min="5641" max="5641" width="9.85546875" customWidth="1"/>
    <col min="5642" max="5642" width="12.85546875" customWidth="1"/>
    <col min="5643" max="5643" width="9.85546875" customWidth="1"/>
    <col min="5644" max="5644" width="11.85546875" customWidth="1"/>
    <col min="5645" max="5645" width="9.85546875" customWidth="1"/>
    <col min="5646" max="5646" width="11.85546875" customWidth="1"/>
    <col min="5647" max="5647" width="9.85546875" customWidth="1"/>
    <col min="5648" max="5648" width="11.85546875" customWidth="1"/>
    <col min="5649" max="5649" width="12.85546875" customWidth="1"/>
    <col min="5650" max="5651" width="14.85546875" customWidth="1"/>
    <col min="5652" max="5652" width="12.85546875" customWidth="1"/>
    <col min="5653" max="5653" width="10.85546875" customWidth="1"/>
    <col min="5654" max="5654" width="7.85546875" customWidth="1"/>
    <col min="5655" max="5656" width="12.85546875" customWidth="1"/>
    <col min="5657" max="5658" width="18.85546875" customWidth="1"/>
    <col min="5659" max="5659" width="10.85546875" customWidth="1"/>
    <col min="5660" max="5660" width="8.85546875" customWidth="1"/>
    <col min="5661" max="5662" width="9.85546875" customWidth="1"/>
    <col min="5663" max="5663" width="12.85546875" customWidth="1"/>
    <col min="5664" max="5666" width="10.85546875" customWidth="1"/>
    <col min="5667" max="5667" width="15.140625" customWidth="1"/>
    <col min="5891" max="5893" width="10.85546875" customWidth="1"/>
    <col min="5894" max="5894" width="20.85546875" customWidth="1"/>
    <col min="5895" max="5895" width="8.85546875" customWidth="1"/>
    <col min="5896" max="5896" width="12.85546875" customWidth="1"/>
    <col min="5897" max="5897" width="9.85546875" customWidth="1"/>
    <col min="5898" max="5898" width="12.85546875" customWidth="1"/>
    <col min="5899" max="5899" width="9.85546875" customWidth="1"/>
    <col min="5900" max="5900" width="11.85546875" customWidth="1"/>
    <col min="5901" max="5901" width="9.85546875" customWidth="1"/>
    <col min="5902" max="5902" width="11.85546875" customWidth="1"/>
    <col min="5903" max="5903" width="9.85546875" customWidth="1"/>
    <col min="5904" max="5904" width="11.85546875" customWidth="1"/>
    <col min="5905" max="5905" width="12.85546875" customWidth="1"/>
    <col min="5906" max="5907" width="14.85546875" customWidth="1"/>
    <col min="5908" max="5908" width="12.85546875" customWidth="1"/>
    <col min="5909" max="5909" width="10.85546875" customWidth="1"/>
    <col min="5910" max="5910" width="7.85546875" customWidth="1"/>
    <col min="5911" max="5912" width="12.85546875" customWidth="1"/>
    <col min="5913" max="5914" width="18.85546875" customWidth="1"/>
    <col min="5915" max="5915" width="10.85546875" customWidth="1"/>
    <col min="5916" max="5916" width="8.85546875" customWidth="1"/>
    <col min="5917" max="5918" width="9.85546875" customWidth="1"/>
    <col min="5919" max="5919" width="12.85546875" customWidth="1"/>
    <col min="5920" max="5922" width="10.85546875" customWidth="1"/>
    <col min="5923" max="5923" width="15.140625" customWidth="1"/>
    <col min="6147" max="6149" width="10.85546875" customWidth="1"/>
    <col min="6150" max="6150" width="20.85546875" customWidth="1"/>
    <col min="6151" max="6151" width="8.85546875" customWidth="1"/>
    <col min="6152" max="6152" width="12.85546875" customWidth="1"/>
    <col min="6153" max="6153" width="9.85546875" customWidth="1"/>
    <col min="6154" max="6154" width="12.85546875" customWidth="1"/>
    <col min="6155" max="6155" width="9.85546875" customWidth="1"/>
    <col min="6156" max="6156" width="11.85546875" customWidth="1"/>
    <col min="6157" max="6157" width="9.85546875" customWidth="1"/>
    <col min="6158" max="6158" width="11.85546875" customWidth="1"/>
    <col min="6159" max="6159" width="9.85546875" customWidth="1"/>
    <col min="6160" max="6160" width="11.85546875" customWidth="1"/>
    <col min="6161" max="6161" width="12.85546875" customWidth="1"/>
    <col min="6162" max="6163" width="14.85546875" customWidth="1"/>
    <col min="6164" max="6164" width="12.85546875" customWidth="1"/>
    <col min="6165" max="6165" width="10.85546875" customWidth="1"/>
    <col min="6166" max="6166" width="7.85546875" customWidth="1"/>
    <col min="6167" max="6168" width="12.85546875" customWidth="1"/>
    <col min="6169" max="6170" width="18.85546875" customWidth="1"/>
    <col min="6171" max="6171" width="10.85546875" customWidth="1"/>
    <col min="6172" max="6172" width="8.85546875" customWidth="1"/>
    <col min="6173" max="6174" width="9.85546875" customWidth="1"/>
    <col min="6175" max="6175" width="12.85546875" customWidth="1"/>
    <col min="6176" max="6178" width="10.85546875" customWidth="1"/>
    <col min="6179" max="6179" width="15.140625" customWidth="1"/>
    <col min="6403" max="6405" width="10.85546875" customWidth="1"/>
    <col min="6406" max="6406" width="20.85546875" customWidth="1"/>
    <col min="6407" max="6407" width="8.85546875" customWidth="1"/>
    <col min="6408" max="6408" width="12.85546875" customWidth="1"/>
    <col min="6409" max="6409" width="9.85546875" customWidth="1"/>
    <col min="6410" max="6410" width="12.85546875" customWidth="1"/>
    <col min="6411" max="6411" width="9.85546875" customWidth="1"/>
    <col min="6412" max="6412" width="11.85546875" customWidth="1"/>
    <col min="6413" max="6413" width="9.85546875" customWidth="1"/>
    <col min="6414" max="6414" width="11.85546875" customWidth="1"/>
    <col min="6415" max="6415" width="9.85546875" customWidth="1"/>
    <col min="6416" max="6416" width="11.85546875" customWidth="1"/>
    <col min="6417" max="6417" width="12.85546875" customWidth="1"/>
    <col min="6418" max="6419" width="14.85546875" customWidth="1"/>
    <col min="6420" max="6420" width="12.85546875" customWidth="1"/>
    <col min="6421" max="6421" width="10.85546875" customWidth="1"/>
    <col min="6422" max="6422" width="7.85546875" customWidth="1"/>
    <col min="6423" max="6424" width="12.85546875" customWidth="1"/>
    <col min="6425" max="6426" width="18.85546875" customWidth="1"/>
    <col min="6427" max="6427" width="10.85546875" customWidth="1"/>
    <col min="6428" max="6428" width="8.85546875" customWidth="1"/>
    <col min="6429" max="6430" width="9.85546875" customWidth="1"/>
    <col min="6431" max="6431" width="12.85546875" customWidth="1"/>
    <col min="6432" max="6434" width="10.85546875" customWidth="1"/>
    <col min="6435" max="6435" width="15.140625" customWidth="1"/>
    <col min="6659" max="6661" width="10.85546875" customWidth="1"/>
    <col min="6662" max="6662" width="20.85546875" customWidth="1"/>
    <col min="6663" max="6663" width="8.85546875" customWidth="1"/>
    <col min="6664" max="6664" width="12.85546875" customWidth="1"/>
    <col min="6665" max="6665" width="9.85546875" customWidth="1"/>
    <col min="6666" max="6666" width="12.85546875" customWidth="1"/>
    <col min="6667" max="6667" width="9.85546875" customWidth="1"/>
    <col min="6668" max="6668" width="11.85546875" customWidth="1"/>
    <col min="6669" max="6669" width="9.85546875" customWidth="1"/>
    <col min="6670" max="6670" width="11.85546875" customWidth="1"/>
    <col min="6671" max="6671" width="9.85546875" customWidth="1"/>
    <col min="6672" max="6672" width="11.85546875" customWidth="1"/>
    <col min="6673" max="6673" width="12.85546875" customWidth="1"/>
    <col min="6674" max="6675" width="14.85546875" customWidth="1"/>
    <col min="6676" max="6676" width="12.85546875" customWidth="1"/>
    <col min="6677" max="6677" width="10.85546875" customWidth="1"/>
    <col min="6678" max="6678" width="7.85546875" customWidth="1"/>
    <col min="6679" max="6680" width="12.85546875" customWidth="1"/>
    <col min="6681" max="6682" width="18.85546875" customWidth="1"/>
    <col min="6683" max="6683" width="10.85546875" customWidth="1"/>
    <col min="6684" max="6684" width="8.85546875" customWidth="1"/>
    <col min="6685" max="6686" width="9.85546875" customWidth="1"/>
    <col min="6687" max="6687" width="12.85546875" customWidth="1"/>
    <col min="6688" max="6690" width="10.85546875" customWidth="1"/>
    <col min="6691" max="6691" width="15.140625" customWidth="1"/>
    <col min="6915" max="6917" width="10.85546875" customWidth="1"/>
    <col min="6918" max="6918" width="20.85546875" customWidth="1"/>
    <col min="6919" max="6919" width="8.85546875" customWidth="1"/>
    <col min="6920" max="6920" width="12.85546875" customWidth="1"/>
    <col min="6921" max="6921" width="9.85546875" customWidth="1"/>
    <col min="6922" max="6922" width="12.85546875" customWidth="1"/>
    <col min="6923" max="6923" width="9.85546875" customWidth="1"/>
    <col min="6924" max="6924" width="11.85546875" customWidth="1"/>
    <col min="6925" max="6925" width="9.85546875" customWidth="1"/>
    <col min="6926" max="6926" width="11.85546875" customWidth="1"/>
    <col min="6927" max="6927" width="9.85546875" customWidth="1"/>
    <col min="6928" max="6928" width="11.85546875" customWidth="1"/>
    <col min="6929" max="6929" width="12.85546875" customWidth="1"/>
    <col min="6930" max="6931" width="14.85546875" customWidth="1"/>
    <col min="6932" max="6932" width="12.85546875" customWidth="1"/>
    <col min="6933" max="6933" width="10.85546875" customWidth="1"/>
    <col min="6934" max="6934" width="7.85546875" customWidth="1"/>
    <col min="6935" max="6936" width="12.85546875" customWidth="1"/>
    <col min="6937" max="6938" width="18.85546875" customWidth="1"/>
    <col min="6939" max="6939" width="10.85546875" customWidth="1"/>
    <col min="6940" max="6940" width="8.85546875" customWidth="1"/>
    <col min="6941" max="6942" width="9.85546875" customWidth="1"/>
    <col min="6943" max="6943" width="12.85546875" customWidth="1"/>
    <col min="6944" max="6946" width="10.85546875" customWidth="1"/>
    <col min="6947" max="6947" width="15.140625" customWidth="1"/>
    <col min="7171" max="7173" width="10.85546875" customWidth="1"/>
    <col min="7174" max="7174" width="20.85546875" customWidth="1"/>
    <col min="7175" max="7175" width="8.85546875" customWidth="1"/>
    <col min="7176" max="7176" width="12.85546875" customWidth="1"/>
    <col min="7177" max="7177" width="9.85546875" customWidth="1"/>
    <col min="7178" max="7178" width="12.85546875" customWidth="1"/>
    <col min="7179" max="7179" width="9.85546875" customWidth="1"/>
    <col min="7180" max="7180" width="11.85546875" customWidth="1"/>
    <col min="7181" max="7181" width="9.85546875" customWidth="1"/>
    <col min="7182" max="7182" width="11.85546875" customWidth="1"/>
    <col min="7183" max="7183" width="9.85546875" customWidth="1"/>
    <col min="7184" max="7184" width="11.85546875" customWidth="1"/>
    <col min="7185" max="7185" width="12.85546875" customWidth="1"/>
    <col min="7186" max="7187" width="14.85546875" customWidth="1"/>
    <col min="7188" max="7188" width="12.85546875" customWidth="1"/>
    <col min="7189" max="7189" width="10.85546875" customWidth="1"/>
    <col min="7190" max="7190" width="7.85546875" customWidth="1"/>
    <col min="7191" max="7192" width="12.85546875" customWidth="1"/>
    <col min="7193" max="7194" width="18.85546875" customWidth="1"/>
    <col min="7195" max="7195" width="10.85546875" customWidth="1"/>
    <col min="7196" max="7196" width="8.85546875" customWidth="1"/>
    <col min="7197" max="7198" width="9.85546875" customWidth="1"/>
    <col min="7199" max="7199" width="12.85546875" customWidth="1"/>
    <col min="7200" max="7202" width="10.85546875" customWidth="1"/>
    <col min="7203" max="7203" width="15.140625" customWidth="1"/>
    <col min="7427" max="7429" width="10.85546875" customWidth="1"/>
    <col min="7430" max="7430" width="20.85546875" customWidth="1"/>
    <col min="7431" max="7431" width="8.85546875" customWidth="1"/>
    <col min="7432" max="7432" width="12.85546875" customWidth="1"/>
    <col min="7433" max="7433" width="9.85546875" customWidth="1"/>
    <col min="7434" max="7434" width="12.85546875" customWidth="1"/>
    <col min="7435" max="7435" width="9.85546875" customWidth="1"/>
    <col min="7436" max="7436" width="11.85546875" customWidth="1"/>
    <col min="7437" max="7437" width="9.85546875" customWidth="1"/>
    <col min="7438" max="7438" width="11.85546875" customWidth="1"/>
    <col min="7439" max="7439" width="9.85546875" customWidth="1"/>
    <col min="7440" max="7440" width="11.85546875" customWidth="1"/>
    <col min="7441" max="7441" width="12.85546875" customWidth="1"/>
    <col min="7442" max="7443" width="14.85546875" customWidth="1"/>
    <col min="7444" max="7444" width="12.85546875" customWidth="1"/>
    <col min="7445" max="7445" width="10.85546875" customWidth="1"/>
    <col min="7446" max="7446" width="7.85546875" customWidth="1"/>
    <col min="7447" max="7448" width="12.85546875" customWidth="1"/>
    <col min="7449" max="7450" width="18.85546875" customWidth="1"/>
    <col min="7451" max="7451" width="10.85546875" customWidth="1"/>
    <col min="7452" max="7452" width="8.85546875" customWidth="1"/>
    <col min="7453" max="7454" width="9.85546875" customWidth="1"/>
    <col min="7455" max="7455" width="12.85546875" customWidth="1"/>
    <col min="7456" max="7458" width="10.85546875" customWidth="1"/>
    <col min="7459" max="7459" width="15.140625" customWidth="1"/>
    <col min="7683" max="7685" width="10.85546875" customWidth="1"/>
    <col min="7686" max="7686" width="20.85546875" customWidth="1"/>
    <col min="7687" max="7687" width="8.85546875" customWidth="1"/>
    <col min="7688" max="7688" width="12.85546875" customWidth="1"/>
    <col min="7689" max="7689" width="9.85546875" customWidth="1"/>
    <col min="7690" max="7690" width="12.85546875" customWidth="1"/>
    <col min="7691" max="7691" width="9.85546875" customWidth="1"/>
    <col min="7692" max="7692" width="11.85546875" customWidth="1"/>
    <col min="7693" max="7693" width="9.85546875" customWidth="1"/>
    <col min="7694" max="7694" width="11.85546875" customWidth="1"/>
    <col min="7695" max="7695" width="9.85546875" customWidth="1"/>
    <col min="7696" max="7696" width="11.85546875" customWidth="1"/>
    <col min="7697" max="7697" width="12.85546875" customWidth="1"/>
    <col min="7698" max="7699" width="14.85546875" customWidth="1"/>
    <col min="7700" max="7700" width="12.85546875" customWidth="1"/>
    <col min="7701" max="7701" width="10.85546875" customWidth="1"/>
    <col min="7702" max="7702" width="7.85546875" customWidth="1"/>
    <col min="7703" max="7704" width="12.85546875" customWidth="1"/>
    <col min="7705" max="7706" width="18.85546875" customWidth="1"/>
    <col min="7707" max="7707" width="10.85546875" customWidth="1"/>
    <col min="7708" max="7708" width="8.85546875" customWidth="1"/>
    <col min="7709" max="7710" width="9.85546875" customWidth="1"/>
    <col min="7711" max="7711" width="12.85546875" customWidth="1"/>
    <col min="7712" max="7714" width="10.85546875" customWidth="1"/>
    <col min="7715" max="7715" width="15.140625" customWidth="1"/>
    <col min="7939" max="7941" width="10.85546875" customWidth="1"/>
    <col min="7942" max="7942" width="20.85546875" customWidth="1"/>
    <col min="7943" max="7943" width="8.85546875" customWidth="1"/>
    <col min="7944" max="7944" width="12.85546875" customWidth="1"/>
    <col min="7945" max="7945" width="9.85546875" customWidth="1"/>
    <col min="7946" max="7946" width="12.85546875" customWidth="1"/>
    <col min="7947" max="7947" width="9.85546875" customWidth="1"/>
    <col min="7948" max="7948" width="11.85546875" customWidth="1"/>
    <col min="7949" max="7949" width="9.85546875" customWidth="1"/>
    <col min="7950" max="7950" width="11.85546875" customWidth="1"/>
    <col min="7951" max="7951" width="9.85546875" customWidth="1"/>
    <col min="7952" max="7952" width="11.85546875" customWidth="1"/>
    <col min="7953" max="7953" width="12.85546875" customWidth="1"/>
    <col min="7954" max="7955" width="14.85546875" customWidth="1"/>
    <col min="7956" max="7956" width="12.85546875" customWidth="1"/>
    <col min="7957" max="7957" width="10.85546875" customWidth="1"/>
    <col min="7958" max="7958" width="7.85546875" customWidth="1"/>
    <col min="7959" max="7960" width="12.85546875" customWidth="1"/>
    <col min="7961" max="7962" width="18.85546875" customWidth="1"/>
    <col min="7963" max="7963" width="10.85546875" customWidth="1"/>
    <col min="7964" max="7964" width="8.85546875" customWidth="1"/>
    <col min="7965" max="7966" width="9.85546875" customWidth="1"/>
    <col min="7967" max="7967" width="12.85546875" customWidth="1"/>
    <col min="7968" max="7970" width="10.85546875" customWidth="1"/>
    <col min="7971" max="7971" width="15.140625" customWidth="1"/>
    <col min="8195" max="8197" width="10.85546875" customWidth="1"/>
    <col min="8198" max="8198" width="20.85546875" customWidth="1"/>
    <col min="8199" max="8199" width="8.85546875" customWidth="1"/>
    <col min="8200" max="8200" width="12.85546875" customWidth="1"/>
    <col min="8201" max="8201" width="9.85546875" customWidth="1"/>
    <col min="8202" max="8202" width="12.85546875" customWidth="1"/>
    <col min="8203" max="8203" width="9.85546875" customWidth="1"/>
    <col min="8204" max="8204" width="11.85546875" customWidth="1"/>
    <col min="8205" max="8205" width="9.85546875" customWidth="1"/>
    <col min="8206" max="8206" width="11.85546875" customWidth="1"/>
    <col min="8207" max="8207" width="9.85546875" customWidth="1"/>
    <col min="8208" max="8208" width="11.85546875" customWidth="1"/>
    <col min="8209" max="8209" width="12.85546875" customWidth="1"/>
    <col min="8210" max="8211" width="14.85546875" customWidth="1"/>
    <col min="8212" max="8212" width="12.85546875" customWidth="1"/>
    <col min="8213" max="8213" width="10.85546875" customWidth="1"/>
    <col min="8214" max="8214" width="7.85546875" customWidth="1"/>
    <col min="8215" max="8216" width="12.85546875" customWidth="1"/>
    <col min="8217" max="8218" width="18.85546875" customWidth="1"/>
    <col min="8219" max="8219" width="10.85546875" customWidth="1"/>
    <col min="8220" max="8220" width="8.85546875" customWidth="1"/>
    <col min="8221" max="8222" width="9.85546875" customWidth="1"/>
    <col min="8223" max="8223" width="12.85546875" customWidth="1"/>
    <col min="8224" max="8226" width="10.85546875" customWidth="1"/>
    <col min="8227" max="8227" width="15.140625" customWidth="1"/>
    <col min="8451" max="8453" width="10.85546875" customWidth="1"/>
    <col min="8454" max="8454" width="20.85546875" customWidth="1"/>
    <col min="8455" max="8455" width="8.85546875" customWidth="1"/>
    <col min="8456" max="8456" width="12.85546875" customWidth="1"/>
    <col min="8457" max="8457" width="9.85546875" customWidth="1"/>
    <col min="8458" max="8458" width="12.85546875" customWidth="1"/>
    <col min="8459" max="8459" width="9.85546875" customWidth="1"/>
    <col min="8460" max="8460" width="11.85546875" customWidth="1"/>
    <col min="8461" max="8461" width="9.85546875" customWidth="1"/>
    <col min="8462" max="8462" width="11.85546875" customWidth="1"/>
    <col min="8463" max="8463" width="9.85546875" customWidth="1"/>
    <col min="8464" max="8464" width="11.85546875" customWidth="1"/>
    <col min="8465" max="8465" width="12.85546875" customWidth="1"/>
    <col min="8466" max="8467" width="14.85546875" customWidth="1"/>
    <col min="8468" max="8468" width="12.85546875" customWidth="1"/>
    <col min="8469" max="8469" width="10.85546875" customWidth="1"/>
    <col min="8470" max="8470" width="7.85546875" customWidth="1"/>
    <col min="8471" max="8472" width="12.85546875" customWidth="1"/>
    <col min="8473" max="8474" width="18.85546875" customWidth="1"/>
    <col min="8475" max="8475" width="10.85546875" customWidth="1"/>
    <col min="8476" max="8476" width="8.85546875" customWidth="1"/>
    <col min="8477" max="8478" width="9.85546875" customWidth="1"/>
    <col min="8479" max="8479" width="12.85546875" customWidth="1"/>
    <col min="8480" max="8482" width="10.85546875" customWidth="1"/>
    <col min="8483" max="8483" width="15.140625" customWidth="1"/>
    <col min="8707" max="8709" width="10.85546875" customWidth="1"/>
    <col min="8710" max="8710" width="20.85546875" customWidth="1"/>
    <col min="8711" max="8711" width="8.85546875" customWidth="1"/>
    <col min="8712" max="8712" width="12.85546875" customWidth="1"/>
    <col min="8713" max="8713" width="9.85546875" customWidth="1"/>
    <col min="8714" max="8714" width="12.85546875" customWidth="1"/>
    <col min="8715" max="8715" width="9.85546875" customWidth="1"/>
    <col min="8716" max="8716" width="11.85546875" customWidth="1"/>
    <col min="8717" max="8717" width="9.85546875" customWidth="1"/>
    <col min="8718" max="8718" width="11.85546875" customWidth="1"/>
    <col min="8719" max="8719" width="9.85546875" customWidth="1"/>
    <col min="8720" max="8720" width="11.85546875" customWidth="1"/>
    <col min="8721" max="8721" width="12.85546875" customWidth="1"/>
    <col min="8722" max="8723" width="14.85546875" customWidth="1"/>
    <col min="8724" max="8724" width="12.85546875" customWidth="1"/>
    <col min="8725" max="8725" width="10.85546875" customWidth="1"/>
    <col min="8726" max="8726" width="7.85546875" customWidth="1"/>
    <col min="8727" max="8728" width="12.85546875" customWidth="1"/>
    <col min="8729" max="8730" width="18.85546875" customWidth="1"/>
    <col min="8731" max="8731" width="10.85546875" customWidth="1"/>
    <col min="8732" max="8732" width="8.85546875" customWidth="1"/>
    <col min="8733" max="8734" width="9.85546875" customWidth="1"/>
    <col min="8735" max="8735" width="12.85546875" customWidth="1"/>
    <col min="8736" max="8738" width="10.85546875" customWidth="1"/>
    <col min="8739" max="8739" width="15.140625" customWidth="1"/>
    <col min="8963" max="8965" width="10.85546875" customWidth="1"/>
    <col min="8966" max="8966" width="20.85546875" customWidth="1"/>
    <col min="8967" max="8967" width="8.85546875" customWidth="1"/>
    <col min="8968" max="8968" width="12.85546875" customWidth="1"/>
    <col min="8969" max="8969" width="9.85546875" customWidth="1"/>
    <col min="8970" max="8970" width="12.85546875" customWidth="1"/>
    <col min="8971" max="8971" width="9.85546875" customWidth="1"/>
    <col min="8972" max="8972" width="11.85546875" customWidth="1"/>
    <col min="8973" max="8973" width="9.85546875" customWidth="1"/>
    <col min="8974" max="8974" width="11.85546875" customWidth="1"/>
    <col min="8975" max="8975" width="9.85546875" customWidth="1"/>
    <col min="8976" max="8976" width="11.85546875" customWidth="1"/>
    <col min="8977" max="8977" width="12.85546875" customWidth="1"/>
    <col min="8978" max="8979" width="14.85546875" customWidth="1"/>
    <col min="8980" max="8980" width="12.85546875" customWidth="1"/>
    <col min="8981" max="8981" width="10.85546875" customWidth="1"/>
    <col min="8982" max="8982" width="7.85546875" customWidth="1"/>
    <col min="8983" max="8984" width="12.85546875" customWidth="1"/>
    <col min="8985" max="8986" width="18.85546875" customWidth="1"/>
    <col min="8987" max="8987" width="10.85546875" customWidth="1"/>
    <col min="8988" max="8988" width="8.85546875" customWidth="1"/>
    <col min="8989" max="8990" width="9.85546875" customWidth="1"/>
    <col min="8991" max="8991" width="12.85546875" customWidth="1"/>
    <col min="8992" max="8994" width="10.85546875" customWidth="1"/>
    <col min="8995" max="8995" width="15.140625" customWidth="1"/>
    <col min="9219" max="9221" width="10.85546875" customWidth="1"/>
    <col min="9222" max="9222" width="20.85546875" customWidth="1"/>
    <col min="9223" max="9223" width="8.85546875" customWidth="1"/>
    <col min="9224" max="9224" width="12.85546875" customWidth="1"/>
    <col min="9225" max="9225" width="9.85546875" customWidth="1"/>
    <col min="9226" max="9226" width="12.85546875" customWidth="1"/>
    <col min="9227" max="9227" width="9.85546875" customWidth="1"/>
    <col min="9228" max="9228" width="11.85546875" customWidth="1"/>
    <col min="9229" max="9229" width="9.85546875" customWidth="1"/>
    <col min="9230" max="9230" width="11.85546875" customWidth="1"/>
    <col min="9231" max="9231" width="9.85546875" customWidth="1"/>
    <col min="9232" max="9232" width="11.85546875" customWidth="1"/>
    <col min="9233" max="9233" width="12.85546875" customWidth="1"/>
    <col min="9234" max="9235" width="14.85546875" customWidth="1"/>
    <col min="9236" max="9236" width="12.85546875" customWidth="1"/>
    <col min="9237" max="9237" width="10.85546875" customWidth="1"/>
    <col min="9238" max="9238" width="7.85546875" customWidth="1"/>
    <col min="9239" max="9240" width="12.85546875" customWidth="1"/>
    <col min="9241" max="9242" width="18.85546875" customWidth="1"/>
    <col min="9243" max="9243" width="10.85546875" customWidth="1"/>
    <col min="9244" max="9244" width="8.85546875" customWidth="1"/>
    <col min="9245" max="9246" width="9.85546875" customWidth="1"/>
    <col min="9247" max="9247" width="12.85546875" customWidth="1"/>
    <col min="9248" max="9250" width="10.85546875" customWidth="1"/>
    <col min="9251" max="9251" width="15.140625" customWidth="1"/>
    <col min="9475" max="9477" width="10.85546875" customWidth="1"/>
    <col min="9478" max="9478" width="20.85546875" customWidth="1"/>
    <col min="9479" max="9479" width="8.85546875" customWidth="1"/>
    <col min="9480" max="9480" width="12.85546875" customWidth="1"/>
    <col min="9481" max="9481" width="9.85546875" customWidth="1"/>
    <col min="9482" max="9482" width="12.85546875" customWidth="1"/>
    <col min="9483" max="9483" width="9.85546875" customWidth="1"/>
    <col min="9484" max="9484" width="11.85546875" customWidth="1"/>
    <col min="9485" max="9485" width="9.85546875" customWidth="1"/>
    <col min="9486" max="9486" width="11.85546875" customWidth="1"/>
    <col min="9487" max="9487" width="9.85546875" customWidth="1"/>
    <col min="9488" max="9488" width="11.85546875" customWidth="1"/>
    <col min="9489" max="9489" width="12.85546875" customWidth="1"/>
    <col min="9490" max="9491" width="14.85546875" customWidth="1"/>
    <col min="9492" max="9492" width="12.85546875" customWidth="1"/>
    <col min="9493" max="9493" width="10.85546875" customWidth="1"/>
    <col min="9494" max="9494" width="7.85546875" customWidth="1"/>
    <col min="9495" max="9496" width="12.85546875" customWidth="1"/>
    <col min="9497" max="9498" width="18.85546875" customWidth="1"/>
    <col min="9499" max="9499" width="10.85546875" customWidth="1"/>
    <col min="9500" max="9500" width="8.85546875" customWidth="1"/>
    <col min="9501" max="9502" width="9.85546875" customWidth="1"/>
    <col min="9503" max="9503" width="12.85546875" customWidth="1"/>
    <col min="9504" max="9506" width="10.85546875" customWidth="1"/>
    <col min="9507" max="9507" width="15.140625" customWidth="1"/>
    <col min="9731" max="9733" width="10.85546875" customWidth="1"/>
    <col min="9734" max="9734" width="20.85546875" customWidth="1"/>
    <col min="9735" max="9735" width="8.85546875" customWidth="1"/>
    <col min="9736" max="9736" width="12.85546875" customWidth="1"/>
    <col min="9737" max="9737" width="9.85546875" customWidth="1"/>
    <col min="9738" max="9738" width="12.85546875" customWidth="1"/>
    <col min="9739" max="9739" width="9.85546875" customWidth="1"/>
    <col min="9740" max="9740" width="11.85546875" customWidth="1"/>
    <col min="9741" max="9741" width="9.85546875" customWidth="1"/>
    <col min="9742" max="9742" width="11.85546875" customWidth="1"/>
    <col min="9743" max="9743" width="9.85546875" customWidth="1"/>
    <col min="9744" max="9744" width="11.85546875" customWidth="1"/>
    <col min="9745" max="9745" width="12.85546875" customWidth="1"/>
    <col min="9746" max="9747" width="14.85546875" customWidth="1"/>
    <col min="9748" max="9748" width="12.85546875" customWidth="1"/>
    <col min="9749" max="9749" width="10.85546875" customWidth="1"/>
    <col min="9750" max="9750" width="7.85546875" customWidth="1"/>
    <col min="9751" max="9752" width="12.85546875" customWidth="1"/>
    <col min="9753" max="9754" width="18.85546875" customWidth="1"/>
    <col min="9755" max="9755" width="10.85546875" customWidth="1"/>
    <col min="9756" max="9756" width="8.85546875" customWidth="1"/>
    <col min="9757" max="9758" width="9.85546875" customWidth="1"/>
    <col min="9759" max="9759" width="12.85546875" customWidth="1"/>
    <col min="9760" max="9762" width="10.85546875" customWidth="1"/>
    <col min="9763" max="9763" width="15.140625" customWidth="1"/>
    <col min="9987" max="9989" width="10.85546875" customWidth="1"/>
    <col min="9990" max="9990" width="20.85546875" customWidth="1"/>
    <col min="9991" max="9991" width="8.85546875" customWidth="1"/>
    <col min="9992" max="9992" width="12.85546875" customWidth="1"/>
    <col min="9993" max="9993" width="9.85546875" customWidth="1"/>
    <col min="9994" max="9994" width="12.85546875" customWidth="1"/>
    <col min="9995" max="9995" width="9.85546875" customWidth="1"/>
    <col min="9996" max="9996" width="11.85546875" customWidth="1"/>
    <col min="9997" max="9997" width="9.85546875" customWidth="1"/>
    <col min="9998" max="9998" width="11.85546875" customWidth="1"/>
    <col min="9999" max="9999" width="9.85546875" customWidth="1"/>
    <col min="10000" max="10000" width="11.85546875" customWidth="1"/>
    <col min="10001" max="10001" width="12.85546875" customWidth="1"/>
    <col min="10002" max="10003" width="14.85546875" customWidth="1"/>
    <col min="10004" max="10004" width="12.85546875" customWidth="1"/>
    <col min="10005" max="10005" width="10.85546875" customWidth="1"/>
    <col min="10006" max="10006" width="7.85546875" customWidth="1"/>
    <col min="10007" max="10008" width="12.85546875" customWidth="1"/>
    <col min="10009" max="10010" width="18.85546875" customWidth="1"/>
    <col min="10011" max="10011" width="10.85546875" customWidth="1"/>
    <col min="10012" max="10012" width="8.85546875" customWidth="1"/>
    <col min="10013" max="10014" width="9.85546875" customWidth="1"/>
    <col min="10015" max="10015" width="12.85546875" customWidth="1"/>
    <col min="10016" max="10018" width="10.85546875" customWidth="1"/>
    <col min="10019" max="10019" width="15.140625" customWidth="1"/>
    <col min="10243" max="10245" width="10.85546875" customWidth="1"/>
    <col min="10246" max="10246" width="20.85546875" customWidth="1"/>
    <col min="10247" max="10247" width="8.85546875" customWidth="1"/>
    <col min="10248" max="10248" width="12.85546875" customWidth="1"/>
    <col min="10249" max="10249" width="9.85546875" customWidth="1"/>
    <col min="10250" max="10250" width="12.85546875" customWidth="1"/>
    <col min="10251" max="10251" width="9.85546875" customWidth="1"/>
    <col min="10252" max="10252" width="11.85546875" customWidth="1"/>
    <col min="10253" max="10253" width="9.85546875" customWidth="1"/>
    <col min="10254" max="10254" width="11.85546875" customWidth="1"/>
    <col min="10255" max="10255" width="9.85546875" customWidth="1"/>
    <col min="10256" max="10256" width="11.85546875" customWidth="1"/>
    <col min="10257" max="10257" width="12.85546875" customWidth="1"/>
    <col min="10258" max="10259" width="14.85546875" customWidth="1"/>
    <col min="10260" max="10260" width="12.85546875" customWidth="1"/>
    <col min="10261" max="10261" width="10.85546875" customWidth="1"/>
    <col min="10262" max="10262" width="7.85546875" customWidth="1"/>
    <col min="10263" max="10264" width="12.85546875" customWidth="1"/>
    <col min="10265" max="10266" width="18.85546875" customWidth="1"/>
    <col min="10267" max="10267" width="10.85546875" customWidth="1"/>
    <col min="10268" max="10268" width="8.85546875" customWidth="1"/>
    <col min="10269" max="10270" width="9.85546875" customWidth="1"/>
    <col min="10271" max="10271" width="12.85546875" customWidth="1"/>
    <col min="10272" max="10274" width="10.85546875" customWidth="1"/>
    <col min="10275" max="10275" width="15.140625" customWidth="1"/>
    <col min="10499" max="10501" width="10.85546875" customWidth="1"/>
    <col min="10502" max="10502" width="20.85546875" customWidth="1"/>
    <col min="10503" max="10503" width="8.85546875" customWidth="1"/>
    <col min="10504" max="10504" width="12.85546875" customWidth="1"/>
    <col min="10505" max="10505" width="9.85546875" customWidth="1"/>
    <col min="10506" max="10506" width="12.85546875" customWidth="1"/>
    <col min="10507" max="10507" width="9.85546875" customWidth="1"/>
    <col min="10508" max="10508" width="11.85546875" customWidth="1"/>
    <col min="10509" max="10509" width="9.85546875" customWidth="1"/>
    <col min="10510" max="10510" width="11.85546875" customWidth="1"/>
    <col min="10511" max="10511" width="9.85546875" customWidth="1"/>
    <col min="10512" max="10512" width="11.85546875" customWidth="1"/>
    <col min="10513" max="10513" width="12.85546875" customWidth="1"/>
    <col min="10514" max="10515" width="14.85546875" customWidth="1"/>
    <col min="10516" max="10516" width="12.85546875" customWidth="1"/>
    <col min="10517" max="10517" width="10.85546875" customWidth="1"/>
    <col min="10518" max="10518" width="7.85546875" customWidth="1"/>
    <col min="10519" max="10520" width="12.85546875" customWidth="1"/>
    <col min="10521" max="10522" width="18.85546875" customWidth="1"/>
    <col min="10523" max="10523" width="10.85546875" customWidth="1"/>
    <col min="10524" max="10524" width="8.85546875" customWidth="1"/>
    <col min="10525" max="10526" width="9.85546875" customWidth="1"/>
    <col min="10527" max="10527" width="12.85546875" customWidth="1"/>
    <col min="10528" max="10530" width="10.85546875" customWidth="1"/>
    <col min="10531" max="10531" width="15.140625" customWidth="1"/>
    <col min="10755" max="10757" width="10.85546875" customWidth="1"/>
    <col min="10758" max="10758" width="20.85546875" customWidth="1"/>
    <col min="10759" max="10759" width="8.85546875" customWidth="1"/>
    <col min="10760" max="10760" width="12.85546875" customWidth="1"/>
    <col min="10761" max="10761" width="9.85546875" customWidth="1"/>
    <col min="10762" max="10762" width="12.85546875" customWidth="1"/>
    <col min="10763" max="10763" width="9.85546875" customWidth="1"/>
    <col min="10764" max="10764" width="11.85546875" customWidth="1"/>
    <col min="10765" max="10765" width="9.85546875" customWidth="1"/>
    <col min="10766" max="10766" width="11.85546875" customWidth="1"/>
    <col min="10767" max="10767" width="9.85546875" customWidth="1"/>
    <col min="10768" max="10768" width="11.85546875" customWidth="1"/>
    <col min="10769" max="10769" width="12.85546875" customWidth="1"/>
    <col min="10770" max="10771" width="14.85546875" customWidth="1"/>
    <col min="10772" max="10772" width="12.85546875" customWidth="1"/>
    <col min="10773" max="10773" width="10.85546875" customWidth="1"/>
    <col min="10774" max="10774" width="7.85546875" customWidth="1"/>
    <col min="10775" max="10776" width="12.85546875" customWidth="1"/>
    <col min="10777" max="10778" width="18.85546875" customWidth="1"/>
    <col min="10779" max="10779" width="10.85546875" customWidth="1"/>
    <col min="10780" max="10780" width="8.85546875" customWidth="1"/>
    <col min="10781" max="10782" width="9.85546875" customWidth="1"/>
    <col min="10783" max="10783" width="12.85546875" customWidth="1"/>
    <col min="10784" max="10786" width="10.85546875" customWidth="1"/>
    <col min="10787" max="10787" width="15.140625" customWidth="1"/>
    <col min="11011" max="11013" width="10.85546875" customWidth="1"/>
    <col min="11014" max="11014" width="20.85546875" customWidth="1"/>
    <col min="11015" max="11015" width="8.85546875" customWidth="1"/>
    <col min="11016" max="11016" width="12.85546875" customWidth="1"/>
    <col min="11017" max="11017" width="9.85546875" customWidth="1"/>
    <col min="11018" max="11018" width="12.85546875" customWidth="1"/>
    <col min="11019" max="11019" width="9.85546875" customWidth="1"/>
    <col min="11020" max="11020" width="11.85546875" customWidth="1"/>
    <col min="11021" max="11021" width="9.85546875" customWidth="1"/>
    <col min="11022" max="11022" width="11.85546875" customWidth="1"/>
    <col min="11023" max="11023" width="9.85546875" customWidth="1"/>
    <col min="11024" max="11024" width="11.85546875" customWidth="1"/>
    <col min="11025" max="11025" width="12.85546875" customWidth="1"/>
    <col min="11026" max="11027" width="14.85546875" customWidth="1"/>
    <col min="11028" max="11028" width="12.85546875" customWidth="1"/>
    <col min="11029" max="11029" width="10.85546875" customWidth="1"/>
    <col min="11030" max="11030" width="7.85546875" customWidth="1"/>
    <col min="11031" max="11032" width="12.85546875" customWidth="1"/>
    <col min="11033" max="11034" width="18.85546875" customWidth="1"/>
    <col min="11035" max="11035" width="10.85546875" customWidth="1"/>
    <col min="11036" max="11036" width="8.85546875" customWidth="1"/>
    <col min="11037" max="11038" width="9.85546875" customWidth="1"/>
    <col min="11039" max="11039" width="12.85546875" customWidth="1"/>
    <col min="11040" max="11042" width="10.85546875" customWidth="1"/>
    <col min="11043" max="11043" width="15.140625" customWidth="1"/>
    <col min="11267" max="11269" width="10.85546875" customWidth="1"/>
    <col min="11270" max="11270" width="20.85546875" customWidth="1"/>
    <col min="11271" max="11271" width="8.85546875" customWidth="1"/>
    <col min="11272" max="11272" width="12.85546875" customWidth="1"/>
    <col min="11273" max="11273" width="9.85546875" customWidth="1"/>
    <col min="11274" max="11274" width="12.85546875" customWidth="1"/>
    <col min="11275" max="11275" width="9.85546875" customWidth="1"/>
    <col min="11276" max="11276" width="11.85546875" customWidth="1"/>
    <col min="11277" max="11277" width="9.85546875" customWidth="1"/>
    <col min="11278" max="11278" width="11.85546875" customWidth="1"/>
    <col min="11279" max="11279" width="9.85546875" customWidth="1"/>
    <col min="11280" max="11280" width="11.85546875" customWidth="1"/>
    <col min="11281" max="11281" width="12.85546875" customWidth="1"/>
    <col min="11282" max="11283" width="14.85546875" customWidth="1"/>
    <col min="11284" max="11284" width="12.85546875" customWidth="1"/>
    <col min="11285" max="11285" width="10.85546875" customWidth="1"/>
    <col min="11286" max="11286" width="7.85546875" customWidth="1"/>
    <col min="11287" max="11288" width="12.85546875" customWidth="1"/>
    <col min="11289" max="11290" width="18.85546875" customWidth="1"/>
    <col min="11291" max="11291" width="10.85546875" customWidth="1"/>
    <col min="11292" max="11292" width="8.85546875" customWidth="1"/>
    <col min="11293" max="11294" width="9.85546875" customWidth="1"/>
    <col min="11295" max="11295" width="12.85546875" customWidth="1"/>
    <col min="11296" max="11298" width="10.85546875" customWidth="1"/>
    <col min="11299" max="11299" width="15.140625" customWidth="1"/>
    <col min="11523" max="11525" width="10.85546875" customWidth="1"/>
    <col min="11526" max="11526" width="20.85546875" customWidth="1"/>
    <col min="11527" max="11527" width="8.85546875" customWidth="1"/>
    <col min="11528" max="11528" width="12.85546875" customWidth="1"/>
    <col min="11529" max="11529" width="9.85546875" customWidth="1"/>
    <col min="11530" max="11530" width="12.85546875" customWidth="1"/>
    <col min="11531" max="11531" width="9.85546875" customWidth="1"/>
    <col min="11532" max="11532" width="11.85546875" customWidth="1"/>
    <col min="11533" max="11533" width="9.85546875" customWidth="1"/>
    <col min="11534" max="11534" width="11.85546875" customWidth="1"/>
    <col min="11535" max="11535" width="9.85546875" customWidth="1"/>
    <col min="11536" max="11536" width="11.85546875" customWidth="1"/>
    <col min="11537" max="11537" width="12.85546875" customWidth="1"/>
    <col min="11538" max="11539" width="14.85546875" customWidth="1"/>
    <col min="11540" max="11540" width="12.85546875" customWidth="1"/>
    <col min="11541" max="11541" width="10.85546875" customWidth="1"/>
    <col min="11542" max="11542" width="7.85546875" customWidth="1"/>
    <col min="11543" max="11544" width="12.85546875" customWidth="1"/>
    <col min="11545" max="11546" width="18.85546875" customWidth="1"/>
    <col min="11547" max="11547" width="10.85546875" customWidth="1"/>
    <col min="11548" max="11548" width="8.85546875" customWidth="1"/>
    <col min="11549" max="11550" width="9.85546875" customWidth="1"/>
    <col min="11551" max="11551" width="12.85546875" customWidth="1"/>
    <col min="11552" max="11554" width="10.85546875" customWidth="1"/>
    <col min="11555" max="11555" width="15.140625" customWidth="1"/>
    <col min="11779" max="11781" width="10.85546875" customWidth="1"/>
    <col min="11782" max="11782" width="20.85546875" customWidth="1"/>
    <col min="11783" max="11783" width="8.85546875" customWidth="1"/>
    <col min="11784" max="11784" width="12.85546875" customWidth="1"/>
    <col min="11785" max="11785" width="9.85546875" customWidth="1"/>
    <col min="11786" max="11786" width="12.85546875" customWidth="1"/>
    <col min="11787" max="11787" width="9.85546875" customWidth="1"/>
    <col min="11788" max="11788" width="11.85546875" customWidth="1"/>
    <col min="11789" max="11789" width="9.85546875" customWidth="1"/>
    <col min="11790" max="11790" width="11.85546875" customWidth="1"/>
    <col min="11791" max="11791" width="9.85546875" customWidth="1"/>
    <col min="11792" max="11792" width="11.85546875" customWidth="1"/>
    <col min="11793" max="11793" width="12.85546875" customWidth="1"/>
    <col min="11794" max="11795" width="14.85546875" customWidth="1"/>
    <col min="11796" max="11796" width="12.85546875" customWidth="1"/>
    <col min="11797" max="11797" width="10.85546875" customWidth="1"/>
    <col min="11798" max="11798" width="7.85546875" customWidth="1"/>
    <col min="11799" max="11800" width="12.85546875" customWidth="1"/>
    <col min="11801" max="11802" width="18.85546875" customWidth="1"/>
    <col min="11803" max="11803" width="10.85546875" customWidth="1"/>
    <col min="11804" max="11804" width="8.85546875" customWidth="1"/>
    <col min="11805" max="11806" width="9.85546875" customWidth="1"/>
    <col min="11807" max="11807" width="12.85546875" customWidth="1"/>
    <col min="11808" max="11810" width="10.85546875" customWidth="1"/>
    <col min="11811" max="11811" width="15.140625" customWidth="1"/>
    <col min="12035" max="12037" width="10.85546875" customWidth="1"/>
    <col min="12038" max="12038" width="20.85546875" customWidth="1"/>
    <col min="12039" max="12039" width="8.85546875" customWidth="1"/>
    <col min="12040" max="12040" width="12.85546875" customWidth="1"/>
    <col min="12041" max="12041" width="9.85546875" customWidth="1"/>
    <col min="12042" max="12042" width="12.85546875" customWidth="1"/>
    <col min="12043" max="12043" width="9.85546875" customWidth="1"/>
    <col min="12044" max="12044" width="11.85546875" customWidth="1"/>
    <col min="12045" max="12045" width="9.85546875" customWidth="1"/>
    <col min="12046" max="12046" width="11.85546875" customWidth="1"/>
    <col min="12047" max="12047" width="9.85546875" customWidth="1"/>
    <col min="12048" max="12048" width="11.85546875" customWidth="1"/>
    <col min="12049" max="12049" width="12.85546875" customWidth="1"/>
    <col min="12050" max="12051" width="14.85546875" customWidth="1"/>
    <col min="12052" max="12052" width="12.85546875" customWidth="1"/>
    <col min="12053" max="12053" width="10.85546875" customWidth="1"/>
    <col min="12054" max="12054" width="7.85546875" customWidth="1"/>
    <col min="12055" max="12056" width="12.85546875" customWidth="1"/>
    <col min="12057" max="12058" width="18.85546875" customWidth="1"/>
    <col min="12059" max="12059" width="10.85546875" customWidth="1"/>
    <col min="12060" max="12060" width="8.85546875" customWidth="1"/>
    <col min="12061" max="12062" width="9.85546875" customWidth="1"/>
    <col min="12063" max="12063" width="12.85546875" customWidth="1"/>
    <col min="12064" max="12066" width="10.85546875" customWidth="1"/>
    <col min="12067" max="12067" width="15.140625" customWidth="1"/>
    <col min="12291" max="12293" width="10.85546875" customWidth="1"/>
    <col min="12294" max="12294" width="20.85546875" customWidth="1"/>
    <col min="12295" max="12295" width="8.85546875" customWidth="1"/>
    <col min="12296" max="12296" width="12.85546875" customWidth="1"/>
    <col min="12297" max="12297" width="9.85546875" customWidth="1"/>
    <col min="12298" max="12298" width="12.85546875" customWidth="1"/>
    <col min="12299" max="12299" width="9.85546875" customWidth="1"/>
    <col min="12300" max="12300" width="11.85546875" customWidth="1"/>
    <col min="12301" max="12301" width="9.85546875" customWidth="1"/>
    <col min="12302" max="12302" width="11.85546875" customWidth="1"/>
    <col min="12303" max="12303" width="9.85546875" customWidth="1"/>
    <col min="12304" max="12304" width="11.85546875" customWidth="1"/>
    <col min="12305" max="12305" width="12.85546875" customWidth="1"/>
    <col min="12306" max="12307" width="14.85546875" customWidth="1"/>
    <col min="12308" max="12308" width="12.85546875" customWidth="1"/>
    <col min="12309" max="12309" width="10.85546875" customWidth="1"/>
    <col min="12310" max="12310" width="7.85546875" customWidth="1"/>
    <col min="12311" max="12312" width="12.85546875" customWidth="1"/>
    <col min="12313" max="12314" width="18.85546875" customWidth="1"/>
    <col min="12315" max="12315" width="10.85546875" customWidth="1"/>
    <col min="12316" max="12316" width="8.85546875" customWidth="1"/>
    <col min="12317" max="12318" width="9.85546875" customWidth="1"/>
    <col min="12319" max="12319" width="12.85546875" customWidth="1"/>
    <col min="12320" max="12322" width="10.85546875" customWidth="1"/>
    <col min="12323" max="12323" width="15.140625" customWidth="1"/>
    <col min="12547" max="12549" width="10.85546875" customWidth="1"/>
    <col min="12550" max="12550" width="20.85546875" customWidth="1"/>
    <col min="12551" max="12551" width="8.85546875" customWidth="1"/>
    <col min="12552" max="12552" width="12.85546875" customWidth="1"/>
    <col min="12553" max="12553" width="9.85546875" customWidth="1"/>
    <col min="12554" max="12554" width="12.85546875" customWidth="1"/>
    <col min="12555" max="12555" width="9.85546875" customWidth="1"/>
    <col min="12556" max="12556" width="11.85546875" customWidth="1"/>
    <col min="12557" max="12557" width="9.85546875" customWidth="1"/>
    <col min="12558" max="12558" width="11.85546875" customWidth="1"/>
    <col min="12559" max="12559" width="9.85546875" customWidth="1"/>
    <col min="12560" max="12560" width="11.85546875" customWidth="1"/>
    <col min="12561" max="12561" width="12.85546875" customWidth="1"/>
    <col min="12562" max="12563" width="14.85546875" customWidth="1"/>
    <col min="12564" max="12564" width="12.85546875" customWidth="1"/>
    <col min="12565" max="12565" width="10.85546875" customWidth="1"/>
    <col min="12566" max="12566" width="7.85546875" customWidth="1"/>
    <col min="12567" max="12568" width="12.85546875" customWidth="1"/>
    <col min="12569" max="12570" width="18.85546875" customWidth="1"/>
    <col min="12571" max="12571" width="10.85546875" customWidth="1"/>
    <col min="12572" max="12572" width="8.85546875" customWidth="1"/>
    <col min="12573" max="12574" width="9.85546875" customWidth="1"/>
    <col min="12575" max="12575" width="12.85546875" customWidth="1"/>
    <col min="12576" max="12578" width="10.85546875" customWidth="1"/>
    <col min="12579" max="12579" width="15.140625" customWidth="1"/>
    <col min="12803" max="12805" width="10.85546875" customWidth="1"/>
    <col min="12806" max="12806" width="20.85546875" customWidth="1"/>
    <col min="12807" max="12807" width="8.85546875" customWidth="1"/>
    <col min="12808" max="12808" width="12.85546875" customWidth="1"/>
    <col min="12809" max="12809" width="9.85546875" customWidth="1"/>
    <col min="12810" max="12810" width="12.85546875" customWidth="1"/>
    <col min="12811" max="12811" width="9.85546875" customWidth="1"/>
    <col min="12812" max="12812" width="11.85546875" customWidth="1"/>
    <col min="12813" max="12813" width="9.85546875" customWidth="1"/>
    <col min="12814" max="12814" width="11.85546875" customWidth="1"/>
    <col min="12815" max="12815" width="9.85546875" customWidth="1"/>
    <col min="12816" max="12816" width="11.85546875" customWidth="1"/>
    <col min="12817" max="12817" width="12.85546875" customWidth="1"/>
    <col min="12818" max="12819" width="14.85546875" customWidth="1"/>
    <col min="12820" max="12820" width="12.85546875" customWidth="1"/>
    <col min="12821" max="12821" width="10.85546875" customWidth="1"/>
    <col min="12822" max="12822" width="7.85546875" customWidth="1"/>
    <col min="12823" max="12824" width="12.85546875" customWidth="1"/>
    <col min="12825" max="12826" width="18.85546875" customWidth="1"/>
    <col min="12827" max="12827" width="10.85546875" customWidth="1"/>
    <col min="12828" max="12828" width="8.85546875" customWidth="1"/>
    <col min="12829" max="12830" width="9.85546875" customWidth="1"/>
    <col min="12831" max="12831" width="12.85546875" customWidth="1"/>
    <col min="12832" max="12834" width="10.85546875" customWidth="1"/>
    <col min="12835" max="12835" width="15.140625" customWidth="1"/>
    <col min="13059" max="13061" width="10.85546875" customWidth="1"/>
    <col min="13062" max="13062" width="20.85546875" customWidth="1"/>
    <col min="13063" max="13063" width="8.85546875" customWidth="1"/>
    <col min="13064" max="13064" width="12.85546875" customWidth="1"/>
    <col min="13065" max="13065" width="9.85546875" customWidth="1"/>
    <col min="13066" max="13066" width="12.85546875" customWidth="1"/>
    <col min="13067" max="13067" width="9.85546875" customWidth="1"/>
    <col min="13068" max="13068" width="11.85546875" customWidth="1"/>
    <col min="13069" max="13069" width="9.85546875" customWidth="1"/>
    <col min="13070" max="13070" width="11.85546875" customWidth="1"/>
    <col min="13071" max="13071" width="9.85546875" customWidth="1"/>
    <col min="13072" max="13072" width="11.85546875" customWidth="1"/>
    <col min="13073" max="13073" width="12.85546875" customWidth="1"/>
    <col min="13074" max="13075" width="14.85546875" customWidth="1"/>
    <col min="13076" max="13076" width="12.85546875" customWidth="1"/>
    <col min="13077" max="13077" width="10.85546875" customWidth="1"/>
    <col min="13078" max="13078" width="7.85546875" customWidth="1"/>
    <col min="13079" max="13080" width="12.85546875" customWidth="1"/>
    <col min="13081" max="13082" width="18.85546875" customWidth="1"/>
    <col min="13083" max="13083" width="10.85546875" customWidth="1"/>
    <col min="13084" max="13084" width="8.85546875" customWidth="1"/>
    <col min="13085" max="13086" width="9.85546875" customWidth="1"/>
    <col min="13087" max="13087" width="12.85546875" customWidth="1"/>
    <col min="13088" max="13090" width="10.85546875" customWidth="1"/>
    <col min="13091" max="13091" width="15.140625" customWidth="1"/>
    <col min="13315" max="13317" width="10.85546875" customWidth="1"/>
    <col min="13318" max="13318" width="20.85546875" customWidth="1"/>
    <col min="13319" max="13319" width="8.85546875" customWidth="1"/>
    <col min="13320" max="13320" width="12.85546875" customWidth="1"/>
    <col min="13321" max="13321" width="9.85546875" customWidth="1"/>
    <col min="13322" max="13322" width="12.85546875" customWidth="1"/>
    <col min="13323" max="13323" width="9.85546875" customWidth="1"/>
    <col min="13324" max="13324" width="11.85546875" customWidth="1"/>
    <col min="13325" max="13325" width="9.85546875" customWidth="1"/>
    <col min="13326" max="13326" width="11.85546875" customWidth="1"/>
    <col min="13327" max="13327" width="9.85546875" customWidth="1"/>
    <col min="13328" max="13328" width="11.85546875" customWidth="1"/>
    <col min="13329" max="13329" width="12.85546875" customWidth="1"/>
    <col min="13330" max="13331" width="14.85546875" customWidth="1"/>
    <col min="13332" max="13332" width="12.85546875" customWidth="1"/>
    <col min="13333" max="13333" width="10.85546875" customWidth="1"/>
    <col min="13334" max="13334" width="7.85546875" customWidth="1"/>
    <col min="13335" max="13336" width="12.85546875" customWidth="1"/>
    <col min="13337" max="13338" width="18.85546875" customWidth="1"/>
    <col min="13339" max="13339" width="10.85546875" customWidth="1"/>
    <col min="13340" max="13340" width="8.85546875" customWidth="1"/>
    <col min="13341" max="13342" width="9.85546875" customWidth="1"/>
    <col min="13343" max="13343" width="12.85546875" customWidth="1"/>
    <col min="13344" max="13346" width="10.85546875" customWidth="1"/>
    <col min="13347" max="13347" width="15.140625" customWidth="1"/>
    <col min="13571" max="13573" width="10.85546875" customWidth="1"/>
    <col min="13574" max="13574" width="20.85546875" customWidth="1"/>
    <col min="13575" max="13575" width="8.85546875" customWidth="1"/>
    <col min="13576" max="13576" width="12.85546875" customWidth="1"/>
    <col min="13577" max="13577" width="9.85546875" customWidth="1"/>
    <col min="13578" max="13578" width="12.85546875" customWidth="1"/>
    <col min="13579" max="13579" width="9.85546875" customWidth="1"/>
    <col min="13580" max="13580" width="11.85546875" customWidth="1"/>
    <col min="13581" max="13581" width="9.85546875" customWidth="1"/>
    <col min="13582" max="13582" width="11.85546875" customWidth="1"/>
    <col min="13583" max="13583" width="9.85546875" customWidth="1"/>
    <col min="13584" max="13584" width="11.85546875" customWidth="1"/>
    <col min="13585" max="13585" width="12.85546875" customWidth="1"/>
    <col min="13586" max="13587" width="14.85546875" customWidth="1"/>
    <col min="13588" max="13588" width="12.85546875" customWidth="1"/>
    <col min="13589" max="13589" width="10.85546875" customWidth="1"/>
    <col min="13590" max="13590" width="7.85546875" customWidth="1"/>
    <col min="13591" max="13592" width="12.85546875" customWidth="1"/>
    <col min="13593" max="13594" width="18.85546875" customWidth="1"/>
    <col min="13595" max="13595" width="10.85546875" customWidth="1"/>
    <col min="13596" max="13596" width="8.85546875" customWidth="1"/>
    <col min="13597" max="13598" width="9.85546875" customWidth="1"/>
    <col min="13599" max="13599" width="12.85546875" customWidth="1"/>
    <col min="13600" max="13602" width="10.85546875" customWidth="1"/>
    <col min="13603" max="13603" width="15.140625" customWidth="1"/>
    <col min="13827" max="13829" width="10.85546875" customWidth="1"/>
    <col min="13830" max="13830" width="20.85546875" customWidth="1"/>
    <col min="13831" max="13831" width="8.85546875" customWidth="1"/>
    <col min="13832" max="13832" width="12.85546875" customWidth="1"/>
    <col min="13833" max="13833" width="9.85546875" customWidth="1"/>
    <col min="13834" max="13834" width="12.85546875" customWidth="1"/>
    <col min="13835" max="13835" width="9.85546875" customWidth="1"/>
    <col min="13836" max="13836" width="11.85546875" customWidth="1"/>
    <col min="13837" max="13837" width="9.85546875" customWidth="1"/>
    <col min="13838" max="13838" width="11.85546875" customWidth="1"/>
    <col min="13839" max="13839" width="9.85546875" customWidth="1"/>
    <col min="13840" max="13840" width="11.85546875" customWidth="1"/>
    <col min="13841" max="13841" width="12.85546875" customWidth="1"/>
    <col min="13842" max="13843" width="14.85546875" customWidth="1"/>
    <col min="13844" max="13844" width="12.85546875" customWidth="1"/>
    <col min="13845" max="13845" width="10.85546875" customWidth="1"/>
    <col min="13846" max="13846" width="7.85546875" customWidth="1"/>
    <col min="13847" max="13848" width="12.85546875" customWidth="1"/>
    <col min="13849" max="13850" width="18.85546875" customWidth="1"/>
    <col min="13851" max="13851" width="10.85546875" customWidth="1"/>
    <col min="13852" max="13852" width="8.85546875" customWidth="1"/>
    <col min="13853" max="13854" width="9.85546875" customWidth="1"/>
    <col min="13855" max="13855" width="12.85546875" customWidth="1"/>
    <col min="13856" max="13858" width="10.85546875" customWidth="1"/>
    <col min="13859" max="13859" width="15.140625" customWidth="1"/>
    <col min="14083" max="14085" width="10.85546875" customWidth="1"/>
    <col min="14086" max="14086" width="20.85546875" customWidth="1"/>
    <col min="14087" max="14087" width="8.85546875" customWidth="1"/>
    <col min="14088" max="14088" width="12.85546875" customWidth="1"/>
    <col min="14089" max="14089" width="9.85546875" customWidth="1"/>
    <col min="14090" max="14090" width="12.85546875" customWidth="1"/>
    <col min="14091" max="14091" width="9.85546875" customWidth="1"/>
    <col min="14092" max="14092" width="11.85546875" customWidth="1"/>
    <col min="14093" max="14093" width="9.85546875" customWidth="1"/>
    <col min="14094" max="14094" width="11.85546875" customWidth="1"/>
    <col min="14095" max="14095" width="9.85546875" customWidth="1"/>
    <col min="14096" max="14096" width="11.85546875" customWidth="1"/>
    <col min="14097" max="14097" width="12.85546875" customWidth="1"/>
    <col min="14098" max="14099" width="14.85546875" customWidth="1"/>
    <col min="14100" max="14100" width="12.85546875" customWidth="1"/>
    <col min="14101" max="14101" width="10.85546875" customWidth="1"/>
    <col min="14102" max="14102" width="7.85546875" customWidth="1"/>
    <col min="14103" max="14104" width="12.85546875" customWidth="1"/>
    <col min="14105" max="14106" width="18.85546875" customWidth="1"/>
    <col min="14107" max="14107" width="10.85546875" customWidth="1"/>
    <col min="14108" max="14108" width="8.85546875" customWidth="1"/>
    <col min="14109" max="14110" width="9.85546875" customWidth="1"/>
    <col min="14111" max="14111" width="12.85546875" customWidth="1"/>
    <col min="14112" max="14114" width="10.85546875" customWidth="1"/>
    <col min="14115" max="14115" width="15.140625" customWidth="1"/>
    <col min="14339" max="14341" width="10.85546875" customWidth="1"/>
    <col min="14342" max="14342" width="20.85546875" customWidth="1"/>
    <col min="14343" max="14343" width="8.85546875" customWidth="1"/>
    <col min="14344" max="14344" width="12.85546875" customWidth="1"/>
    <col min="14345" max="14345" width="9.85546875" customWidth="1"/>
    <col min="14346" max="14346" width="12.85546875" customWidth="1"/>
    <col min="14347" max="14347" width="9.85546875" customWidth="1"/>
    <col min="14348" max="14348" width="11.85546875" customWidth="1"/>
    <col min="14349" max="14349" width="9.85546875" customWidth="1"/>
    <col min="14350" max="14350" width="11.85546875" customWidth="1"/>
    <col min="14351" max="14351" width="9.85546875" customWidth="1"/>
    <col min="14352" max="14352" width="11.85546875" customWidth="1"/>
    <col min="14353" max="14353" width="12.85546875" customWidth="1"/>
    <col min="14354" max="14355" width="14.85546875" customWidth="1"/>
    <col min="14356" max="14356" width="12.85546875" customWidth="1"/>
    <col min="14357" max="14357" width="10.85546875" customWidth="1"/>
    <col min="14358" max="14358" width="7.85546875" customWidth="1"/>
    <col min="14359" max="14360" width="12.85546875" customWidth="1"/>
    <col min="14361" max="14362" width="18.85546875" customWidth="1"/>
    <col min="14363" max="14363" width="10.85546875" customWidth="1"/>
    <col min="14364" max="14364" width="8.85546875" customWidth="1"/>
    <col min="14365" max="14366" width="9.85546875" customWidth="1"/>
    <col min="14367" max="14367" width="12.85546875" customWidth="1"/>
    <col min="14368" max="14370" width="10.85546875" customWidth="1"/>
    <col min="14371" max="14371" width="15.140625" customWidth="1"/>
    <col min="14595" max="14597" width="10.85546875" customWidth="1"/>
    <col min="14598" max="14598" width="20.85546875" customWidth="1"/>
    <col min="14599" max="14599" width="8.85546875" customWidth="1"/>
    <col min="14600" max="14600" width="12.85546875" customWidth="1"/>
    <col min="14601" max="14601" width="9.85546875" customWidth="1"/>
    <col min="14602" max="14602" width="12.85546875" customWidth="1"/>
    <col min="14603" max="14603" width="9.85546875" customWidth="1"/>
    <col min="14604" max="14604" width="11.85546875" customWidth="1"/>
    <col min="14605" max="14605" width="9.85546875" customWidth="1"/>
    <col min="14606" max="14606" width="11.85546875" customWidth="1"/>
    <col min="14607" max="14607" width="9.85546875" customWidth="1"/>
    <col min="14608" max="14608" width="11.85546875" customWidth="1"/>
    <col min="14609" max="14609" width="12.85546875" customWidth="1"/>
    <col min="14610" max="14611" width="14.85546875" customWidth="1"/>
    <col min="14612" max="14612" width="12.85546875" customWidth="1"/>
    <col min="14613" max="14613" width="10.85546875" customWidth="1"/>
    <col min="14614" max="14614" width="7.85546875" customWidth="1"/>
    <col min="14615" max="14616" width="12.85546875" customWidth="1"/>
    <col min="14617" max="14618" width="18.85546875" customWidth="1"/>
    <col min="14619" max="14619" width="10.85546875" customWidth="1"/>
    <col min="14620" max="14620" width="8.85546875" customWidth="1"/>
    <col min="14621" max="14622" width="9.85546875" customWidth="1"/>
    <col min="14623" max="14623" width="12.85546875" customWidth="1"/>
    <col min="14624" max="14626" width="10.85546875" customWidth="1"/>
    <col min="14627" max="14627" width="15.140625" customWidth="1"/>
    <col min="14851" max="14853" width="10.85546875" customWidth="1"/>
    <col min="14854" max="14854" width="20.85546875" customWidth="1"/>
    <col min="14855" max="14855" width="8.85546875" customWidth="1"/>
    <col min="14856" max="14856" width="12.85546875" customWidth="1"/>
    <col min="14857" max="14857" width="9.85546875" customWidth="1"/>
    <col min="14858" max="14858" width="12.85546875" customWidth="1"/>
    <col min="14859" max="14859" width="9.85546875" customWidth="1"/>
    <col min="14860" max="14860" width="11.85546875" customWidth="1"/>
    <col min="14861" max="14861" width="9.85546875" customWidth="1"/>
    <col min="14862" max="14862" width="11.85546875" customWidth="1"/>
    <col min="14863" max="14863" width="9.85546875" customWidth="1"/>
    <col min="14864" max="14864" width="11.85546875" customWidth="1"/>
    <col min="14865" max="14865" width="12.85546875" customWidth="1"/>
    <col min="14866" max="14867" width="14.85546875" customWidth="1"/>
    <col min="14868" max="14868" width="12.85546875" customWidth="1"/>
    <col min="14869" max="14869" width="10.85546875" customWidth="1"/>
    <col min="14870" max="14870" width="7.85546875" customWidth="1"/>
    <col min="14871" max="14872" width="12.85546875" customWidth="1"/>
    <col min="14873" max="14874" width="18.85546875" customWidth="1"/>
    <col min="14875" max="14875" width="10.85546875" customWidth="1"/>
    <col min="14876" max="14876" width="8.85546875" customWidth="1"/>
    <col min="14877" max="14878" width="9.85546875" customWidth="1"/>
    <col min="14879" max="14879" width="12.85546875" customWidth="1"/>
    <col min="14880" max="14882" width="10.85546875" customWidth="1"/>
    <col min="14883" max="14883" width="15.140625" customWidth="1"/>
    <col min="15107" max="15109" width="10.85546875" customWidth="1"/>
    <col min="15110" max="15110" width="20.85546875" customWidth="1"/>
    <col min="15111" max="15111" width="8.85546875" customWidth="1"/>
    <col min="15112" max="15112" width="12.85546875" customWidth="1"/>
    <col min="15113" max="15113" width="9.85546875" customWidth="1"/>
    <col min="15114" max="15114" width="12.85546875" customWidth="1"/>
    <col min="15115" max="15115" width="9.85546875" customWidth="1"/>
    <col min="15116" max="15116" width="11.85546875" customWidth="1"/>
    <col min="15117" max="15117" width="9.85546875" customWidth="1"/>
    <col min="15118" max="15118" width="11.85546875" customWidth="1"/>
    <col min="15119" max="15119" width="9.85546875" customWidth="1"/>
    <col min="15120" max="15120" width="11.85546875" customWidth="1"/>
    <col min="15121" max="15121" width="12.85546875" customWidth="1"/>
    <col min="15122" max="15123" width="14.85546875" customWidth="1"/>
    <col min="15124" max="15124" width="12.85546875" customWidth="1"/>
    <col min="15125" max="15125" width="10.85546875" customWidth="1"/>
    <col min="15126" max="15126" width="7.85546875" customWidth="1"/>
    <col min="15127" max="15128" width="12.85546875" customWidth="1"/>
    <col min="15129" max="15130" width="18.85546875" customWidth="1"/>
    <col min="15131" max="15131" width="10.85546875" customWidth="1"/>
    <col min="15132" max="15132" width="8.85546875" customWidth="1"/>
    <col min="15133" max="15134" width="9.85546875" customWidth="1"/>
    <col min="15135" max="15135" width="12.85546875" customWidth="1"/>
    <col min="15136" max="15138" width="10.85546875" customWidth="1"/>
    <col min="15139" max="15139" width="15.140625" customWidth="1"/>
    <col min="15363" max="15365" width="10.85546875" customWidth="1"/>
    <col min="15366" max="15366" width="20.85546875" customWidth="1"/>
    <col min="15367" max="15367" width="8.85546875" customWidth="1"/>
    <col min="15368" max="15368" width="12.85546875" customWidth="1"/>
    <col min="15369" max="15369" width="9.85546875" customWidth="1"/>
    <col min="15370" max="15370" width="12.85546875" customWidth="1"/>
    <col min="15371" max="15371" width="9.85546875" customWidth="1"/>
    <col min="15372" max="15372" width="11.85546875" customWidth="1"/>
    <col min="15373" max="15373" width="9.85546875" customWidth="1"/>
    <col min="15374" max="15374" width="11.85546875" customWidth="1"/>
    <col min="15375" max="15375" width="9.85546875" customWidth="1"/>
    <col min="15376" max="15376" width="11.85546875" customWidth="1"/>
    <col min="15377" max="15377" width="12.85546875" customWidth="1"/>
    <col min="15378" max="15379" width="14.85546875" customWidth="1"/>
    <col min="15380" max="15380" width="12.85546875" customWidth="1"/>
    <col min="15381" max="15381" width="10.85546875" customWidth="1"/>
    <col min="15382" max="15382" width="7.85546875" customWidth="1"/>
    <col min="15383" max="15384" width="12.85546875" customWidth="1"/>
    <col min="15385" max="15386" width="18.85546875" customWidth="1"/>
    <col min="15387" max="15387" width="10.85546875" customWidth="1"/>
    <col min="15388" max="15388" width="8.85546875" customWidth="1"/>
    <col min="15389" max="15390" width="9.85546875" customWidth="1"/>
    <col min="15391" max="15391" width="12.85546875" customWidth="1"/>
    <col min="15392" max="15394" width="10.85546875" customWidth="1"/>
    <col min="15395" max="15395" width="15.140625" customWidth="1"/>
    <col min="15619" max="15621" width="10.85546875" customWidth="1"/>
    <col min="15622" max="15622" width="20.85546875" customWidth="1"/>
    <col min="15623" max="15623" width="8.85546875" customWidth="1"/>
    <col min="15624" max="15624" width="12.85546875" customWidth="1"/>
    <col min="15625" max="15625" width="9.85546875" customWidth="1"/>
    <col min="15626" max="15626" width="12.85546875" customWidth="1"/>
    <col min="15627" max="15627" width="9.85546875" customWidth="1"/>
    <col min="15628" max="15628" width="11.85546875" customWidth="1"/>
    <col min="15629" max="15629" width="9.85546875" customWidth="1"/>
    <col min="15630" max="15630" width="11.85546875" customWidth="1"/>
    <col min="15631" max="15631" width="9.85546875" customWidth="1"/>
    <col min="15632" max="15632" width="11.85546875" customWidth="1"/>
    <col min="15633" max="15633" width="12.85546875" customWidth="1"/>
    <col min="15634" max="15635" width="14.85546875" customWidth="1"/>
    <col min="15636" max="15636" width="12.85546875" customWidth="1"/>
    <col min="15637" max="15637" width="10.85546875" customWidth="1"/>
    <col min="15638" max="15638" width="7.85546875" customWidth="1"/>
    <col min="15639" max="15640" width="12.85546875" customWidth="1"/>
    <col min="15641" max="15642" width="18.85546875" customWidth="1"/>
    <col min="15643" max="15643" width="10.85546875" customWidth="1"/>
    <col min="15644" max="15644" width="8.85546875" customWidth="1"/>
    <col min="15645" max="15646" width="9.85546875" customWidth="1"/>
    <col min="15647" max="15647" width="12.85546875" customWidth="1"/>
    <col min="15648" max="15650" width="10.85546875" customWidth="1"/>
    <col min="15651" max="15651" width="15.140625" customWidth="1"/>
    <col min="15875" max="15877" width="10.85546875" customWidth="1"/>
    <col min="15878" max="15878" width="20.85546875" customWidth="1"/>
    <col min="15879" max="15879" width="8.85546875" customWidth="1"/>
    <col min="15880" max="15880" width="12.85546875" customWidth="1"/>
    <col min="15881" max="15881" width="9.85546875" customWidth="1"/>
    <col min="15882" max="15882" width="12.85546875" customWidth="1"/>
    <col min="15883" max="15883" width="9.85546875" customWidth="1"/>
    <col min="15884" max="15884" width="11.85546875" customWidth="1"/>
    <col min="15885" max="15885" width="9.85546875" customWidth="1"/>
    <col min="15886" max="15886" width="11.85546875" customWidth="1"/>
    <col min="15887" max="15887" width="9.85546875" customWidth="1"/>
    <col min="15888" max="15888" width="11.85546875" customWidth="1"/>
    <col min="15889" max="15889" width="12.85546875" customWidth="1"/>
    <col min="15890" max="15891" width="14.85546875" customWidth="1"/>
    <col min="15892" max="15892" width="12.85546875" customWidth="1"/>
    <col min="15893" max="15893" width="10.85546875" customWidth="1"/>
    <col min="15894" max="15894" width="7.85546875" customWidth="1"/>
    <col min="15895" max="15896" width="12.85546875" customWidth="1"/>
    <col min="15897" max="15898" width="18.85546875" customWidth="1"/>
    <col min="15899" max="15899" width="10.85546875" customWidth="1"/>
    <col min="15900" max="15900" width="8.85546875" customWidth="1"/>
    <col min="15901" max="15902" width="9.85546875" customWidth="1"/>
    <col min="15903" max="15903" width="12.85546875" customWidth="1"/>
    <col min="15904" max="15906" width="10.85546875" customWidth="1"/>
    <col min="15907" max="15907" width="15.140625" customWidth="1"/>
    <col min="16131" max="16133" width="10.85546875" customWidth="1"/>
    <col min="16134" max="16134" width="20.85546875" customWidth="1"/>
    <col min="16135" max="16135" width="8.85546875" customWidth="1"/>
    <col min="16136" max="16136" width="12.85546875" customWidth="1"/>
    <col min="16137" max="16137" width="9.85546875" customWidth="1"/>
    <col min="16138" max="16138" width="12.85546875" customWidth="1"/>
    <col min="16139" max="16139" width="9.85546875" customWidth="1"/>
    <col min="16140" max="16140" width="11.85546875" customWidth="1"/>
    <col min="16141" max="16141" width="9.85546875" customWidth="1"/>
    <col min="16142" max="16142" width="11.85546875" customWidth="1"/>
    <col min="16143" max="16143" width="9.85546875" customWidth="1"/>
    <col min="16144" max="16144" width="11.85546875" customWidth="1"/>
    <col min="16145" max="16145" width="12.85546875" customWidth="1"/>
    <col min="16146" max="16147" width="14.85546875" customWidth="1"/>
    <col min="16148" max="16148" width="12.85546875" customWidth="1"/>
    <col min="16149" max="16149" width="10.85546875" customWidth="1"/>
    <col min="16150" max="16150" width="7.85546875" customWidth="1"/>
    <col min="16151" max="16152" width="12.85546875" customWidth="1"/>
    <col min="16153" max="16154" width="18.85546875" customWidth="1"/>
    <col min="16155" max="16155" width="10.85546875" customWidth="1"/>
    <col min="16156" max="16156" width="8.85546875" customWidth="1"/>
    <col min="16157" max="16158" width="9.85546875" customWidth="1"/>
    <col min="16159" max="16159" width="12.85546875" customWidth="1"/>
    <col min="16160" max="16162" width="10.85546875" customWidth="1"/>
    <col min="16163" max="16163" width="15.140625" customWidth="1"/>
  </cols>
  <sheetData>
    <row r="1" spans="1:36" s="3" customFormat="1" ht="63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</row>
    <row r="2" spans="1:36" x14ac:dyDescent="0.25">
      <c r="A2" t="s">
        <v>36</v>
      </c>
      <c r="B2" t="s">
        <v>37</v>
      </c>
      <c r="C2" t="s">
        <v>37</v>
      </c>
      <c r="D2" t="s">
        <v>38</v>
      </c>
      <c r="E2" s="4">
        <v>12</v>
      </c>
      <c r="F2" s="5">
        <v>379.8</v>
      </c>
      <c r="G2" s="5" t="s">
        <v>39</v>
      </c>
      <c r="H2" s="5">
        <v>495.72</v>
      </c>
      <c r="I2" s="5" t="s">
        <v>39</v>
      </c>
      <c r="J2" s="5">
        <v>12.9132</v>
      </c>
      <c r="K2" s="5">
        <f>J2/E2</f>
        <v>1.0761000000000001</v>
      </c>
      <c r="L2" s="5">
        <f>F2/E2</f>
        <v>31.650000000000002</v>
      </c>
      <c r="M2" s="5" t="s">
        <v>39</v>
      </c>
      <c r="N2" s="5">
        <v>12.9132</v>
      </c>
      <c r="O2" s="5" t="s">
        <v>39</v>
      </c>
      <c r="P2" t="s">
        <v>40</v>
      </c>
      <c r="Q2" t="s">
        <v>41</v>
      </c>
      <c r="R2" t="s">
        <v>37</v>
      </c>
      <c r="S2" t="s">
        <v>42</v>
      </c>
      <c r="T2" t="s">
        <v>43</v>
      </c>
      <c r="U2" t="s">
        <v>44</v>
      </c>
      <c r="V2">
        <v>147</v>
      </c>
      <c r="W2" t="s">
        <v>45</v>
      </c>
      <c r="X2" t="s">
        <v>46</v>
      </c>
      <c r="Y2" t="s">
        <v>47</v>
      </c>
      <c r="Z2" t="s">
        <v>37</v>
      </c>
      <c r="AA2" t="s">
        <v>48</v>
      </c>
      <c r="AB2" t="s">
        <v>37</v>
      </c>
      <c r="AC2" s="6" t="s">
        <v>37</v>
      </c>
      <c r="AD2" s="6" t="s">
        <v>37</v>
      </c>
      <c r="AE2" t="s">
        <v>37</v>
      </c>
      <c r="AF2" t="s">
        <v>37</v>
      </c>
      <c r="AG2" s="6" t="s">
        <v>37</v>
      </c>
      <c r="AH2" t="s">
        <v>37</v>
      </c>
      <c r="AI2" t="s">
        <v>37</v>
      </c>
      <c r="AJ2" t="str">
        <f>P2&amp;Q2</f>
        <v>8IC45Q9KB00CJ5FPTA</v>
      </c>
    </row>
    <row r="3" spans="1:36" ht="15" customHeight="1" x14ac:dyDescent="0.25">
      <c r="A3" t="s">
        <v>49</v>
      </c>
      <c r="B3" t="s">
        <v>37</v>
      </c>
      <c r="C3" t="s">
        <v>37</v>
      </c>
      <c r="D3" t="s">
        <v>38</v>
      </c>
      <c r="E3" s="4">
        <v>4</v>
      </c>
      <c r="F3" s="5">
        <v>126.6</v>
      </c>
      <c r="G3" s="5" t="s">
        <v>39</v>
      </c>
      <c r="H3" s="5">
        <v>203.24</v>
      </c>
      <c r="I3" s="5" t="s">
        <v>39</v>
      </c>
      <c r="J3" s="5">
        <v>4.3044000000000002</v>
      </c>
      <c r="K3" s="5">
        <f t="shared" ref="K3:K66" si="0">J3/E3</f>
        <v>1.0761000000000001</v>
      </c>
      <c r="L3" s="5">
        <f t="shared" ref="L3:L66" si="1">F3/E3</f>
        <v>31.65</v>
      </c>
      <c r="M3" s="5" t="s">
        <v>39</v>
      </c>
      <c r="N3" s="5">
        <v>4.3044000000000002</v>
      </c>
      <c r="O3" s="5" t="s">
        <v>39</v>
      </c>
      <c r="P3" t="s">
        <v>50</v>
      </c>
      <c r="Q3" t="s">
        <v>51</v>
      </c>
      <c r="R3" t="s">
        <v>37</v>
      </c>
      <c r="S3" t="s">
        <v>52</v>
      </c>
      <c r="T3" t="s">
        <v>43</v>
      </c>
      <c r="U3" t="s">
        <v>44</v>
      </c>
      <c r="V3">
        <v>147</v>
      </c>
      <c r="W3" t="s">
        <v>45</v>
      </c>
      <c r="X3" t="s">
        <v>53</v>
      </c>
      <c r="Y3" t="s">
        <v>54</v>
      </c>
      <c r="Z3" t="s">
        <v>37</v>
      </c>
      <c r="AA3" t="s">
        <v>48</v>
      </c>
      <c r="AB3" t="s">
        <v>37</v>
      </c>
      <c r="AC3" s="6" t="s">
        <v>37</v>
      </c>
      <c r="AD3" s="6" t="s">
        <v>37</v>
      </c>
      <c r="AE3" t="s">
        <v>37</v>
      </c>
      <c r="AF3" t="s">
        <v>37</v>
      </c>
      <c r="AG3" s="6" t="s">
        <v>37</v>
      </c>
      <c r="AH3" t="s">
        <v>37</v>
      </c>
      <c r="AI3" t="s">
        <v>37</v>
      </c>
      <c r="AJ3" t="str">
        <f t="shared" ref="AJ3:AJ66" si="2">P3&amp;Q3</f>
        <v>54U7COBYB07CGNDZR3</v>
      </c>
    </row>
    <row r="4" spans="1:36" ht="15" customHeight="1" x14ac:dyDescent="0.25">
      <c r="A4" t="s">
        <v>36</v>
      </c>
      <c r="B4" t="s">
        <v>37</v>
      </c>
      <c r="C4" t="s">
        <v>37</v>
      </c>
      <c r="D4" t="s">
        <v>38</v>
      </c>
      <c r="E4" s="4">
        <v>2</v>
      </c>
      <c r="F4" s="5">
        <v>127.66</v>
      </c>
      <c r="G4" s="5" t="s">
        <v>39</v>
      </c>
      <c r="H4" s="5">
        <v>131.13999999999999</v>
      </c>
      <c r="I4" s="5" t="s">
        <v>39</v>
      </c>
      <c r="J4" s="5">
        <v>4.3404400000000001</v>
      </c>
      <c r="K4" s="5">
        <f t="shared" si="0"/>
        <v>2.17022</v>
      </c>
      <c r="L4" s="5">
        <f t="shared" si="1"/>
        <v>63.83</v>
      </c>
      <c r="M4" s="5" t="s">
        <v>39</v>
      </c>
      <c r="N4" s="5">
        <v>4.3404400000000001</v>
      </c>
      <c r="O4" s="5" t="s">
        <v>39</v>
      </c>
      <c r="P4" t="s">
        <v>55</v>
      </c>
      <c r="Q4" t="s">
        <v>56</v>
      </c>
      <c r="R4" t="s">
        <v>37</v>
      </c>
      <c r="S4" t="s">
        <v>57</v>
      </c>
      <c r="T4" t="s">
        <v>43</v>
      </c>
      <c r="U4" t="s">
        <v>44</v>
      </c>
      <c r="V4">
        <v>23</v>
      </c>
      <c r="W4" t="s">
        <v>58</v>
      </c>
      <c r="X4" t="s">
        <v>59</v>
      </c>
      <c r="Y4" t="s">
        <v>60</v>
      </c>
      <c r="Z4" t="s">
        <v>37</v>
      </c>
      <c r="AA4" t="s">
        <v>61</v>
      </c>
      <c r="AB4" t="s">
        <v>37</v>
      </c>
      <c r="AC4" s="6" t="s">
        <v>37</v>
      </c>
      <c r="AD4" s="6" t="s">
        <v>37</v>
      </c>
      <c r="AE4" t="s">
        <v>37</v>
      </c>
      <c r="AF4" t="s">
        <v>37</v>
      </c>
      <c r="AG4" s="6" t="s">
        <v>37</v>
      </c>
      <c r="AH4" t="s">
        <v>37</v>
      </c>
      <c r="AI4" t="s">
        <v>37</v>
      </c>
      <c r="AJ4" t="str">
        <f t="shared" si="2"/>
        <v>3WIANGOBB076K126YZ</v>
      </c>
    </row>
    <row r="5" spans="1:36" ht="15" customHeight="1" x14ac:dyDescent="0.25">
      <c r="A5" t="s">
        <v>62</v>
      </c>
      <c r="B5" t="s">
        <v>37</v>
      </c>
      <c r="C5" t="s">
        <v>37</v>
      </c>
      <c r="D5" t="s">
        <v>38</v>
      </c>
      <c r="E5" s="4">
        <v>80</v>
      </c>
      <c r="F5" s="5">
        <v>702.4</v>
      </c>
      <c r="G5" s="5" t="s">
        <v>39</v>
      </c>
      <c r="H5" s="5">
        <v>884.8</v>
      </c>
      <c r="I5" s="5" t="s">
        <v>39</v>
      </c>
      <c r="J5" s="5">
        <v>23.881599999999999</v>
      </c>
      <c r="K5" s="5">
        <f t="shared" si="0"/>
        <v>0.29852000000000001</v>
      </c>
      <c r="L5" s="5">
        <f t="shared" si="1"/>
        <v>8.7799999999999994</v>
      </c>
      <c r="M5" s="5" t="s">
        <v>39</v>
      </c>
      <c r="N5" s="5">
        <v>23.881599999999999</v>
      </c>
      <c r="O5" s="5" t="s">
        <v>39</v>
      </c>
      <c r="P5" t="s">
        <v>63</v>
      </c>
      <c r="Q5" t="s">
        <v>64</v>
      </c>
      <c r="R5" t="s">
        <v>37</v>
      </c>
      <c r="S5" t="s">
        <v>65</v>
      </c>
      <c r="T5" t="s">
        <v>43</v>
      </c>
      <c r="U5" t="s">
        <v>44</v>
      </c>
      <c r="V5">
        <v>147</v>
      </c>
      <c r="W5" t="s">
        <v>45</v>
      </c>
      <c r="X5" t="s">
        <v>53</v>
      </c>
      <c r="Y5" t="s">
        <v>66</v>
      </c>
      <c r="Z5" t="s">
        <v>37</v>
      </c>
      <c r="AA5" t="s">
        <v>48</v>
      </c>
      <c r="AB5" t="s">
        <v>37</v>
      </c>
      <c r="AC5" s="6" t="s">
        <v>37</v>
      </c>
      <c r="AD5" s="6" t="s">
        <v>37</v>
      </c>
      <c r="AE5" t="s">
        <v>37</v>
      </c>
      <c r="AF5" t="s">
        <v>37</v>
      </c>
      <c r="AG5" s="6" t="s">
        <v>37</v>
      </c>
      <c r="AH5" t="s">
        <v>37</v>
      </c>
      <c r="AI5" t="s">
        <v>37</v>
      </c>
      <c r="AJ5" t="str">
        <f t="shared" si="2"/>
        <v>3AWPOPBJB01A9HC69G</v>
      </c>
    </row>
    <row r="6" spans="1:36" ht="15" customHeight="1" x14ac:dyDescent="0.25">
      <c r="A6" t="s">
        <v>67</v>
      </c>
      <c r="B6" t="s">
        <v>37</v>
      </c>
      <c r="C6" t="s">
        <v>37</v>
      </c>
      <c r="D6" t="s">
        <v>38</v>
      </c>
      <c r="E6" s="4">
        <v>10</v>
      </c>
      <c r="F6" s="5">
        <v>1419.3</v>
      </c>
      <c r="G6" s="5" t="s">
        <v>39</v>
      </c>
      <c r="H6" s="5">
        <v>2295</v>
      </c>
      <c r="I6" s="5" t="s">
        <v>39</v>
      </c>
      <c r="J6" s="5">
        <v>48.2562</v>
      </c>
      <c r="K6" s="5">
        <f t="shared" si="0"/>
        <v>4.8256199999999998</v>
      </c>
      <c r="L6" s="5">
        <f t="shared" si="1"/>
        <v>141.93</v>
      </c>
      <c r="M6" s="5" t="s">
        <v>39</v>
      </c>
      <c r="N6" s="5">
        <v>48.2562</v>
      </c>
      <c r="O6" s="5" t="s">
        <v>39</v>
      </c>
      <c r="P6" t="s">
        <v>40</v>
      </c>
      <c r="Q6" t="s">
        <v>68</v>
      </c>
      <c r="R6" t="s">
        <v>37</v>
      </c>
      <c r="S6" t="s">
        <v>69</v>
      </c>
      <c r="T6" t="s">
        <v>43</v>
      </c>
      <c r="U6" t="s">
        <v>44</v>
      </c>
      <c r="V6">
        <v>147</v>
      </c>
      <c r="W6" t="s">
        <v>45</v>
      </c>
      <c r="X6" t="s">
        <v>46</v>
      </c>
      <c r="Y6" t="s">
        <v>70</v>
      </c>
      <c r="Z6" t="s">
        <v>37</v>
      </c>
      <c r="AA6" t="s">
        <v>48</v>
      </c>
      <c r="AB6" t="s">
        <v>37</v>
      </c>
      <c r="AC6" s="6" t="s">
        <v>37</v>
      </c>
      <c r="AD6" s="6" t="s">
        <v>37</v>
      </c>
      <c r="AE6" t="s">
        <v>37</v>
      </c>
      <c r="AF6" t="s">
        <v>37</v>
      </c>
      <c r="AG6" s="6" t="s">
        <v>37</v>
      </c>
      <c r="AH6" t="s">
        <v>37</v>
      </c>
      <c r="AI6" t="s">
        <v>37</v>
      </c>
      <c r="AJ6" t="str">
        <f t="shared" si="2"/>
        <v>8IC45Q9KB079Z3DSBK</v>
      </c>
    </row>
    <row r="7" spans="1:36" ht="15" customHeight="1" x14ac:dyDescent="0.25">
      <c r="A7" t="s">
        <v>71</v>
      </c>
      <c r="B7" t="s">
        <v>37</v>
      </c>
      <c r="C7" t="s">
        <v>37</v>
      </c>
      <c r="D7" t="s">
        <v>38</v>
      </c>
      <c r="E7" s="4">
        <v>970</v>
      </c>
      <c r="F7" s="5">
        <v>14200.8</v>
      </c>
      <c r="G7" s="5" t="s">
        <v>39</v>
      </c>
      <c r="H7" s="5">
        <v>14200.8</v>
      </c>
      <c r="I7" s="5" t="s">
        <v>39</v>
      </c>
      <c r="J7" s="5">
        <v>482.8272</v>
      </c>
      <c r="K7" s="5">
        <f t="shared" si="0"/>
        <v>0.49775999999999998</v>
      </c>
      <c r="L7" s="5">
        <f t="shared" si="1"/>
        <v>14.639999999999999</v>
      </c>
      <c r="M7" s="5" t="s">
        <v>39</v>
      </c>
      <c r="N7" s="5">
        <v>482.8272</v>
      </c>
      <c r="O7" s="5" t="s">
        <v>39</v>
      </c>
      <c r="P7" t="s">
        <v>72</v>
      </c>
      <c r="Q7" t="s">
        <v>73</v>
      </c>
      <c r="R7" t="s">
        <v>37</v>
      </c>
      <c r="S7" t="s">
        <v>74</v>
      </c>
      <c r="T7" t="s">
        <v>43</v>
      </c>
      <c r="U7" t="s">
        <v>44</v>
      </c>
      <c r="V7">
        <v>147</v>
      </c>
      <c r="W7" t="s">
        <v>45</v>
      </c>
      <c r="X7" t="s">
        <v>75</v>
      </c>
      <c r="Y7" t="s">
        <v>76</v>
      </c>
      <c r="Z7" t="s">
        <v>37</v>
      </c>
      <c r="AA7" t="s">
        <v>61</v>
      </c>
      <c r="AB7" t="s">
        <v>37</v>
      </c>
      <c r="AC7" s="6" t="s">
        <v>37</v>
      </c>
      <c r="AD7" s="6" t="s">
        <v>37</v>
      </c>
      <c r="AE7" t="s">
        <v>37</v>
      </c>
      <c r="AF7" t="s">
        <v>37</v>
      </c>
      <c r="AG7" s="6" t="s">
        <v>37</v>
      </c>
      <c r="AH7" t="s">
        <v>37</v>
      </c>
      <c r="AI7" t="s">
        <v>37</v>
      </c>
      <c r="AJ7" t="str">
        <f t="shared" si="2"/>
        <v>6GSPTXJAB003IZ5JXC</v>
      </c>
    </row>
    <row r="8" spans="1:36" ht="15" customHeight="1" x14ac:dyDescent="0.25">
      <c r="A8" t="s">
        <v>77</v>
      </c>
      <c r="B8" t="s">
        <v>37</v>
      </c>
      <c r="C8" t="s">
        <v>37</v>
      </c>
      <c r="D8" t="s">
        <v>38</v>
      </c>
      <c r="E8" s="4">
        <v>0</v>
      </c>
      <c r="F8" s="5">
        <v>0</v>
      </c>
      <c r="G8" s="5" t="s">
        <v>39</v>
      </c>
      <c r="H8" s="5">
        <v>0</v>
      </c>
      <c r="I8" s="5" t="s">
        <v>39</v>
      </c>
      <c r="J8" s="5">
        <v>0</v>
      </c>
      <c r="K8" s="5" t="e">
        <f t="shared" si="0"/>
        <v>#DIV/0!</v>
      </c>
      <c r="L8" s="5" t="e">
        <f t="shared" si="1"/>
        <v>#DIV/0!</v>
      </c>
      <c r="M8" s="5" t="s">
        <v>39</v>
      </c>
      <c r="N8" s="5">
        <v>0</v>
      </c>
      <c r="O8" s="5" t="s">
        <v>39</v>
      </c>
      <c r="P8" t="s">
        <v>78</v>
      </c>
      <c r="Q8" t="s">
        <v>79</v>
      </c>
      <c r="R8" t="s">
        <v>37</v>
      </c>
      <c r="S8" t="s">
        <v>80</v>
      </c>
      <c r="T8" t="s">
        <v>43</v>
      </c>
      <c r="U8" t="s">
        <v>44</v>
      </c>
      <c r="V8">
        <v>147</v>
      </c>
      <c r="W8" t="s">
        <v>45</v>
      </c>
      <c r="X8" t="s">
        <v>75</v>
      </c>
      <c r="Y8" t="s">
        <v>81</v>
      </c>
      <c r="Z8" t="s">
        <v>37</v>
      </c>
      <c r="AA8" t="s">
        <v>61</v>
      </c>
      <c r="AB8" t="s">
        <v>37</v>
      </c>
      <c r="AC8" s="6" t="s">
        <v>37</v>
      </c>
      <c r="AD8" s="6" t="s">
        <v>37</v>
      </c>
      <c r="AE8" t="s">
        <v>37</v>
      </c>
      <c r="AF8" t="s">
        <v>37</v>
      </c>
      <c r="AG8" s="6" t="s">
        <v>37</v>
      </c>
      <c r="AH8" t="s">
        <v>37</v>
      </c>
      <c r="AI8" t="s">
        <v>37</v>
      </c>
      <c r="AJ8" t="str">
        <f t="shared" si="2"/>
        <v>135JM91XB07W4DGLJX</v>
      </c>
    </row>
    <row r="9" spans="1:36" ht="15" customHeight="1" x14ac:dyDescent="0.25">
      <c r="A9" t="s">
        <v>67</v>
      </c>
      <c r="B9" t="s">
        <v>37</v>
      </c>
      <c r="C9" t="s">
        <v>37</v>
      </c>
      <c r="D9" t="s">
        <v>38</v>
      </c>
      <c r="E9" s="4">
        <v>4</v>
      </c>
      <c r="F9" s="5">
        <v>301.64</v>
      </c>
      <c r="G9" s="5" t="s">
        <v>39</v>
      </c>
      <c r="H9" s="5">
        <v>442.6</v>
      </c>
      <c r="I9" s="5" t="s">
        <v>39</v>
      </c>
      <c r="J9" s="5">
        <v>10.25576</v>
      </c>
      <c r="K9" s="5">
        <f t="shared" si="0"/>
        <v>2.5639400000000001</v>
      </c>
      <c r="L9" s="5">
        <f t="shared" si="1"/>
        <v>75.41</v>
      </c>
      <c r="M9" s="5" t="s">
        <v>39</v>
      </c>
      <c r="N9" s="5">
        <v>10.25576</v>
      </c>
      <c r="O9" s="5" t="s">
        <v>39</v>
      </c>
      <c r="P9" t="s">
        <v>82</v>
      </c>
      <c r="Q9" t="s">
        <v>83</v>
      </c>
      <c r="R9" t="s">
        <v>37</v>
      </c>
      <c r="S9" t="s">
        <v>84</v>
      </c>
      <c r="T9" t="s">
        <v>43</v>
      </c>
      <c r="U9" t="s">
        <v>44</v>
      </c>
      <c r="V9">
        <v>147</v>
      </c>
      <c r="W9" t="s">
        <v>45</v>
      </c>
      <c r="X9" t="s">
        <v>75</v>
      </c>
      <c r="Y9" t="s">
        <v>85</v>
      </c>
      <c r="Z9" t="s">
        <v>37</v>
      </c>
      <c r="AA9" t="s">
        <v>48</v>
      </c>
      <c r="AB9" t="s">
        <v>37</v>
      </c>
      <c r="AC9" s="6" t="s">
        <v>37</v>
      </c>
      <c r="AD9" s="6" t="s">
        <v>37</v>
      </c>
      <c r="AE9" t="s">
        <v>37</v>
      </c>
      <c r="AF9" t="s">
        <v>37</v>
      </c>
      <c r="AG9" s="6" t="s">
        <v>37</v>
      </c>
      <c r="AH9" t="s">
        <v>37</v>
      </c>
      <c r="AI9" t="s">
        <v>37</v>
      </c>
      <c r="AJ9" t="str">
        <f t="shared" si="2"/>
        <v>57D297ZKB01N6NGNQ8</v>
      </c>
    </row>
    <row r="10" spans="1:36" ht="15" customHeight="1" x14ac:dyDescent="0.25">
      <c r="A10" t="s">
        <v>67</v>
      </c>
      <c r="B10" t="s">
        <v>37</v>
      </c>
      <c r="C10" t="s">
        <v>37</v>
      </c>
      <c r="D10" t="s">
        <v>38</v>
      </c>
      <c r="E10" s="4">
        <v>100</v>
      </c>
      <c r="F10" s="5">
        <v>21052</v>
      </c>
      <c r="G10" s="5" t="s">
        <v>39</v>
      </c>
      <c r="H10" s="5">
        <v>33525</v>
      </c>
      <c r="I10" s="5" t="s">
        <v>39</v>
      </c>
      <c r="J10" s="5">
        <v>715.76800000000003</v>
      </c>
      <c r="K10" s="5">
        <f t="shared" si="0"/>
        <v>7.15768</v>
      </c>
      <c r="L10" s="5">
        <f t="shared" si="1"/>
        <v>210.52</v>
      </c>
      <c r="M10" s="5" t="s">
        <v>39</v>
      </c>
      <c r="N10" s="5">
        <v>715.76800000000003</v>
      </c>
      <c r="O10" s="5" t="s">
        <v>39</v>
      </c>
      <c r="P10" t="s">
        <v>82</v>
      </c>
      <c r="Q10" t="s">
        <v>86</v>
      </c>
      <c r="R10" t="s">
        <v>37</v>
      </c>
      <c r="S10" t="s">
        <v>87</v>
      </c>
      <c r="T10" t="s">
        <v>43</v>
      </c>
      <c r="U10" t="s">
        <v>44</v>
      </c>
      <c r="V10">
        <v>147</v>
      </c>
      <c r="W10" t="s">
        <v>45</v>
      </c>
      <c r="X10" t="s">
        <v>46</v>
      </c>
      <c r="Y10" t="s">
        <v>88</v>
      </c>
      <c r="Z10" t="s">
        <v>37</v>
      </c>
      <c r="AA10" t="s">
        <v>61</v>
      </c>
      <c r="AB10" t="s">
        <v>37</v>
      </c>
      <c r="AC10" s="6" t="s">
        <v>37</v>
      </c>
      <c r="AD10" s="6" t="s">
        <v>37</v>
      </c>
      <c r="AE10" t="s">
        <v>37</v>
      </c>
      <c r="AF10" t="s">
        <v>37</v>
      </c>
      <c r="AG10" s="6" t="s">
        <v>37</v>
      </c>
      <c r="AH10" t="s">
        <v>37</v>
      </c>
      <c r="AI10" t="s">
        <v>37</v>
      </c>
      <c r="AJ10" t="str">
        <f t="shared" si="2"/>
        <v>57D297ZKB011N78DMA</v>
      </c>
    </row>
    <row r="11" spans="1:36" ht="15" customHeight="1" x14ac:dyDescent="0.25">
      <c r="A11" t="s">
        <v>36</v>
      </c>
      <c r="B11" t="s">
        <v>37</v>
      </c>
      <c r="C11" t="s">
        <v>37</v>
      </c>
      <c r="D11" t="s">
        <v>38</v>
      </c>
      <c r="E11" s="4">
        <v>80</v>
      </c>
      <c r="F11" s="5">
        <v>1171.2</v>
      </c>
      <c r="G11" s="5" t="s">
        <v>39</v>
      </c>
      <c r="H11" s="5">
        <v>1704</v>
      </c>
      <c r="I11" s="5" t="s">
        <v>39</v>
      </c>
      <c r="J11" s="5">
        <v>39.820799999999998</v>
      </c>
      <c r="K11" s="5">
        <f t="shared" si="0"/>
        <v>0.49775999999999998</v>
      </c>
      <c r="L11" s="5">
        <f t="shared" si="1"/>
        <v>14.64</v>
      </c>
      <c r="M11" s="5" t="s">
        <v>39</v>
      </c>
      <c r="N11" s="5">
        <v>39.820799999999998</v>
      </c>
      <c r="O11" s="5" t="s">
        <v>39</v>
      </c>
      <c r="P11" t="s">
        <v>89</v>
      </c>
      <c r="Q11" t="s">
        <v>90</v>
      </c>
      <c r="R11" t="s">
        <v>37</v>
      </c>
      <c r="S11" t="s">
        <v>91</v>
      </c>
      <c r="T11" t="s">
        <v>43</v>
      </c>
      <c r="U11" t="s">
        <v>44</v>
      </c>
      <c r="V11">
        <v>147</v>
      </c>
      <c r="W11" t="s">
        <v>45</v>
      </c>
      <c r="X11" t="s">
        <v>53</v>
      </c>
      <c r="Y11" t="s">
        <v>92</v>
      </c>
      <c r="Z11" t="s">
        <v>37</v>
      </c>
      <c r="AA11" t="s">
        <v>48</v>
      </c>
      <c r="AB11" t="s">
        <v>37</v>
      </c>
      <c r="AC11" s="6" t="s">
        <v>37</v>
      </c>
      <c r="AD11" s="6" t="s">
        <v>37</v>
      </c>
      <c r="AE11" t="s">
        <v>37</v>
      </c>
      <c r="AF11" t="s">
        <v>37</v>
      </c>
      <c r="AG11" s="6" t="s">
        <v>37</v>
      </c>
      <c r="AH11" t="s">
        <v>37</v>
      </c>
      <c r="AI11" t="s">
        <v>37</v>
      </c>
      <c r="AJ11" t="str">
        <f t="shared" si="2"/>
        <v>6D1HFTMSB01K7GEAF2</v>
      </c>
    </row>
    <row r="12" spans="1:36" ht="15" customHeight="1" x14ac:dyDescent="0.25">
      <c r="A12" t="s">
        <v>49</v>
      </c>
      <c r="B12" t="s">
        <v>37</v>
      </c>
      <c r="C12" t="s">
        <v>37</v>
      </c>
      <c r="D12" t="s">
        <v>38</v>
      </c>
      <c r="E12" s="4">
        <v>0</v>
      </c>
      <c r="F12" s="5">
        <v>0</v>
      </c>
      <c r="G12" s="5" t="s">
        <v>39</v>
      </c>
      <c r="H12" s="5">
        <v>0</v>
      </c>
      <c r="I12" s="5" t="s">
        <v>39</v>
      </c>
      <c r="J12" s="5">
        <v>0</v>
      </c>
      <c r="K12" s="5" t="e">
        <f t="shared" si="0"/>
        <v>#DIV/0!</v>
      </c>
      <c r="L12" s="5" t="e">
        <f t="shared" si="1"/>
        <v>#DIV/0!</v>
      </c>
      <c r="M12" s="5" t="s">
        <v>39</v>
      </c>
      <c r="N12" s="5">
        <v>0</v>
      </c>
      <c r="O12" s="5" t="s">
        <v>39</v>
      </c>
      <c r="P12" t="s">
        <v>78</v>
      </c>
      <c r="Q12" t="s">
        <v>79</v>
      </c>
      <c r="R12" t="s">
        <v>37</v>
      </c>
      <c r="S12" t="s">
        <v>80</v>
      </c>
      <c r="T12" t="s">
        <v>43</v>
      </c>
      <c r="U12" t="s">
        <v>44</v>
      </c>
      <c r="V12">
        <v>147</v>
      </c>
      <c r="W12" t="s">
        <v>45</v>
      </c>
      <c r="X12" t="s">
        <v>75</v>
      </c>
      <c r="Y12" t="s">
        <v>81</v>
      </c>
      <c r="Z12" t="s">
        <v>37</v>
      </c>
      <c r="AA12" t="s">
        <v>61</v>
      </c>
      <c r="AB12" t="s">
        <v>37</v>
      </c>
      <c r="AC12" s="6" t="s">
        <v>37</v>
      </c>
      <c r="AD12" s="6" t="s">
        <v>37</v>
      </c>
      <c r="AE12" t="s">
        <v>37</v>
      </c>
      <c r="AF12" t="s">
        <v>37</v>
      </c>
      <c r="AG12" s="6" t="s">
        <v>37</v>
      </c>
      <c r="AH12" t="s">
        <v>37</v>
      </c>
      <c r="AI12" t="s">
        <v>37</v>
      </c>
      <c r="AJ12" t="str">
        <f t="shared" si="2"/>
        <v>135JM91XB07W4DGLJX</v>
      </c>
    </row>
    <row r="13" spans="1:36" ht="15" customHeight="1" x14ac:dyDescent="0.25">
      <c r="A13" t="s">
        <v>67</v>
      </c>
      <c r="B13" t="s">
        <v>37</v>
      </c>
      <c r="C13" t="s">
        <v>37</v>
      </c>
      <c r="D13" t="s">
        <v>38</v>
      </c>
      <c r="E13" s="4">
        <v>220</v>
      </c>
      <c r="F13" s="5">
        <v>1931.6</v>
      </c>
      <c r="G13" s="5" t="s">
        <v>39</v>
      </c>
      <c r="H13" s="5">
        <v>2433.1999999999998</v>
      </c>
      <c r="I13" s="5" t="s">
        <v>39</v>
      </c>
      <c r="J13" s="5">
        <v>65.674400000000006</v>
      </c>
      <c r="K13" s="5">
        <f t="shared" si="0"/>
        <v>0.29852000000000001</v>
      </c>
      <c r="L13" s="5">
        <f t="shared" si="1"/>
        <v>8.7799999999999994</v>
      </c>
      <c r="M13" s="5" t="s">
        <v>39</v>
      </c>
      <c r="N13" s="5">
        <v>65.674400000000006</v>
      </c>
      <c r="O13" s="5" t="s">
        <v>39</v>
      </c>
      <c r="P13" t="s">
        <v>63</v>
      </c>
      <c r="Q13" t="s">
        <v>64</v>
      </c>
      <c r="R13" t="s">
        <v>37</v>
      </c>
      <c r="S13" t="s">
        <v>65</v>
      </c>
      <c r="T13" t="s">
        <v>43</v>
      </c>
      <c r="U13" t="s">
        <v>44</v>
      </c>
      <c r="V13">
        <v>147</v>
      </c>
      <c r="W13" t="s">
        <v>45</v>
      </c>
      <c r="X13" t="s">
        <v>53</v>
      </c>
      <c r="Y13" t="s">
        <v>66</v>
      </c>
      <c r="Z13" t="s">
        <v>37</v>
      </c>
      <c r="AA13" t="s">
        <v>48</v>
      </c>
      <c r="AB13" t="s">
        <v>37</v>
      </c>
      <c r="AC13" s="6" t="s">
        <v>37</v>
      </c>
      <c r="AD13" s="6" t="s">
        <v>37</v>
      </c>
      <c r="AE13" t="s">
        <v>37</v>
      </c>
      <c r="AF13" t="s">
        <v>37</v>
      </c>
      <c r="AG13" s="6" t="s">
        <v>37</v>
      </c>
      <c r="AH13" t="s">
        <v>37</v>
      </c>
      <c r="AI13" t="s">
        <v>37</v>
      </c>
      <c r="AJ13" t="str">
        <f t="shared" si="2"/>
        <v>3AWPOPBJB01A9HC69G</v>
      </c>
    </row>
    <row r="14" spans="1:36" ht="15" customHeight="1" x14ac:dyDescent="0.25">
      <c r="A14" t="s">
        <v>67</v>
      </c>
      <c r="B14" t="s">
        <v>37</v>
      </c>
      <c r="C14" t="s">
        <v>37</v>
      </c>
      <c r="D14" t="s">
        <v>38</v>
      </c>
      <c r="E14" s="4">
        <v>16</v>
      </c>
      <c r="F14" s="5">
        <v>562.08000000000004</v>
      </c>
      <c r="G14" s="5" t="s">
        <v>39</v>
      </c>
      <c r="H14" s="5">
        <v>1009.12</v>
      </c>
      <c r="I14" s="5" t="s">
        <v>39</v>
      </c>
      <c r="J14" s="5">
        <v>19.110720000000001</v>
      </c>
      <c r="K14" s="5">
        <f t="shared" si="0"/>
        <v>1.19442</v>
      </c>
      <c r="L14" s="5">
        <f t="shared" si="1"/>
        <v>35.130000000000003</v>
      </c>
      <c r="M14" s="5" t="s">
        <v>39</v>
      </c>
      <c r="N14" s="5">
        <v>19.110720000000001</v>
      </c>
      <c r="O14" s="5" t="s">
        <v>39</v>
      </c>
      <c r="P14" t="s">
        <v>63</v>
      </c>
      <c r="Q14" t="s">
        <v>93</v>
      </c>
      <c r="R14" t="s">
        <v>37</v>
      </c>
      <c r="S14" t="s">
        <v>94</v>
      </c>
      <c r="T14" t="s">
        <v>43</v>
      </c>
      <c r="U14" t="s">
        <v>44</v>
      </c>
      <c r="V14">
        <v>23</v>
      </c>
      <c r="W14" t="s">
        <v>95</v>
      </c>
      <c r="X14" t="s">
        <v>96</v>
      </c>
      <c r="Y14" t="s">
        <v>97</v>
      </c>
      <c r="Z14" t="s">
        <v>37</v>
      </c>
      <c r="AA14" t="s">
        <v>48</v>
      </c>
      <c r="AB14" t="s">
        <v>37</v>
      </c>
      <c r="AC14" s="6" t="s">
        <v>37</v>
      </c>
      <c r="AD14" s="6" t="s">
        <v>37</v>
      </c>
      <c r="AE14" t="s">
        <v>37</v>
      </c>
      <c r="AF14" t="s">
        <v>37</v>
      </c>
      <c r="AG14" s="6" t="s">
        <v>37</v>
      </c>
      <c r="AH14" t="s">
        <v>37</v>
      </c>
      <c r="AI14" t="s">
        <v>37</v>
      </c>
      <c r="AJ14" t="str">
        <f t="shared" si="2"/>
        <v>3AWPOPBJB008S1IOSS</v>
      </c>
    </row>
    <row r="15" spans="1:36" ht="15" customHeight="1" x14ac:dyDescent="0.25">
      <c r="A15" t="s">
        <v>36</v>
      </c>
      <c r="B15" t="s">
        <v>37</v>
      </c>
      <c r="C15" t="s">
        <v>37</v>
      </c>
      <c r="D15" t="s">
        <v>38</v>
      </c>
      <c r="E15" s="4">
        <v>16</v>
      </c>
      <c r="F15" s="5">
        <v>1856.32</v>
      </c>
      <c r="G15" s="5" t="s">
        <v>39</v>
      </c>
      <c r="H15" s="5">
        <v>2622.88</v>
      </c>
      <c r="I15" s="5" t="s">
        <v>39</v>
      </c>
      <c r="J15" s="5">
        <v>63.114879999999999</v>
      </c>
      <c r="K15" s="5">
        <f t="shared" si="0"/>
        <v>3.94468</v>
      </c>
      <c r="L15" s="5">
        <f t="shared" si="1"/>
        <v>116.02</v>
      </c>
      <c r="M15" s="5" t="s">
        <v>39</v>
      </c>
      <c r="N15" s="5">
        <v>63.114879999999999</v>
      </c>
      <c r="O15" s="5" t="s">
        <v>39</v>
      </c>
      <c r="P15" t="s">
        <v>89</v>
      </c>
      <c r="Q15" t="s">
        <v>98</v>
      </c>
      <c r="R15" t="s">
        <v>37</v>
      </c>
      <c r="S15" t="s">
        <v>99</v>
      </c>
      <c r="T15" t="s">
        <v>43</v>
      </c>
      <c r="U15" t="s">
        <v>44</v>
      </c>
      <c r="V15">
        <v>147</v>
      </c>
      <c r="W15" t="s">
        <v>45</v>
      </c>
      <c r="X15" t="s">
        <v>75</v>
      </c>
      <c r="Y15" t="s">
        <v>100</v>
      </c>
      <c r="Z15" t="s">
        <v>37</v>
      </c>
      <c r="AA15" t="s">
        <v>61</v>
      </c>
      <c r="AB15" t="s">
        <v>37</v>
      </c>
      <c r="AC15" s="6" t="s">
        <v>37</v>
      </c>
      <c r="AD15" s="6" t="s">
        <v>37</v>
      </c>
      <c r="AE15" t="s">
        <v>37</v>
      </c>
      <c r="AF15" t="s">
        <v>37</v>
      </c>
      <c r="AG15" s="6" t="s">
        <v>37</v>
      </c>
      <c r="AH15" t="s">
        <v>37</v>
      </c>
      <c r="AI15" t="s">
        <v>37</v>
      </c>
      <c r="AJ15" t="str">
        <f t="shared" si="2"/>
        <v>6D1HFTMSB07W6JKKBV</v>
      </c>
    </row>
    <row r="16" spans="1:36" ht="15" customHeight="1" x14ac:dyDescent="0.25">
      <c r="A16" t="s">
        <v>101</v>
      </c>
      <c r="B16" t="s">
        <v>37</v>
      </c>
      <c r="C16" t="s">
        <v>37</v>
      </c>
      <c r="D16" t="s">
        <v>38</v>
      </c>
      <c r="E16" s="4">
        <v>0</v>
      </c>
      <c r="F16" s="5">
        <v>0</v>
      </c>
      <c r="G16" s="5" t="s">
        <v>39</v>
      </c>
      <c r="H16" s="5">
        <v>0</v>
      </c>
      <c r="I16" s="5" t="s">
        <v>39</v>
      </c>
      <c r="J16" s="5">
        <v>0</v>
      </c>
      <c r="K16" s="5" t="e">
        <f t="shared" si="0"/>
        <v>#DIV/0!</v>
      </c>
      <c r="L16" s="5" t="e">
        <f t="shared" si="1"/>
        <v>#DIV/0!</v>
      </c>
      <c r="M16" s="5" t="s">
        <v>39</v>
      </c>
      <c r="N16" s="5">
        <v>0</v>
      </c>
      <c r="O16" s="5" t="s">
        <v>39</v>
      </c>
      <c r="P16" t="s">
        <v>63</v>
      </c>
      <c r="Q16" t="s">
        <v>64</v>
      </c>
      <c r="R16" t="s">
        <v>37</v>
      </c>
      <c r="S16" t="s">
        <v>65</v>
      </c>
      <c r="T16" t="s">
        <v>43</v>
      </c>
      <c r="U16" t="s">
        <v>44</v>
      </c>
      <c r="V16">
        <v>147</v>
      </c>
      <c r="W16" t="s">
        <v>45</v>
      </c>
      <c r="X16" t="s">
        <v>53</v>
      </c>
      <c r="Y16" t="s">
        <v>66</v>
      </c>
      <c r="Z16" t="s">
        <v>37</v>
      </c>
      <c r="AA16" t="s">
        <v>48</v>
      </c>
      <c r="AB16" t="s">
        <v>37</v>
      </c>
      <c r="AC16" s="6" t="s">
        <v>37</v>
      </c>
      <c r="AD16" s="6" t="s">
        <v>37</v>
      </c>
      <c r="AE16" t="s">
        <v>37</v>
      </c>
      <c r="AF16" t="s">
        <v>37</v>
      </c>
      <c r="AG16" s="6" t="s">
        <v>37</v>
      </c>
      <c r="AH16" t="s">
        <v>37</v>
      </c>
      <c r="AI16" t="s">
        <v>37</v>
      </c>
      <c r="AJ16" t="str">
        <f t="shared" si="2"/>
        <v>3AWPOPBJB01A9HC69G</v>
      </c>
    </row>
    <row r="17" spans="1:36" ht="15" customHeight="1" x14ac:dyDescent="0.25">
      <c r="A17" t="s">
        <v>102</v>
      </c>
      <c r="B17" t="s">
        <v>37</v>
      </c>
      <c r="C17" t="s">
        <v>37</v>
      </c>
      <c r="D17" t="s">
        <v>38</v>
      </c>
      <c r="E17" s="4">
        <v>8</v>
      </c>
      <c r="F17" s="5">
        <v>1177.68</v>
      </c>
      <c r="G17" s="5" t="s">
        <v>39</v>
      </c>
      <c r="H17" s="5">
        <v>1901.6</v>
      </c>
      <c r="I17" s="5" t="s">
        <v>39</v>
      </c>
      <c r="J17" s="5">
        <v>40.041119999999999</v>
      </c>
      <c r="K17" s="5">
        <f t="shared" si="0"/>
        <v>5.0051399999999999</v>
      </c>
      <c r="L17" s="5">
        <f t="shared" si="1"/>
        <v>147.21</v>
      </c>
      <c r="M17" s="5" t="s">
        <v>39</v>
      </c>
      <c r="N17" s="5">
        <v>40.041119999999999</v>
      </c>
      <c r="O17" s="5" t="s">
        <v>39</v>
      </c>
      <c r="P17" t="s">
        <v>103</v>
      </c>
      <c r="Q17" t="s">
        <v>104</v>
      </c>
      <c r="R17" t="s">
        <v>37</v>
      </c>
      <c r="S17" t="s">
        <v>105</v>
      </c>
      <c r="T17" t="s">
        <v>43</v>
      </c>
      <c r="U17" t="s">
        <v>44</v>
      </c>
      <c r="V17">
        <v>147</v>
      </c>
      <c r="W17" t="s">
        <v>45</v>
      </c>
      <c r="X17" t="s">
        <v>46</v>
      </c>
      <c r="Y17" t="s">
        <v>106</v>
      </c>
      <c r="Z17" t="s">
        <v>37</v>
      </c>
      <c r="AA17" t="s">
        <v>107</v>
      </c>
      <c r="AB17" t="s">
        <v>37</v>
      </c>
      <c r="AC17" s="6" t="s">
        <v>37</v>
      </c>
      <c r="AD17" s="6" t="s">
        <v>37</v>
      </c>
      <c r="AE17" t="s">
        <v>37</v>
      </c>
      <c r="AF17" t="s">
        <v>37</v>
      </c>
      <c r="AG17" s="6" t="s">
        <v>37</v>
      </c>
      <c r="AH17" t="s">
        <v>37</v>
      </c>
      <c r="AI17" t="s">
        <v>37</v>
      </c>
      <c r="AJ17" t="str">
        <f t="shared" si="2"/>
        <v>68K72QXCB07JGCM9QM</v>
      </c>
    </row>
    <row r="18" spans="1:36" ht="15" customHeight="1" x14ac:dyDescent="0.25">
      <c r="A18" t="s">
        <v>67</v>
      </c>
      <c r="B18" t="s">
        <v>37</v>
      </c>
      <c r="C18" t="s">
        <v>37</v>
      </c>
      <c r="D18" t="s">
        <v>38</v>
      </c>
      <c r="E18" s="4">
        <v>24</v>
      </c>
      <c r="F18" s="5">
        <v>1809.84</v>
      </c>
      <c r="G18" s="5" t="s">
        <v>39</v>
      </c>
      <c r="H18" s="5">
        <v>2262</v>
      </c>
      <c r="I18" s="5" t="s">
        <v>39</v>
      </c>
      <c r="J18" s="5">
        <v>61.534559999999999</v>
      </c>
      <c r="K18" s="5">
        <f t="shared" si="0"/>
        <v>2.5639400000000001</v>
      </c>
      <c r="L18" s="5">
        <f t="shared" si="1"/>
        <v>75.41</v>
      </c>
      <c r="M18" s="5" t="s">
        <v>39</v>
      </c>
      <c r="N18" s="5">
        <v>61.534559999999999</v>
      </c>
      <c r="O18" s="5" t="s">
        <v>39</v>
      </c>
      <c r="P18" t="s">
        <v>108</v>
      </c>
      <c r="Q18" t="s">
        <v>109</v>
      </c>
      <c r="R18" t="s">
        <v>37</v>
      </c>
      <c r="S18" t="s">
        <v>110</v>
      </c>
      <c r="T18" t="s">
        <v>43</v>
      </c>
      <c r="U18" t="s">
        <v>44</v>
      </c>
      <c r="V18">
        <v>147</v>
      </c>
      <c r="W18" t="s">
        <v>45</v>
      </c>
      <c r="X18" t="s">
        <v>75</v>
      </c>
      <c r="Y18" t="s">
        <v>111</v>
      </c>
      <c r="Z18" t="s">
        <v>37</v>
      </c>
      <c r="AA18" t="s">
        <v>61</v>
      </c>
      <c r="AB18" t="s">
        <v>37</v>
      </c>
      <c r="AC18" s="6" t="s">
        <v>37</v>
      </c>
      <c r="AD18" s="6" t="s">
        <v>37</v>
      </c>
      <c r="AE18" t="s">
        <v>37</v>
      </c>
      <c r="AF18" t="s">
        <v>37</v>
      </c>
      <c r="AG18" s="6" t="s">
        <v>37</v>
      </c>
      <c r="AH18" t="s">
        <v>37</v>
      </c>
      <c r="AI18" t="s">
        <v>37</v>
      </c>
      <c r="AJ18" t="str">
        <f t="shared" si="2"/>
        <v>5HGHPU5OB07W6JFPT1</v>
      </c>
    </row>
    <row r="19" spans="1:36" ht="15" customHeight="1" x14ac:dyDescent="0.25">
      <c r="A19" t="s">
        <v>67</v>
      </c>
      <c r="B19" t="s">
        <v>37</v>
      </c>
      <c r="C19" t="s">
        <v>37</v>
      </c>
      <c r="D19" t="s">
        <v>38</v>
      </c>
      <c r="E19" s="4">
        <v>20</v>
      </c>
      <c r="F19" s="5">
        <v>1361.2</v>
      </c>
      <c r="G19" s="5" t="s">
        <v>39</v>
      </c>
      <c r="H19" s="5">
        <v>2213</v>
      </c>
      <c r="I19" s="5" t="s">
        <v>39</v>
      </c>
      <c r="J19" s="5">
        <v>46.280799999999999</v>
      </c>
      <c r="K19" s="5">
        <f t="shared" si="0"/>
        <v>2.3140399999999999</v>
      </c>
      <c r="L19" s="5">
        <f t="shared" si="1"/>
        <v>68.06</v>
      </c>
      <c r="M19" s="5" t="s">
        <v>39</v>
      </c>
      <c r="N19" s="5">
        <v>46.280799999999999</v>
      </c>
      <c r="O19" s="5" t="s">
        <v>39</v>
      </c>
      <c r="P19" t="s">
        <v>82</v>
      </c>
      <c r="Q19" t="s">
        <v>112</v>
      </c>
      <c r="R19" t="s">
        <v>37</v>
      </c>
      <c r="S19" t="s">
        <v>113</v>
      </c>
      <c r="T19" t="s">
        <v>43</v>
      </c>
      <c r="U19" t="s">
        <v>44</v>
      </c>
      <c r="V19">
        <v>147</v>
      </c>
      <c r="W19" t="s">
        <v>45</v>
      </c>
      <c r="X19" t="s">
        <v>75</v>
      </c>
      <c r="Y19" t="s">
        <v>114</v>
      </c>
      <c r="Z19" t="s">
        <v>37</v>
      </c>
      <c r="AA19" t="s">
        <v>61</v>
      </c>
      <c r="AB19" t="s">
        <v>37</v>
      </c>
      <c r="AC19" s="6" t="s">
        <v>37</v>
      </c>
      <c r="AD19" s="6" t="s">
        <v>37</v>
      </c>
      <c r="AE19" t="s">
        <v>37</v>
      </c>
      <c r="AF19" t="s">
        <v>37</v>
      </c>
      <c r="AG19" s="6" t="s">
        <v>37</v>
      </c>
      <c r="AH19" t="s">
        <v>37</v>
      </c>
      <c r="AI19" t="s">
        <v>37</v>
      </c>
      <c r="AJ19" t="str">
        <f t="shared" si="2"/>
        <v>57D297ZKB07W6JNQ82</v>
      </c>
    </row>
    <row r="20" spans="1:36" ht="15" customHeight="1" x14ac:dyDescent="0.25">
      <c r="A20" t="s">
        <v>115</v>
      </c>
      <c r="B20" t="s">
        <v>37</v>
      </c>
      <c r="C20" t="s">
        <v>37</v>
      </c>
      <c r="D20" t="s">
        <v>38</v>
      </c>
      <c r="E20" s="4">
        <v>30</v>
      </c>
      <c r="F20" s="5">
        <v>298.5</v>
      </c>
      <c r="G20" s="5" t="s">
        <v>39</v>
      </c>
      <c r="H20" s="5">
        <v>298.5</v>
      </c>
      <c r="I20" s="5" t="s">
        <v>39</v>
      </c>
      <c r="J20" s="5">
        <v>10.148999999999999</v>
      </c>
      <c r="K20" s="5">
        <f t="shared" si="0"/>
        <v>0.33829999999999999</v>
      </c>
      <c r="L20" s="5">
        <f t="shared" si="1"/>
        <v>9.9499999999999993</v>
      </c>
      <c r="M20" s="5" t="s">
        <v>39</v>
      </c>
      <c r="N20" s="5">
        <v>10.148999999999999</v>
      </c>
      <c r="O20" s="5" t="s">
        <v>39</v>
      </c>
      <c r="P20" t="s">
        <v>116</v>
      </c>
      <c r="Q20" t="s">
        <v>117</v>
      </c>
      <c r="R20" t="s">
        <v>37</v>
      </c>
      <c r="S20" t="s">
        <v>118</v>
      </c>
      <c r="T20" t="s">
        <v>43</v>
      </c>
      <c r="U20" t="s">
        <v>44</v>
      </c>
      <c r="V20">
        <v>147</v>
      </c>
      <c r="W20" t="s">
        <v>45</v>
      </c>
      <c r="X20" t="s">
        <v>53</v>
      </c>
      <c r="Y20" t="s">
        <v>119</v>
      </c>
      <c r="Z20" t="s">
        <v>37</v>
      </c>
      <c r="AA20" t="s">
        <v>48</v>
      </c>
      <c r="AB20" t="s">
        <v>37</v>
      </c>
      <c r="AC20" s="6" t="s">
        <v>37</v>
      </c>
      <c r="AD20" s="6" t="s">
        <v>37</v>
      </c>
      <c r="AE20" t="s">
        <v>37</v>
      </c>
      <c r="AF20" t="s">
        <v>37</v>
      </c>
      <c r="AG20" s="6" t="s">
        <v>37</v>
      </c>
      <c r="AH20" t="s">
        <v>37</v>
      </c>
      <c r="AI20" t="s">
        <v>37</v>
      </c>
      <c r="AJ20" t="str">
        <f t="shared" si="2"/>
        <v>3S7Y1OIVB00544XFHC</v>
      </c>
    </row>
    <row r="21" spans="1:36" ht="15" customHeight="1" x14ac:dyDescent="0.25">
      <c r="A21" t="s">
        <v>36</v>
      </c>
      <c r="B21" t="s">
        <v>37</v>
      </c>
      <c r="C21" t="s">
        <v>37</v>
      </c>
      <c r="D21" t="s">
        <v>38</v>
      </c>
      <c r="E21" s="4">
        <v>8</v>
      </c>
      <c r="F21" s="5">
        <v>126.56</v>
      </c>
      <c r="G21" s="5" t="s">
        <v>39</v>
      </c>
      <c r="H21" s="5">
        <v>203.2</v>
      </c>
      <c r="I21" s="5" t="s">
        <v>39</v>
      </c>
      <c r="J21" s="5">
        <v>4.3030400000000002</v>
      </c>
      <c r="K21" s="5">
        <f t="shared" si="0"/>
        <v>0.53788000000000002</v>
      </c>
      <c r="L21" s="5">
        <f t="shared" si="1"/>
        <v>15.82</v>
      </c>
      <c r="M21" s="5" t="s">
        <v>39</v>
      </c>
      <c r="N21" s="5">
        <v>4.3030400000000002</v>
      </c>
      <c r="O21" s="5" t="s">
        <v>39</v>
      </c>
      <c r="P21" t="s">
        <v>89</v>
      </c>
      <c r="Q21" t="s">
        <v>120</v>
      </c>
      <c r="R21" t="s">
        <v>37</v>
      </c>
      <c r="S21" t="s">
        <v>121</v>
      </c>
      <c r="T21" t="s">
        <v>43</v>
      </c>
      <c r="U21" t="s">
        <v>44</v>
      </c>
      <c r="V21">
        <v>147</v>
      </c>
      <c r="W21" t="s">
        <v>45</v>
      </c>
      <c r="X21" t="s">
        <v>46</v>
      </c>
      <c r="Y21" t="s">
        <v>122</v>
      </c>
      <c r="Z21" t="s">
        <v>37</v>
      </c>
      <c r="AA21" t="s">
        <v>48</v>
      </c>
      <c r="AB21" t="s">
        <v>37</v>
      </c>
      <c r="AC21" s="6" t="s">
        <v>37</v>
      </c>
      <c r="AD21" s="6" t="s">
        <v>37</v>
      </c>
      <c r="AE21" t="s">
        <v>37</v>
      </c>
      <c r="AF21" t="s">
        <v>37</v>
      </c>
      <c r="AG21" s="6" t="s">
        <v>37</v>
      </c>
      <c r="AH21" t="s">
        <v>37</v>
      </c>
      <c r="AI21" t="s">
        <v>37</v>
      </c>
      <c r="AJ21" t="str">
        <f t="shared" si="2"/>
        <v>6D1HFTMSB01DIJIE1Q</v>
      </c>
    </row>
    <row r="22" spans="1:36" ht="15" customHeight="1" x14ac:dyDescent="0.25">
      <c r="A22" t="s">
        <v>67</v>
      </c>
      <c r="B22" t="s">
        <v>37</v>
      </c>
      <c r="C22" t="s">
        <v>37</v>
      </c>
      <c r="D22" t="s">
        <v>38</v>
      </c>
      <c r="E22" s="4">
        <v>24</v>
      </c>
      <c r="F22" s="5">
        <v>759.6</v>
      </c>
      <c r="G22" s="5" t="s">
        <v>39</v>
      </c>
      <c r="H22" s="5">
        <v>1219.44</v>
      </c>
      <c r="I22" s="5" t="s">
        <v>39</v>
      </c>
      <c r="J22" s="5">
        <v>25.8264</v>
      </c>
      <c r="K22" s="5">
        <f t="shared" si="0"/>
        <v>1.0761000000000001</v>
      </c>
      <c r="L22" s="5">
        <f t="shared" si="1"/>
        <v>31.650000000000002</v>
      </c>
      <c r="M22" s="5" t="s">
        <v>39</v>
      </c>
      <c r="N22" s="5">
        <v>25.8264</v>
      </c>
      <c r="O22" s="5" t="s">
        <v>39</v>
      </c>
      <c r="P22" t="s">
        <v>89</v>
      </c>
      <c r="Q22" t="s">
        <v>51</v>
      </c>
      <c r="R22" t="s">
        <v>37</v>
      </c>
      <c r="S22" t="s">
        <v>52</v>
      </c>
      <c r="T22" t="s">
        <v>43</v>
      </c>
      <c r="U22" t="s">
        <v>44</v>
      </c>
      <c r="V22">
        <v>147</v>
      </c>
      <c r="W22" t="s">
        <v>45</v>
      </c>
      <c r="X22" t="s">
        <v>53</v>
      </c>
      <c r="Y22" t="s">
        <v>54</v>
      </c>
      <c r="Z22" t="s">
        <v>37</v>
      </c>
      <c r="AA22" t="s">
        <v>48</v>
      </c>
      <c r="AB22" t="s">
        <v>37</v>
      </c>
      <c r="AC22" s="6" t="s">
        <v>37</v>
      </c>
      <c r="AD22" s="6" t="s">
        <v>37</v>
      </c>
      <c r="AE22" t="s">
        <v>37</v>
      </c>
      <c r="AF22" t="s">
        <v>37</v>
      </c>
      <c r="AG22" s="6" t="s">
        <v>37</v>
      </c>
      <c r="AH22" t="s">
        <v>37</v>
      </c>
      <c r="AI22" t="s">
        <v>37</v>
      </c>
      <c r="AJ22" t="str">
        <f t="shared" si="2"/>
        <v>6D1HFTMSB07CGNDZR3</v>
      </c>
    </row>
    <row r="23" spans="1:36" ht="15" customHeight="1" x14ac:dyDescent="0.25">
      <c r="A23" t="s">
        <v>115</v>
      </c>
      <c r="B23" t="s">
        <v>37</v>
      </c>
      <c r="C23" t="s">
        <v>37</v>
      </c>
      <c r="D23" t="s">
        <v>38</v>
      </c>
      <c r="E23" s="4">
        <v>4</v>
      </c>
      <c r="F23" s="5">
        <v>126.6</v>
      </c>
      <c r="G23" s="5" t="s">
        <v>39</v>
      </c>
      <c r="H23" s="5">
        <v>203.24</v>
      </c>
      <c r="I23" s="5" t="s">
        <v>39</v>
      </c>
      <c r="J23" s="5">
        <v>4.3044000000000002</v>
      </c>
      <c r="K23" s="5">
        <f t="shared" si="0"/>
        <v>1.0761000000000001</v>
      </c>
      <c r="L23" s="5">
        <f t="shared" si="1"/>
        <v>31.65</v>
      </c>
      <c r="M23" s="5" t="s">
        <v>39</v>
      </c>
      <c r="N23" s="5">
        <v>4.3044000000000002</v>
      </c>
      <c r="O23" s="5" t="s">
        <v>39</v>
      </c>
      <c r="P23" t="s">
        <v>89</v>
      </c>
      <c r="Q23" t="s">
        <v>51</v>
      </c>
      <c r="R23" t="s">
        <v>37</v>
      </c>
      <c r="S23" t="s">
        <v>52</v>
      </c>
      <c r="T23" t="s">
        <v>43</v>
      </c>
      <c r="U23" t="s">
        <v>44</v>
      </c>
      <c r="V23">
        <v>147</v>
      </c>
      <c r="W23" t="s">
        <v>45</v>
      </c>
      <c r="X23" t="s">
        <v>53</v>
      </c>
      <c r="Y23" t="s">
        <v>54</v>
      </c>
      <c r="Z23" t="s">
        <v>37</v>
      </c>
      <c r="AA23" t="s">
        <v>48</v>
      </c>
      <c r="AB23" t="s">
        <v>37</v>
      </c>
      <c r="AC23" s="6" t="s">
        <v>37</v>
      </c>
      <c r="AD23" s="6" t="s">
        <v>37</v>
      </c>
      <c r="AE23" t="s">
        <v>37</v>
      </c>
      <c r="AF23" t="s">
        <v>37</v>
      </c>
      <c r="AG23" s="6" t="s">
        <v>37</v>
      </c>
      <c r="AH23" t="s">
        <v>37</v>
      </c>
      <c r="AI23" t="s">
        <v>37</v>
      </c>
      <c r="AJ23" t="str">
        <f t="shared" si="2"/>
        <v>6D1HFTMSB07CGNDZR3</v>
      </c>
    </row>
    <row r="24" spans="1:36" ht="15" customHeight="1" x14ac:dyDescent="0.25">
      <c r="A24" t="s">
        <v>49</v>
      </c>
      <c r="B24" t="s">
        <v>37</v>
      </c>
      <c r="C24" t="s">
        <v>37</v>
      </c>
      <c r="D24" t="s">
        <v>38</v>
      </c>
      <c r="E24" s="4">
        <v>4</v>
      </c>
      <c r="F24" s="5">
        <v>301.64</v>
      </c>
      <c r="G24" s="5" t="s">
        <v>39</v>
      </c>
      <c r="H24" s="5">
        <v>377</v>
      </c>
      <c r="I24" s="5" t="s">
        <v>39</v>
      </c>
      <c r="J24" s="5">
        <v>10.25576</v>
      </c>
      <c r="K24" s="5">
        <f t="shared" si="0"/>
        <v>2.5639400000000001</v>
      </c>
      <c r="L24" s="5">
        <f t="shared" si="1"/>
        <v>75.41</v>
      </c>
      <c r="M24" s="5" t="s">
        <v>39</v>
      </c>
      <c r="N24" s="5">
        <v>10.25576</v>
      </c>
      <c r="O24" s="5" t="s">
        <v>39</v>
      </c>
      <c r="P24" t="s">
        <v>123</v>
      </c>
      <c r="Q24" t="s">
        <v>124</v>
      </c>
      <c r="R24" t="s">
        <v>37</v>
      </c>
      <c r="S24" t="s">
        <v>125</v>
      </c>
      <c r="T24" t="s">
        <v>43</v>
      </c>
      <c r="U24" t="s">
        <v>44</v>
      </c>
      <c r="V24">
        <v>147</v>
      </c>
      <c r="W24" t="s">
        <v>45</v>
      </c>
      <c r="X24" t="s">
        <v>53</v>
      </c>
      <c r="Y24" t="s">
        <v>126</v>
      </c>
      <c r="Z24" t="s">
        <v>37</v>
      </c>
      <c r="AA24" t="s">
        <v>48</v>
      </c>
      <c r="AB24" t="s">
        <v>37</v>
      </c>
      <c r="AC24" s="6" t="s">
        <v>37</v>
      </c>
      <c r="AD24" s="6" t="s">
        <v>37</v>
      </c>
      <c r="AE24" t="s">
        <v>37</v>
      </c>
      <c r="AF24" t="s">
        <v>37</v>
      </c>
      <c r="AG24" s="6" t="s">
        <v>37</v>
      </c>
      <c r="AH24" t="s">
        <v>37</v>
      </c>
      <c r="AI24" t="s">
        <v>37</v>
      </c>
      <c r="AJ24" t="str">
        <f t="shared" si="2"/>
        <v>81V4YVNTB07W6JG6Z7</v>
      </c>
    </row>
    <row r="25" spans="1:36" ht="15" customHeight="1" x14ac:dyDescent="0.25">
      <c r="A25" t="s">
        <v>127</v>
      </c>
      <c r="B25" t="s">
        <v>37</v>
      </c>
      <c r="C25" t="s">
        <v>37</v>
      </c>
      <c r="D25" t="s">
        <v>38</v>
      </c>
      <c r="E25" s="4">
        <v>4</v>
      </c>
      <c r="F25" s="5">
        <v>82</v>
      </c>
      <c r="G25" s="5" t="s">
        <v>39</v>
      </c>
      <c r="H25" s="5">
        <v>118</v>
      </c>
      <c r="I25" s="5" t="s">
        <v>39</v>
      </c>
      <c r="J25" s="5">
        <v>2.7879999999999998</v>
      </c>
      <c r="K25" s="5">
        <f t="shared" si="0"/>
        <v>0.69699999999999995</v>
      </c>
      <c r="L25" s="5">
        <f t="shared" si="1"/>
        <v>20.5</v>
      </c>
      <c r="M25" s="5" t="s">
        <v>39</v>
      </c>
      <c r="N25" s="5">
        <v>2.7879999999999998</v>
      </c>
      <c r="O25" s="5" t="s">
        <v>39</v>
      </c>
      <c r="P25" t="s">
        <v>128</v>
      </c>
      <c r="Q25" t="s">
        <v>129</v>
      </c>
      <c r="R25" t="s">
        <v>37</v>
      </c>
      <c r="S25" t="s">
        <v>130</v>
      </c>
      <c r="T25" t="s">
        <v>43</v>
      </c>
      <c r="U25" t="s">
        <v>44</v>
      </c>
      <c r="V25">
        <v>147</v>
      </c>
      <c r="W25" t="s">
        <v>45</v>
      </c>
      <c r="X25" t="s">
        <v>75</v>
      </c>
      <c r="Y25" t="s">
        <v>131</v>
      </c>
      <c r="Z25" t="s">
        <v>37</v>
      </c>
      <c r="AA25" t="s">
        <v>61</v>
      </c>
      <c r="AB25" t="s">
        <v>37</v>
      </c>
      <c r="AC25" s="6" t="s">
        <v>37</v>
      </c>
      <c r="AD25" s="6" t="s">
        <v>37</v>
      </c>
      <c r="AE25" t="s">
        <v>37</v>
      </c>
      <c r="AF25" t="s">
        <v>37</v>
      </c>
      <c r="AG25" s="6" t="s">
        <v>37</v>
      </c>
      <c r="AH25" t="s">
        <v>37</v>
      </c>
      <c r="AI25" t="s">
        <v>37</v>
      </c>
      <c r="AJ25" t="str">
        <f t="shared" si="2"/>
        <v>5DN5PI5YB0078M385M</v>
      </c>
    </row>
    <row r="26" spans="1:36" ht="15" customHeight="1" x14ac:dyDescent="0.25">
      <c r="A26" t="s">
        <v>102</v>
      </c>
      <c r="B26" t="s">
        <v>37</v>
      </c>
      <c r="C26" t="s">
        <v>37</v>
      </c>
      <c r="D26" t="s">
        <v>38</v>
      </c>
      <c r="E26" s="4">
        <v>4</v>
      </c>
      <c r="F26" s="5">
        <v>588.84</v>
      </c>
      <c r="G26" s="5" t="s">
        <v>39</v>
      </c>
      <c r="H26" s="5">
        <v>950.8</v>
      </c>
      <c r="I26" s="5" t="s">
        <v>39</v>
      </c>
      <c r="J26" s="5">
        <v>20.02056</v>
      </c>
      <c r="K26" s="5">
        <f t="shared" si="0"/>
        <v>5.0051399999999999</v>
      </c>
      <c r="L26" s="5">
        <f t="shared" si="1"/>
        <v>147.21</v>
      </c>
      <c r="M26" s="5" t="s">
        <v>39</v>
      </c>
      <c r="N26" s="5">
        <v>20.02056</v>
      </c>
      <c r="O26" s="5" t="s">
        <v>39</v>
      </c>
      <c r="P26" t="s">
        <v>55</v>
      </c>
      <c r="Q26" t="s">
        <v>104</v>
      </c>
      <c r="R26" t="s">
        <v>37</v>
      </c>
      <c r="S26" t="s">
        <v>105</v>
      </c>
      <c r="T26" t="s">
        <v>43</v>
      </c>
      <c r="U26" t="s">
        <v>44</v>
      </c>
      <c r="V26">
        <v>147</v>
      </c>
      <c r="W26" t="s">
        <v>45</v>
      </c>
      <c r="X26" t="s">
        <v>46</v>
      </c>
      <c r="Y26" t="s">
        <v>106</v>
      </c>
      <c r="Z26" t="s">
        <v>37</v>
      </c>
      <c r="AA26" t="s">
        <v>107</v>
      </c>
      <c r="AB26" t="s">
        <v>37</v>
      </c>
      <c r="AC26" s="6" t="s">
        <v>37</v>
      </c>
      <c r="AD26" s="6" t="s">
        <v>37</v>
      </c>
      <c r="AE26" t="s">
        <v>37</v>
      </c>
      <c r="AF26" t="s">
        <v>37</v>
      </c>
      <c r="AG26" s="6" t="s">
        <v>37</v>
      </c>
      <c r="AH26" t="s">
        <v>37</v>
      </c>
      <c r="AI26" t="s">
        <v>37</v>
      </c>
      <c r="AJ26" t="str">
        <f t="shared" si="2"/>
        <v>3WIANGOBB07JGCM9QM</v>
      </c>
    </row>
    <row r="27" spans="1:36" ht="15" customHeight="1" x14ac:dyDescent="0.25">
      <c r="A27" t="s">
        <v>132</v>
      </c>
      <c r="B27" t="s">
        <v>37</v>
      </c>
      <c r="C27" t="s">
        <v>37</v>
      </c>
      <c r="D27" t="s">
        <v>38</v>
      </c>
      <c r="E27" s="4">
        <v>0</v>
      </c>
      <c r="F27" s="5">
        <v>0</v>
      </c>
      <c r="G27" s="5" t="s">
        <v>39</v>
      </c>
      <c r="H27" s="5">
        <v>0</v>
      </c>
      <c r="I27" s="5" t="s">
        <v>39</v>
      </c>
      <c r="J27" s="5">
        <v>0</v>
      </c>
      <c r="K27" s="5" t="e">
        <f t="shared" si="0"/>
        <v>#DIV/0!</v>
      </c>
      <c r="L27" s="5" t="e">
        <f t="shared" si="1"/>
        <v>#DIV/0!</v>
      </c>
      <c r="M27" s="5" t="s">
        <v>39</v>
      </c>
      <c r="N27" s="5">
        <v>0</v>
      </c>
      <c r="O27" s="5" t="s">
        <v>39</v>
      </c>
      <c r="P27" t="s">
        <v>89</v>
      </c>
      <c r="Q27" t="s">
        <v>51</v>
      </c>
      <c r="R27" t="s">
        <v>37</v>
      </c>
      <c r="S27" t="s">
        <v>52</v>
      </c>
      <c r="T27" t="s">
        <v>43</v>
      </c>
      <c r="U27" t="s">
        <v>44</v>
      </c>
      <c r="V27">
        <v>147</v>
      </c>
      <c r="W27" t="s">
        <v>45</v>
      </c>
      <c r="X27" t="s">
        <v>53</v>
      </c>
      <c r="Y27" t="s">
        <v>54</v>
      </c>
      <c r="Z27" t="s">
        <v>37</v>
      </c>
      <c r="AA27" t="s">
        <v>48</v>
      </c>
      <c r="AB27" t="s">
        <v>37</v>
      </c>
      <c r="AC27" s="6" t="s">
        <v>37</v>
      </c>
      <c r="AD27" s="6" t="s">
        <v>37</v>
      </c>
      <c r="AE27" t="s">
        <v>37</v>
      </c>
      <c r="AF27" t="s">
        <v>37</v>
      </c>
      <c r="AG27" s="6" t="s">
        <v>37</v>
      </c>
      <c r="AH27" t="s">
        <v>37</v>
      </c>
      <c r="AI27" t="s">
        <v>37</v>
      </c>
      <c r="AJ27" t="str">
        <f t="shared" si="2"/>
        <v>6D1HFTMSB07CGNDZR3</v>
      </c>
    </row>
    <row r="28" spans="1:36" ht="15" customHeight="1" x14ac:dyDescent="0.25">
      <c r="A28" t="s">
        <v>133</v>
      </c>
      <c r="B28" t="s">
        <v>37</v>
      </c>
      <c r="C28" t="s">
        <v>37</v>
      </c>
      <c r="D28" t="s">
        <v>38</v>
      </c>
      <c r="E28" s="4">
        <v>6</v>
      </c>
      <c r="F28" s="5">
        <v>121.8</v>
      </c>
      <c r="G28" s="5" t="s">
        <v>39</v>
      </c>
      <c r="H28" s="5">
        <v>177</v>
      </c>
      <c r="I28" s="5" t="s">
        <v>39</v>
      </c>
      <c r="J28" s="5">
        <v>4.1412000000000004</v>
      </c>
      <c r="K28" s="5">
        <f t="shared" si="0"/>
        <v>0.69020000000000004</v>
      </c>
      <c r="L28" s="5">
        <f t="shared" si="1"/>
        <v>20.3</v>
      </c>
      <c r="M28" s="5" t="s">
        <v>39</v>
      </c>
      <c r="N28" s="5">
        <v>4.1412000000000004</v>
      </c>
      <c r="O28" s="5" t="s">
        <v>39</v>
      </c>
      <c r="P28" t="s">
        <v>134</v>
      </c>
      <c r="Q28" t="s">
        <v>135</v>
      </c>
      <c r="R28" t="s">
        <v>37</v>
      </c>
      <c r="S28" t="s">
        <v>136</v>
      </c>
      <c r="T28" t="s">
        <v>43</v>
      </c>
      <c r="U28" t="s">
        <v>44</v>
      </c>
      <c r="V28">
        <v>147</v>
      </c>
      <c r="W28" t="s">
        <v>45</v>
      </c>
      <c r="X28" t="s">
        <v>75</v>
      </c>
      <c r="Y28" t="s">
        <v>137</v>
      </c>
      <c r="Z28" t="s">
        <v>37</v>
      </c>
      <c r="AA28" t="s">
        <v>61</v>
      </c>
      <c r="AB28" t="s">
        <v>37</v>
      </c>
      <c r="AC28" s="6" t="s">
        <v>37</v>
      </c>
      <c r="AD28" s="6" t="s">
        <v>37</v>
      </c>
      <c r="AE28" t="s">
        <v>37</v>
      </c>
      <c r="AF28" t="s">
        <v>37</v>
      </c>
      <c r="AG28" s="6" t="s">
        <v>37</v>
      </c>
      <c r="AH28" t="s">
        <v>37</v>
      </c>
      <c r="AI28" t="s">
        <v>37</v>
      </c>
      <c r="AJ28" t="str">
        <f t="shared" si="2"/>
        <v>6VR89N1LB07W5JK4LF</v>
      </c>
    </row>
    <row r="29" spans="1:36" ht="15" customHeight="1" x14ac:dyDescent="0.25">
      <c r="A29" t="s">
        <v>36</v>
      </c>
      <c r="B29" t="s">
        <v>37</v>
      </c>
      <c r="C29" t="s">
        <v>37</v>
      </c>
      <c r="D29" t="s">
        <v>38</v>
      </c>
      <c r="E29" s="4">
        <v>18</v>
      </c>
      <c r="F29" s="5">
        <v>2649.78</v>
      </c>
      <c r="G29" s="5" t="s">
        <v>39</v>
      </c>
      <c r="H29" s="5">
        <v>4278.6000000000004</v>
      </c>
      <c r="I29" s="5" t="s">
        <v>39</v>
      </c>
      <c r="J29" s="5">
        <v>90.092519999999993</v>
      </c>
      <c r="K29" s="5">
        <f t="shared" si="0"/>
        <v>5.0051399999999999</v>
      </c>
      <c r="L29" s="5">
        <f t="shared" si="1"/>
        <v>147.21</v>
      </c>
      <c r="M29" s="5" t="s">
        <v>39</v>
      </c>
      <c r="N29" s="5">
        <v>90.092519999999993</v>
      </c>
      <c r="O29" s="5" t="s">
        <v>39</v>
      </c>
      <c r="P29" t="s">
        <v>55</v>
      </c>
      <c r="Q29" t="s">
        <v>104</v>
      </c>
      <c r="R29" t="s">
        <v>37</v>
      </c>
      <c r="S29" t="s">
        <v>105</v>
      </c>
      <c r="T29" t="s">
        <v>43</v>
      </c>
      <c r="U29" t="s">
        <v>44</v>
      </c>
      <c r="V29">
        <v>147</v>
      </c>
      <c r="W29" t="s">
        <v>45</v>
      </c>
      <c r="X29" t="s">
        <v>46</v>
      </c>
      <c r="Y29" t="s">
        <v>106</v>
      </c>
      <c r="Z29" t="s">
        <v>37</v>
      </c>
      <c r="AA29" t="s">
        <v>107</v>
      </c>
      <c r="AB29" t="s">
        <v>37</v>
      </c>
      <c r="AC29" s="6" t="s">
        <v>37</v>
      </c>
      <c r="AD29" s="6" t="s">
        <v>37</v>
      </c>
      <c r="AE29" t="s">
        <v>37</v>
      </c>
      <c r="AF29" t="s">
        <v>37</v>
      </c>
      <c r="AG29" s="6" t="s">
        <v>37</v>
      </c>
      <c r="AH29" t="s">
        <v>37</v>
      </c>
      <c r="AI29" t="s">
        <v>37</v>
      </c>
      <c r="AJ29" t="str">
        <f t="shared" si="2"/>
        <v>3WIANGOBB07JGCM9QM</v>
      </c>
    </row>
    <row r="30" spans="1:36" ht="15" customHeight="1" x14ac:dyDescent="0.25">
      <c r="A30" t="s">
        <v>133</v>
      </c>
      <c r="B30" t="s">
        <v>37</v>
      </c>
      <c r="C30" t="s">
        <v>37</v>
      </c>
      <c r="D30" t="s">
        <v>38</v>
      </c>
      <c r="E30" s="4">
        <v>40</v>
      </c>
      <c r="F30" s="5">
        <v>2722.4</v>
      </c>
      <c r="G30" s="5" t="s">
        <v>39</v>
      </c>
      <c r="H30" s="5">
        <v>4426</v>
      </c>
      <c r="I30" s="5" t="s">
        <v>39</v>
      </c>
      <c r="J30" s="5">
        <v>92.561599999999999</v>
      </c>
      <c r="K30" s="5">
        <f t="shared" si="0"/>
        <v>2.3140399999999999</v>
      </c>
      <c r="L30" s="5">
        <f t="shared" si="1"/>
        <v>68.06</v>
      </c>
      <c r="M30" s="5" t="s">
        <v>39</v>
      </c>
      <c r="N30" s="5">
        <v>92.561599999999999</v>
      </c>
      <c r="O30" s="5" t="s">
        <v>39</v>
      </c>
      <c r="P30" t="s">
        <v>138</v>
      </c>
      <c r="Q30" t="s">
        <v>139</v>
      </c>
      <c r="R30" t="s">
        <v>37</v>
      </c>
      <c r="S30" t="s">
        <v>140</v>
      </c>
      <c r="T30" t="s">
        <v>43</v>
      </c>
      <c r="U30" t="s">
        <v>44</v>
      </c>
      <c r="V30">
        <v>147</v>
      </c>
      <c r="W30" t="s">
        <v>45</v>
      </c>
      <c r="X30" t="s">
        <v>46</v>
      </c>
      <c r="Y30" t="s">
        <v>141</v>
      </c>
      <c r="Z30" t="s">
        <v>37</v>
      </c>
      <c r="AA30" t="s">
        <v>61</v>
      </c>
      <c r="AB30" t="s">
        <v>37</v>
      </c>
      <c r="AC30" s="6" t="s">
        <v>37</v>
      </c>
      <c r="AD30" s="6" t="s">
        <v>37</v>
      </c>
      <c r="AE30" t="s">
        <v>37</v>
      </c>
      <c r="AF30" t="s">
        <v>37</v>
      </c>
      <c r="AG30" s="6" t="s">
        <v>37</v>
      </c>
      <c r="AH30" t="s">
        <v>37</v>
      </c>
      <c r="AI30" t="s">
        <v>37</v>
      </c>
      <c r="AJ30" t="str">
        <f t="shared" si="2"/>
        <v>1S3VNUKAB073399S1L</v>
      </c>
    </row>
    <row r="31" spans="1:36" ht="15" customHeight="1" x14ac:dyDescent="0.25">
      <c r="A31" t="s">
        <v>67</v>
      </c>
      <c r="B31" t="s">
        <v>37</v>
      </c>
      <c r="C31" t="s">
        <v>37</v>
      </c>
      <c r="D31" t="s">
        <v>38</v>
      </c>
      <c r="E31" s="4">
        <v>8</v>
      </c>
      <c r="F31" s="5">
        <v>628.96</v>
      </c>
      <c r="G31" s="5" t="s">
        <v>39</v>
      </c>
      <c r="H31" s="5">
        <v>1016.32</v>
      </c>
      <c r="I31" s="5" t="s">
        <v>39</v>
      </c>
      <c r="J31" s="5">
        <v>21.384640000000001</v>
      </c>
      <c r="K31" s="5">
        <f t="shared" si="0"/>
        <v>2.6730800000000001</v>
      </c>
      <c r="L31" s="5">
        <f t="shared" si="1"/>
        <v>78.62</v>
      </c>
      <c r="M31" s="5" t="s">
        <v>39</v>
      </c>
      <c r="N31" s="5">
        <v>21.384640000000001</v>
      </c>
      <c r="O31" s="5" t="s">
        <v>39</v>
      </c>
      <c r="P31" t="s">
        <v>63</v>
      </c>
      <c r="Q31" t="s">
        <v>142</v>
      </c>
      <c r="R31" t="s">
        <v>37</v>
      </c>
      <c r="S31" t="s">
        <v>143</v>
      </c>
      <c r="T31" t="s">
        <v>43</v>
      </c>
      <c r="U31" t="s">
        <v>44</v>
      </c>
      <c r="V31">
        <v>147</v>
      </c>
      <c r="W31" t="s">
        <v>45</v>
      </c>
      <c r="X31" t="s">
        <v>46</v>
      </c>
      <c r="Y31" t="s">
        <v>144</v>
      </c>
      <c r="Z31" t="s">
        <v>37</v>
      </c>
      <c r="AA31" t="s">
        <v>145</v>
      </c>
      <c r="AB31" t="s">
        <v>37</v>
      </c>
      <c r="AC31" s="6" t="s">
        <v>37</v>
      </c>
      <c r="AD31" s="6" t="s">
        <v>37</v>
      </c>
      <c r="AE31" t="s">
        <v>37</v>
      </c>
      <c r="AF31" t="s">
        <v>37</v>
      </c>
      <c r="AG31" s="6" t="s">
        <v>37</v>
      </c>
      <c r="AH31" t="s">
        <v>37</v>
      </c>
      <c r="AI31" t="s">
        <v>37</v>
      </c>
      <c r="AJ31" t="str">
        <f t="shared" si="2"/>
        <v>3AWPOPBJB07MTY5HH8</v>
      </c>
    </row>
    <row r="32" spans="1:36" ht="15" customHeight="1" x14ac:dyDescent="0.25">
      <c r="A32" t="s">
        <v>67</v>
      </c>
      <c r="B32" t="s">
        <v>37</v>
      </c>
      <c r="C32" t="s">
        <v>37</v>
      </c>
      <c r="D32" t="s">
        <v>38</v>
      </c>
      <c r="E32" s="4">
        <v>90</v>
      </c>
      <c r="F32" s="5">
        <v>738</v>
      </c>
      <c r="G32" s="5" t="s">
        <v>39</v>
      </c>
      <c r="H32" s="5">
        <v>1098.9000000000001</v>
      </c>
      <c r="I32" s="5" t="s">
        <v>39</v>
      </c>
      <c r="J32" s="5">
        <v>25.091999999999999</v>
      </c>
      <c r="K32" s="5">
        <f t="shared" si="0"/>
        <v>0.27879999999999999</v>
      </c>
      <c r="L32" s="5">
        <f t="shared" si="1"/>
        <v>8.1999999999999993</v>
      </c>
      <c r="M32" s="5" t="s">
        <v>39</v>
      </c>
      <c r="N32" s="5">
        <v>25.091999999999999</v>
      </c>
      <c r="O32" s="5" t="s">
        <v>39</v>
      </c>
      <c r="P32" t="s">
        <v>82</v>
      </c>
      <c r="Q32" t="s">
        <v>146</v>
      </c>
      <c r="R32" t="s">
        <v>37</v>
      </c>
      <c r="S32" t="s">
        <v>147</v>
      </c>
      <c r="T32" t="s">
        <v>43</v>
      </c>
      <c r="U32" t="s">
        <v>44</v>
      </c>
      <c r="V32">
        <v>147</v>
      </c>
      <c r="W32" t="s">
        <v>45</v>
      </c>
      <c r="X32" t="s">
        <v>75</v>
      </c>
      <c r="Y32" t="s">
        <v>148</v>
      </c>
      <c r="Z32" t="s">
        <v>37</v>
      </c>
      <c r="AA32" t="s">
        <v>61</v>
      </c>
      <c r="AB32" t="s">
        <v>37</v>
      </c>
      <c r="AC32" s="6" t="s">
        <v>37</v>
      </c>
      <c r="AD32" s="6" t="s">
        <v>37</v>
      </c>
      <c r="AE32" t="s">
        <v>37</v>
      </c>
      <c r="AF32" t="s">
        <v>37</v>
      </c>
      <c r="AG32" s="6" t="s">
        <v>37</v>
      </c>
      <c r="AH32" t="s">
        <v>37</v>
      </c>
      <c r="AI32" t="s">
        <v>37</v>
      </c>
      <c r="AJ32" t="str">
        <f t="shared" si="2"/>
        <v>57D297ZKB0056C69DO</v>
      </c>
    </row>
    <row r="33" spans="1:36" ht="15" customHeight="1" x14ac:dyDescent="0.25">
      <c r="A33" t="s">
        <v>67</v>
      </c>
      <c r="B33" t="s">
        <v>37</v>
      </c>
      <c r="C33" t="s">
        <v>37</v>
      </c>
      <c r="D33" t="s">
        <v>38</v>
      </c>
      <c r="E33" s="4">
        <v>40</v>
      </c>
      <c r="F33" s="5">
        <v>585.6</v>
      </c>
      <c r="G33" s="5" t="s">
        <v>39</v>
      </c>
      <c r="H33" s="5">
        <v>585.6</v>
      </c>
      <c r="I33" s="5" t="s">
        <v>39</v>
      </c>
      <c r="J33" s="5">
        <v>19.910399999999999</v>
      </c>
      <c r="K33" s="5">
        <f t="shared" si="0"/>
        <v>0.49775999999999998</v>
      </c>
      <c r="L33" s="5">
        <f t="shared" si="1"/>
        <v>14.64</v>
      </c>
      <c r="M33" s="5" t="s">
        <v>39</v>
      </c>
      <c r="N33" s="5">
        <v>19.910399999999999</v>
      </c>
      <c r="O33" s="5" t="s">
        <v>39</v>
      </c>
      <c r="P33" t="s">
        <v>108</v>
      </c>
      <c r="Q33" t="s">
        <v>149</v>
      </c>
      <c r="R33" t="s">
        <v>37</v>
      </c>
      <c r="S33" t="s">
        <v>150</v>
      </c>
      <c r="T33" t="s">
        <v>43</v>
      </c>
      <c r="U33" t="s">
        <v>44</v>
      </c>
      <c r="V33">
        <v>147</v>
      </c>
      <c r="W33" t="s">
        <v>45</v>
      </c>
      <c r="X33" t="s">
        <v>53</v>
      </c>
      <c r="Y33" t="s">
        <v>151</v>
      </c>
      <c r="Z33" t="s">
        <v>37</v>
      </c>
      <c r="AA33" t="s">
        <v>61</v>
      </c>
      <c r="AB33" t="s">
        <v>37</v>
      </c>
      <c r="AC33" s="6" t="s">
        <v>37</v>
      </c>
      <c r="AD33" s="6" t="s">
        <v>37</v>
      </c>
      <c r="AE33" t="s">
        <v>37</v>
      </c>
      <c r="AF33" t="s">
        <v>37</v>
      </c>
      <c r="AG33" s="6" t="s">
        <v>37</v>
      </c>
      <c r="AH33" t="s">
        <v>37</v>
      </c>
      <c r="AI33" t="s">
        <v>37</v>
      </c>
      <c r="AJ33" t="str">
        <f t="shared" si="2"/>
        <v>5HGHPU5OB004IO5BMQ</v>
      </c>
    </row>
    <row r="34" spans="1:36" ht="15" customHeight="1" x14ac:dyDescent="0.25">
      <c r="A34" t="s">
        <v>36</v>
      </c>
      <c r="B34" t="s">
        <v>37</v>
      </c>
      <c r="C34" t="s">
        <v>37</v>
      </c>
      <c r="D34" t="s">
        <v>38</v>
      </c>
      <c r="E34" s="4">
        <v>4</v>
      </c>
      <c r="F34" s="5">
        <v>105.48</v>
      </c>
      <c r="G34" s="5" t="s">
        <v>39</v>
      </c>
      <c r="H34" s="5">
        <v>170.44</v>
      </c>
      <c r="I34" s="5" t="s">
        <v>39</v>
      </c>
      <c r="J34" s="5">
        <v>3.5863200000000002</v>
      </c>
      <c r="K34" s="5">
        <f t="shared" si="0"/>
        <v>0.89658000000000004</v>
      </c>
      <c r="L34" s="5">
        <f t="shared" si="1"/>
        <v>26.37</v>
      </c>
      <c r="M34" s="5" t="s">
        <v>39</v>
      </c>
      <c r="N34" s="5">
        <v>3.5863200000000002</v>
      </c>
      <c r="O34" s="5" t="s">
        <v>39</v>
      </c>
      <c r="P34" t="s">
        <v>40</v>
      </c>
      <c r="Q34" t="s">
        <v>152</v>
      </c>
      <c r="R34" t="s">
        <v>37</v>
      </c>
      <c r="S34" t="s">
        <v>153</v>
      </c>
      <c r="T34" t="s">
        <v>43</v>
      </c>
      <c r="U34" t="s">
        <v>44</v>
      </c>
      <c r="V34">
        <v>147</v>
      </c>
      <c r="W34" t="s">
        <v>45</v>
      </c>
      <c r="X34" t="s">
        <v>154</v>
      </c>
      <c r="Y34" t="s">
        <v>155</v>
      </c>
      <c r="Z34" t="s">
        <v>37</v>
      </c>
      <c r="AA34" t="s">
        <v>61</v>
      </c>
      <c r="AB34" t="s">
        <v>37</v>
      </c>
      <c r="AC34" s="6" t="s">
        <v>37</v>
      </c>
      <c r="AD34" s="6" t="s">
        <v>37</v>
      </c>
      <c r="AE34" t="s">
        <v>37</v>
      </c>
      <c r="AF34" t="s">
        <v>37</v>
      </c>
      <c r="AG34" s="6" t="s">
        <v>37</v>
      </c>
      <c r="AH34" t="s">
        <v>37</v>
      </c>
      <c r="AI34" t="s">
        <v>37</v>
      </c>
      <c r="AJ34" t="str">
        <f t="shared" si="2"/>
        <v>8IC45Q9KB07W6HFDR8</v>
      </c>
    </row>
    <row r="35" spans="1:36" ht="15" customHeight="1" x14ac:dyDescent="0.25">
      <c r="A35" t="s">
        <v>71</v>
      </c>
      <c r="B35" t="s">
        <v>37</v>
      </c>
      <c r="C35" t="s">
        <v>37</v>
      </c>
      <c r="D35" t="s">
        <v>38</v>
      </c>
      <c r="E35" s="4">
        <v>4</v>
      </c>
      <c r="F35" s="5">
        <v>278.44</v>
      </c>
      <c r="G35" s="5" t="s">
        <v>39</v>
      </c>
      <c r="H35" s="5">
        <v>409.8</v>
      </c>
      <c r="I35" s="5" t="s">
        <v>39</v>
      </c>
      <c r="J35" s="5">
        <v>9.4669600000000003</v>
      </c>
      <c r="K35" s="5">
        <f t="shared" si="0"/>
        <v>2.3667400000000001</v>
      </c>
      <c r="L35" s="5">
        <f t="shared" si="1"/>
        <v>69.61</v>
      </c>
      <c r="M35" s="5" t="s">
        <v>39</v>
      </c>
      <c r="N35" s="5">
        <v>9.4669600000000003</v>
      </c>
      <c r="O35" s="5" t="s">
        <v>39</v>
      </c>
      <c r="P35" t="s">
        <v>72</v>
      </c>
      <c r="Q35" t="s">
        <v>156</v>
      </c>
      <c r="R35" t="s">
        <v>37</v>
      </c>
      <c r="S35" t="s">
        <v>157</v>
      </c>
      <c r="T35" t="s">
        <v>43</v>
      </c>
      <c r="U35" t="s">
        <v>44</v>
      </c>
      <c r="V35">
        <v>147</v>
      </c>
      <c r="W35" t="s">
        <v>45</v>
      </c>
      <c r="X35" t="s">
        <v>75</v>
      </c>
      <c r="Y35" t="s">
        <v>158</v>
      </c>
      <c r="Z35" t="s">
        <v>37</v>
      </c>
      <c r="AA35" t="s">
        <v>145</v>
      </c>
      <c r="AB35" t="s">
        <v>37</v>
      </c>
      <c r="AC35" s="6" t="s">
        <v>37</v>
      </c>
      <c r="AD35" s="6" t="s">
        <v>37</v>
      </c>
      <c r="AE35" t="s">
        <v>37</v>
      </c>
      <c r="AF35" t="s">
        <v>37</v>
      </c>
      <c r="AG35" s="6" t="s">
        <v>37</v>
      </c>
      <c r="AH35" t="s">
        <v>37</v>
      </c>
      <c r="AI35" t="s">
        <v>37</v>
      </c>
      <c r="AJ35" t="str">
        <f t="shared" si="2"/>
        <v>6GSPTXJAB0037KLSR4</v>
      </c>
    </row>
    <row r="36" spans="1:36" ht="15" customHeight="1" x14ac:dyDescent="0.25">
      <c r="A36" t="s">
        <v>36</v>
      </c>
      <c r="B36" t="s">
        <v>37</v>
      </c>
      <c r="C36" t="s">
        <v>37</v>
      </c>
      <c r="D36" t="s">
        <v>38</v>
      </c>
      <c r="E36" s="4">
        <v>60</v>
      </c>
      <c r="F36" s="5">
        <v>4717.2</v>
      </c>
      <c r="G36" s="5" t="s">
        <v>39</v>
      </c>
      <c r="H36" s="5">
        <v>7622.4</v>
      </c>
      <c r="I36" s="5" t="s">
        <v>39</v>
      </c>
      <c r="J36" s="5">
        <v>160.38480000000001</v>
      </c>
      <c r="K36" s="5">
        <f t="shared" si="0"/>
        <v>2.6730800000000001</v>
      </c>
      <c r="L36" s="5">
        <f t="shared" si="1"/>
        <v>78.61999999999999</v>
      </c>
      <c r="M36" s="5" t="s">
        <v>39</v>
      </c>
      <c r="N36" s="5">
        <v>160.38480000000001</v>
      </c>
      <c r="O36" s="5" t="s">
        <v>39</v>
      </c>
      <c r="P36" t="s">
        <v>159</v>
      </c>
      <c r="Q36" t="s">
        <v>160</v>
      </c>
      <c r="R36" t="s">
        <v>37</v>
      </c>
      <c r="S36" t="s">
        <v>161</v>
      </c>
      <c r="T36" t="s">
        <v>43</v>
      </c>
      <c r="U36" t="s">
        <v>44</v>
      </c>
      <c r="V36">
        <v>147</v>
      </c>
      <c r="W36" t="s">
        <v>45</v>
      </c>
      <c r="X36" t="s">
        <v>46</v>
      </c>
      <c r="Y36" t="s">
        <v>162</v>
      </c>
      <c r="Z36" t="s">
        <v>37</v>
      </c>
      <c r="AA36" t="s">
        <v>61</v>
      </c>
      <c r="AB36" t="s">
        <v>37</v>
      </c>
      <c r="AC36" s="6" t="s">
        <v>37</v>
      </c>
      <c r="AD36" s="6" t="s">
        <v>37</v>
      </c>
      <c r="AE36" t="s">
        <v>37</v>
      </c>
      <c r="AF36" t="s">
        <v>37</v>
      </c>
      <c r="AG36" s="6" t="s">
        <v>37</v>
      </c>
      <c r="AH36" t="s">
        <v>37</v>
      </c>
      <c r="AI36" t="s">
        <v>37</v>
      </c>
      <c r="AJ36" t="str">
        <f t="shared" si="2"/>
        <v>84Q57SSPB07QNYCLBJ</v>
      </c>
    </row>
    <row r="37" spans="1:36" ht="15" customHeight="1" x14ac:dyDescent="0.25">
      <c r="A37" t="s">
        <v>71</v>
      </c>
      <c r="B37" t="s">
        <v>37</v>
      </c>
      <c r="C37" t="s">
        <v>37</v>
      </c>
      <c r="D37" t="s">
        <v>38</v>
      </c>
      <c r="E37" s="4">
        <v>0</v>
      </c>
      <c r="F37" s="5">
        <v>0</v>
      </c>
      <c r="G37" s="5" t="s">
        <v>39</v>
      </c>
      <c r="H37" s="5">
        <v>0</v>
      </c>
      <c r="I37" s="5" t="s">
        <v>39</v>
      </c>
      <c r="J37" s="5">
        <v>0</v>
      </c>
      <c r="K37" s="5" t="e">
        <f t="shared" si="0"/>
        <v>#DIV/0!</v>
      </c>
      <c r="L37" s="5" t="e">
        <f t="shared" si="1"/>
        <v>#DIV/0!</v>
      </c>
      <c r="M37" s="5" t="s">
        <v>39</v>
      </c>
      <c r="N37" s="5">
        <v>0</v>
      </c>
      <c r="O37" s="5" t="s">
        <v>39</v>
      </c>
      <c r="P37" t="s">
        <v>163</v>
      </c>
      <c r="Q37" t="s">
        <v>164</v>
      </c>
      <c r="R37" t="s">
        <v>37</v>
      </c>
      <c r="S37" t="s">
        <v>165</v>
      </c>
      <c r="T37" t="s">
        <v>43</v>
      </c>
      <c r="U37" t="s">
        <v>44</v>
      </c>
      <c r="V37">
        <v>147</v>
      </c>
      <c r="W37" t="s">
        <v>45</v>
      </c>
      <c r="X37" t="s">
        <v>75</v>
      </c>
      <c r="Y37" t="s">
        <v>166</v>
      </c>
      <c r="Z37" t="s">
        <v>37</v>
      </c>
      <c r="AA37" t="s">
        <v>61</v>
      </c>
      <c r="AB37" t="s">
        <v>37</v>
      </c>
      <c r="AC37" s="6" t="s">
        <v>37</v>
      </c>
      <c r="AD37" s="6" t="s">
        <v>37</v>
      </c>
      <c r="AE37" t="s">
        <v>37</v>
      </c>
      <c r="AF37" t="s">
        <v>37</v>
      </c>
      <c r="AG37" s="6" t="s">
        <v>37</v>
      </c>
      <c r="AH37" t="s">
        <v>37</v>
      </c>
      <c r="AI37" t="s">
        <v>37</v>
      </c>
      <c r="AJ37" t="str">
        <f t="shared" si="2"/>
        <v>1H179DEHB003V4A5VG</v>
      </c>
    </row>
    <row r="38" spans="1:36" ht="15" customHeight="1" x14ac:dyDescent="0.25">
      <c r="A38" t="s">
        <v>36</v>
      </c>
      <c r="B38" t="s">
        <v>37</v>
      </c>
      <c r="C38" t="s">
        <v>37</v>
      </c>
      <c r="D38" t="s">
        <v>38</v>
      </c>
      <c r="E38" s="4">
        <v>8</v>
      </c>
      <c r="F38" s="5">
        <v>164</v>
      </c>
      <c r="G38" s="5" t="s">
        <v>39</v>
      </c>
      <c r="H38" s="5">
        <v>236</v>
      </c>
      <c r="I38" s="5" t="s">
        <v>39</v>
      </c>
      <c r="J38" s="5">
        <v>5.5759999999999996</v>
      </c>
      <c r="K38" s="5">
        <f t="shared" si="0"/>
        <v>0.69699999999999995</v>
      </c>
      <c r="L38" s="5">
        <f t="shared" si="1"/>
        <v>20.5</v>
      </c>
      <c r="M38" s="5" t="s">
        <v>39</v>
      </c>
      <c r="N38" s="5">
        <v>5.5759999999999996</v>
      </c>
      <c r="O38" s="5" t="s">
        <v>39</v>
      </c>
      <c r="P38" t="s">
        <v>167</v>
      </c>
      <c r="Q38" t="s">
        <v>168</v>
      </c>
      <c r="R38" t="s">
        <v>37</v>
      </c>
      <c r="S38" t="s">
        <v>169</v>
      </c>
      <c r="T38" t="s">
        <v>43</v>
      </c>
      <c r="U38" t="s">
        <v>44</v>
      </c>
      <c r="V38">
        <v>147</v>
      </c>
      <c r="W38" t="s">
        <v>45</v>
      </c>
      <c r="X38" t="s">
        <v>75</v>
      </c>
      <c r="Y38" t="s">
        <v>170</v>
      </c>
      <c r="Z38" t="s">
        <v>37</v>
      </c>
      <c r="AA38" t="s">
        <v>48</v>
      </c>
      <c r="AB38" t="s">
        <v>37</v>
      </c>
      <c r="AC38" s="6" t="s">
        <v>37</v>
      </c>
      <c r="AD38" s="6" t="s">
        <v>37</v>
      </c>
      <c r="AE38" t="s">
        <v>37</v>
      </c>
      <c r="AF38" t="s">
        <v>37</v>
      </c>
      <c r="AG38" s="6" t="s">
        <v>37</v>
      </c>
      <c r="AH38" t="s">
        <v>37</v>
      </c>
      <c r="AI38" t="s">
        <v>37</v>
      </c>
      <c r="AJ38" t="str">
        <f t="shared" si="2"/>
        <v>4FFLHW5MB01C4HCSOC</v>
      </c>
    </row>
    <row r="39" spans="1:36" ht="15" customHeight="1" x14ac:dyDescent="0.25">
      <c r="A39" t="s">
        <v>36</v>
      </c>
      <c r="B39" t="s">
        <v>37</v>
      </c>
      <c r="C39" t="s">
        <v>37</v>
      </c>
      <c r="D39" t="s">
        <v>38</v>
      </c>
      <c r="E39" s="4">
        <v>40</v>
      </c>
      <c r="F39" s="5">
        <v>398</v>
      </c>
      <c r="G39" s="5" t="s">
        <v>39</v>
      </c>
      <c r="H39" s="5">
        <v>398</v>
      </c>
      <c r="I39" s="5" t="s">
        <v>39</v>
      </c>
      <c r="J39" s="5">
        <v>13.532</v>
      </c>
      <c r="K39" s="5">
        <f t="shared" si="0"/>
        <v>0.33829999999999999</v>
      </c>
      <c r="L39" s="5">
        <f t="shared" si="1"/>
        <v>9.9499999999999993</v>
      </c>
      <c r="M39" s="5" t="s">
        <v>39</v>
      </c>
      <c r="N39" s="5">
        <v>13.532</v>
      </c>
      <c r="O39" s="5" t="s">
        <v>39</v>
      </c>
      <c r="P39" t="s">
        <v>171</v>
      </c>
      <c r="Q39" t="s">
        <v>172</v>
      </c>
      <c r="R39" t="s">
        <v>37</v>
      </c>
      <c r="S39" t="s">
        <v>173</v>
      </c>
      <c r="T39" t="s">
        <v>43</v>
      </c>
      <c r="U39" t="s">
        <v>44</v>
      </c>
      <c r="V39">
        <v>147</v>
      </c>
      <c r="W39" t="s">
        <v>45</v>
      </c>
      <c r="X39" t="s">
        <v>53</v>
      </c>
      <c r="Y39" t="s">
        <v>174</v>
      </c>
      <c r="Z39" t="s">
        <v>37</v>
      </c>
      <c r="AA39" t="s">
        <v>61</v>
      </c>
      <c r="AB39" t="s">
        <v>37</v>
      </c>
      <c r="AC39" s="6" t="s">
        <v>37</v>
      </c>
      <c r="AD39" s="6" t="s">
        <v>37</v>
      </c>
      <c r="AE39" t="s">
        <v>37</v>
      </c>
      <c r="AF39" t="s">
        <v>37</v>
      </c>
      <c r="AG39" s="6" t="s">
        <v>37</v>
      </c>
      <c r="AH39" t="s">
        <v>37</v>
      </c>
      <c r="AI39" t="s">
        <v>37</v>
      </c>
      <c r="AJ39" t="str">
        <f t="shared" si="2"/>
        <v>4RM5JT6BB00544XJDM</v>
      </c>
    </row>
    <row r="40" spans="1:36" ht="15" customHeight="1" x14ac:dyDescent="0.25">
      <c r="A40" t="s">
        <v>133</v>
      </c>
      <c r="B40" t="s">
        <v>37</v>
      </c>
      <c r="C40" t="s">
        <v>37</v>
      </c>
      <c r="D40" t="s">
        <v>38</v>
      </c>
      <c r="E40" s="4">
        <v>24</v>
      </c>
      <c r="F40" s="5">
        <v>351.36</v>
      </c>
      <c r="G40" s="5" t="s">
        <v>39</v>
      </c>
      <c r="H40" s="5">
        <v>511.2</v>
      </c>
      <c r="I40" s="5" t="s">
        <v>39</v>
      </c>
      <c r="J40" s="5">
        <v>11.94624</v>
      </c>
      <c r="K40" s="5">
        <f t="shared" si="0"/>
        <v>0.49775999999999998</v>
      </c>
      <c r="L40" s="5">
        <f t="shared" si="1"/>
        <v>14.64</v>
      </c>
      <c r="M40" s="5" t="s">
        <v>39</v>
      </c>
      <c r="N40" s="5">
        <v>11.94624</v>
      </c>
      <c r="O40" s="5" t="s">
        <v>39</v>
      </c>
      <c r="P40" t="s">
        <v>116</v>
      </c>
      <c r="Q40" t="s">
        <v>175</v>
      </c>
      <c r="R40" t="s">
        <v>37</v>
      </c>
      <c r="S40" t="s">
        <v>176</v>
      </c>
      <c r="T40" t="s">
        <v>43</v>
      </c>
      <c r="U40" t="s">
        <v>44</v>
      </c>
      <c r="V40">
        <v>147</v>
      </c>
      <c r="W40" t="s">
        <v>45</v>
      </c>
      <c r="X40" t="s">
        <v>177</v>
      </c>
      <c r="Y40" t="s">
        <v>178</v>
      </c>
      <c r="Z40" t="s">
        <v>37</v>
      </c>
      <c r="AA40" t="s">
        <v>145</v>
      </c>
      <c r="AB40" t="s">
        <v>37</v>
      </c>
      <c r="AC40" s="6" t="s">
        <v>37</v>
      </c>
      <c r="AD40" s="6" t="s">
        <v>37</v>
      </c>
      <c r="AE40" t="s">
        <v>37</v>
      </c>
      <c r="AF40" t="s">
        <v>37</v>
      </c>
      <c r="AG40" s="6" t="s">
        <v>37</v>
      </c>
      <c r="AH40" t="s">
        <v>37</v>
      </c>
      <c r="AI40" t="s">
        <v>37</v>
      </c>
      <c r="AJ40" t="str">
        <f t="shared" si="2"/>
        <v>3S7Y1OIVB00ZOOKDU4</v>
      </c>
    </row>
    <row r="41" spans="1:36" ht="15" customHeight="1" x14ac:dyDescent="0.25">
      <c r="A41" t="s">
        <v>67</v>
      </c>
      <c r="B41" t="s">
        <v>37</v>
      </c>
      <c r="C41" t="s">
        <v>37</v>
      </c>
      <c r="D41" t="s">
        <v>38</v>
      </c>
      <c r="E41" s="4">
        <v>176</v>
      </c>
      <c r="F41" s="5">
        <v>8166.4</v>
      </c>
      <c r="G41" s="5" t="s">
        <v>39</v>
      </c>
      <c r="H41" s="5">
        <v>11827.2</v>
      </c>
      <c r="I41" s="5" t="s">
        <v>39</v>
      </c>
      <c r="J41" s="5">
        <v>277.6576</v>
      </c>
      <c r="K41" s="5">
        <f t="shared" si="0"/>
        <v>1.5776000000000001</v>
      </c>
      <c r="L41" s="5">
        <f t="shared" si="1"/>
        <v>46.4</v>
      </c>
      <c r="M41" s="5" t="s">
        <v>39</v>
      </c>
      <c r="N41" s="5">
        <v>277.6576</v>
      </c>
      <c r="O41" s="5" t="s">
        <v>39</v>
      </c>
      <c r="P41" t="s">
        <v>108</v>
      </c>
      <c r="Q41" t="s">
        <v>179</v>
      </c>
      <c r="R41" t="s">
        <v>37</v>
      </c>
      <c r="S41" t="s">
        <v>180</v>
      </c>
      <c r="T41" t="s">
        <v>43</v>
      </c>
      <c r="U41" t="s">
        <v>44</v>
      </c>
      <c r="V41">
        <v>147</v>
      </c>
      <c r="W41" t="s">
        <v>45</v>
      </c>
      <c r="X41" t="s">
        <v>53</v>
      </c>
      <c r="Y41" t="s">
        <v>181</v>
      </c>
      <c r="Z41" t="s">
        <v>37</v>
      </c>
      <c r="AA41" t="s">
        <v>61</v>
      </c>
      <c r="AB41" t="s">
        <v>37</v>
      </c>
      <c r="AC41" s="6" t="s">
        <v>37</v>
      </c>
      <c r="AD41" s="6" t="s">
        <v>37</v>
      </c>
      <c r="AE41" t="s">
        <v>37</v>
      </c>
      <c r="AF41" t="s">
        <v>37</v>
      </c>
      <c r="AG41" s="6" t="s">
        <v>37</v>
      </c>
      <c r="AH41" t="s">
        <v>37</v>
      </c>
      <c r="AI41" t="s">
        <v>37</v>
      </c>
      <c r="AJ41" t="str">
        <f t="shared" si="2"/>
        <v>5HGHPU5OB07W4DGC27</v>
      </c>
    </row>
    <row r="42" spans="1:36" ht="15" customHeight="1" x14ac:dyDescent="0.25">
      <c r="A42" t="s">
        <v>49</v>
      </c>
      <c r="B42" t="s">
        <v>37</v>
      </c>
      <c r="C42" t="s">
        <v>37</v>
      </c>
      <c r="D42" t="s">
        <v>38</v>
      </c>
      <c r="E42" s="4">
        <v>0</v>
      </c>
      <c r="F42" s="5">
        <v>0</v>
      </c>
      <c r="G42" s="5" t="s">
        <v>39</v>
      </c>
      <c r="H42" s="5">
        <v>0</v>
      </c>
      <c r="I42" s="5" t="s">
        <v>39</v>
      </c>
      <c r="J42" s="5">
        <v>0</v>
      </c>
      <c r="K42" s="5" t="e">
        <f t="shared" si="0"/>
        <v>#DIV/0!</v>
      </c>
      <c r="L42" s="5" t="e">
        <f t="shared" si="1"/>
        <v>#DIV/0!</v>
      </c>
      <c r="M42" s="5" t="s">
        <v>39</v>
      </c>
      <c r="N42" s="5">
        <v>0</v>
      </c>
      <c r="O42" s="5" t="s">
        <v>39</v>
      </c>
      <c r="P42" t="s">
        <v>163</v>
      </c>
      <c r="Q42" t="s">
        <v>164</v>
      </c>
      <c r="R42" t="s">
        <v>37</v>
      </c>
      <c r="S42" t="s">
        <v>165</v>
      </c>
      <c r="T42" t="s">
        <v>43</v>
      </c>
      <c r="U42" t="s">
        <v>44</v>
      </c>
      <c r="V42">
        <v>147</v>
      </c>
      <c r="W42" t="s">
        <v>45</v>
      </c>
      <c r="X42" t="s">
        <v>75</v>
      </c>
      <c r="Y42" t="s">
        <v>166</v>
      </c>
      <c r="Z42" t="s">
        <v>37</v>
      </c>
      <c r="AA42" t="s">
        <v>61</v>
      </c>
      <c r="AB42" t="s">
        <v>37</v>
      </c>
      <c r="AC42" s="6" t="s">
        <v>37</v>
      </c>
      <c r="AD42" s="6" t="s">
        <v>37</v>
      </c>
      <c r="AE42" t="s">
        <v>37</v>
      </c>
      <c r="AF42" t="s">
        <v>37</v>
      </c>
      <c r="AG42" s="6" t="s">
        <v>37</v>
      </c>
      <c r="AH42" t="s">
        <v>37</v>
      </c>
      <c r="AI42" t="s">
        <v>37</v>
      </c>
      <c r="AJ42" t="str">
        <f t="shared" si="2"/>
        <v>1H179DEHB003V4A5VG</v>
      </c>
    </row>
    <row r="43" spans="1:36" ht="15" customHeight="1" x14ac:dyDescent="0.25">
      <c r="A43" t="s">
        <v>67</v>
      </c>
      <c r="B43" t="s">
        <v>37</v>
      </c>
      <c r="C43" t="s">
        <v>37</v>
      </c>
      <c r="D43" t="s">
        <v>38</v>
      </c>
      <c r="E43" s="4">
        <v>8</v>
      </c>
      <c r="F43" s="5">
        <v>422.08</v>
      </c>
      <c r="G43" s="5" t="s">
        <v>39</v>
      </c>
      <c r="H43" s="5">
        <v>681.92</v>
      </c>
      <c r="I43" s="5" t="s">
        <v>39</v>
      </c>
      <c r="J43" s="5">
        <v>14.350720000000001</v>
      </c>
      <c r="K43" s="5">
        <f t="shared" si="0"/>
        <v>1.7938400000000001</v>
      </c>
      <c r="L43" s="5">
        <f t="shared" si="1"/>
        <v>52.76</v>
      </c>
      <c r="M43" s="5" t="s">
        <v>39</v>
      </c>
      <c r="N43" s="5">
        <v>14.350720000000001</v>
      </c>
      <c r="O43" s="5" t="s">
        <v>39</v>
      </c>
      <c r="P43" t="s">
        <v>182</v>
      </c>
      <c r="Q43" t="s">
        <v>183</v>
      </c>
      <c r="R43" t="s">
        <v>37</v>
      </c>
      <c r="S43" t="s">
        <v>184</v>
      </c>
      <c r="T43" t="s">
        <v>43</v>
      </c>
      <c r="U43" t="s">
        <v>44</v>
      </c>
      <c r="V43">
        <v>147</v>
      </c>
      <c r="W43" t="s">
        <v>45</v>
      </c>
      <c r="X43" t="s">
        <v>177</v>
      </c>
      <c r="Y43" t="s">
        <v>185</v>
      </c>
      <c r="Z43" t="s">
        <v>37</v>
      </c>
      <c r="AA43" t="s">
        <v>61</v>
      </c>
      <c r="AB43" t="s">
        <v>37</v>
      </c>
      <c r="AC43" s="6" t="s">
        <v>37</v>
      </c>
      <c r="AD43" s="6" t="s">
        <v>37</v>
      </c>
      <c r="AE43" t="s">
        <v>37</v>
      </c>
      <c r="AF43" t="s">
        <v>37</v>
      </c>
      <c r="AG43" s="6" t="s">
        <v>37</v>
      </c>
      <c r="AH43" t="s">
        <v>37</v>
      </c>
      <c r="AI43" t="s">
        <v>37</v>
      </c>
      <c r="AJ43" t="str">
        <f t="shared" si="2"/>
        <v>5UESXM5PB07TQ6G276</v>
      </c>
    </row>
    <row r="44" spans="1:36" ht="15" customHeight="1" x14ac:dyDescent="0.25">
      <c r="A44" t="s">
        <v>133</v>
      </c>
      <c r="B44" t="s">
        <v>37</v>
      </c>
      <c r="C44" t="s">
        <v>37</v>
      </c>
      <c r="D44" t="s">
        <v>38</v>
      </c>
      <c r="E44" s="4">
        <v>32</v>
      </c>
      <c r="F44" s="5">
        <v>2227.52</v>
      </c>
      <c r="G44" s="5" t="s">
        <v>39</v>
      </c>
      <c r="H44" s="5">
        <v>3278.4</v>
      </c>
      <c r="I44" s="5" t="s">
        <v>39</v>
      </c>
      <c r="J44" s="5">
        <v>75.735680000000002</v>
      </c>
      <c r="K44" s="5">
        <f t="shared" si="0"/>
        <v>2.3667400000000001</v>
      </c>
      <c r="L44" s="5">
        <f t="shared" si="1"/>
        <v>69.61</v>
      </c>
      <c r="M44" s="5" t="s">
        <v>39</v>
      </c>
      <c r="N44" s="5">
        <v>75.735680000000002</v>
      </c>
      <c r="O44" s="5" t="s">
        <v>39</v>
      </c>
      <c r="P44" t="s">
        <v>116</v>
      </c>
      <c r="Q44" t="s">
        <v>186</v>
      </c>
      <c r="R44" t="s">
        <v>37</v>
      </c>
      <c r="S44" t="s">
        <v>187</v>
      </c>
      <c r="T44" t="s">
        <v>43</v>
      </c>
      <c r="U44" t="s">
        <v>44</v>
      </c>
      <c r="V44">
        <v>147</v>
      </c>
      <c r="W44" t="s">
        <v>45</v>
      </c>
      <c r="X44" t="s">
        <v>53</v>
      </c>
      <c r="Y44" t="s">
        <v>188</v>
      </c>
      <c r="Z44" t="s">
        <v>37</v>
      </c>
      <c r="AA44" t="s">
        <v>61</v>
      </c>
      <c r="AB44" t="s">
        <v>37</v>
      </c>
      <c r="AC44" s="6" t="s">
        <v>37</v>
      </c>
      <c r="AD44" s="6" t="s">
        <v>37</v>
      </c>
      <c r="AE44" t="s">
        <v>37</v>
      </c>
      <c r="AF44" t="s">
        <v>37</v>
      </c>
      <c r="AG44" s="6" t="s">
        <v>37</v>
      </c>
      <c r="AH44" t="s">
        <v>37</v>
      </c>
      <c r="AI44" t="s">
        <v>37</v>
      </c>
      <c r="AJ44" t="str">
        <f t="shared" si="2"/>
        <v>3S7Y1OIVB07FNHV4MW</v>
      </c>
    </row>
    <row r="45" spans="1:36" ht="15" customHeight="1" x14ac:dyDescent="0.25">
      <c r="A45" t="s">
        <v>133</v>
      </c>
      <c r="B45" t="s">
        <v>37</v>
      </c>
      <c r="C45" t="s">
        <v>37</v>
      </c>
      <c r="D45" t="s">
        <v>38</v>
      </c>
      <c r="E45" s="4">
        <v>10</v>
      </c>
      <c r="F45" s="5">
        <v>76.099999999999994</v>
      </c>
      <c r="G45" s="5" t="s">
        <v>39</v>
      </c>
      <c r="H45" s="5">
        <v>105.7</v>
      </c>
      <c r="I45" s="5" t="s">
        <v>39</v>
      </c>
      <c r="J45" s="5">
        <v>2.5874000000000001</v>
      </c>
      <c r="K45" s="5">
        <f t="shared" si="0"/>
        <v>0.25874000000000003</v>
      </c>
      <c r="L45" s="5">
        <f t="shared" si="1"/>
        <v>7.6099999999999994</v>
      </c>
      <c r="M45" s="5" t="s">
        <v>39</v>
      </c>
      <c r="N45" s="5">
        <v>2.5874000000000001</v>
      </c>
      <c r="O45" s="5" t="s">
        <v>39</v>
      </c>
      <c r="P45" t="s">
        <v>189</v>
      </c>
      <c r="Q45" t="s">
        <v>190</v>
      </c>
      <c r="R45" t="s">
        <v>37</v>
      </c>
      <c r="S45" t="s">
        <v>191</v>
      </c>
      <c r="T45" t="s">
        <v>43</v>
      </c>
      <c r="U45" t="s">
        <v>44</v>
      </c>
      <c r="V45">
        <v>147</v>
      </c>
      <c r="W45" t="s">
        <v>45</v>
      </c>
      <c r="X45" t="s">
        <v>53</v>
      </c>
      <c r="Y45" t="s">
        <v>192</v>
      </c>
      <c r="Z45" t="s">
        <v>37</v>
      </c>
      <c r="AA45" t="s">
        <v>48</v>
      </c>
      <c r="AB45" t="s">
        <v>37</v>
      </c>
      <c r="AC45" s="6" t="s">
        <v>37</v>
      </c>
      <c r="AD45" s="6" t="s">
        <v>37</v>
      </c>
      <c r="AE45" t="s">
        <v>37</v>
      </c>
      <c r="AF45" t="s">
        <v>37</v>
      </c>
      <c r="AG45" s="6" t="s">
        <v>37</v>
      </c>
      <c r="AH45" t="s">
        <v>37</v>
      </c>
      <c r="AI45" t="s">
        <v>37</v>
      </c>
      <c r="AJ45" t="str">
        <f t="shared" si="2"/>
        <v>6DPU2MKPB01MV1GX63</v>
      </c>
    </row>
    <row r="46" spans="1:36" ht="15" customHeight="1" x14ac:dyDescent="0.25">
      <c r="A46" t="s">
        <v>36</v>
      </c>
      <c r="B46" t="s">
        <v>37</v>
      </c>
      <c r="C46" t="s">
        <v>37</v>
      </c>
      <c r="D46" t="s">
        <v>38</v>
      </c>
      <c r="E46" s="4">
        <v>20</v>
      </c>
      <c r="F46" s="5">
        <v>292.8</v>
      </c>
      <c r="G46" s="5" t="s">
        <v>39</v>
      </c>
      <c r="H46" s="5">
        <v>408.2</v>
      </c>
      <c r="I46" s="5" t="s">
        <v>39</v>
      </c>
      <c r="J46" s="5">
        <v>9.9551999999999996</v>
      </c>
      <c r="K46" s="5">
        <f t="shared" si="0"/>
        <v>0.49775999999999998</v>
      </c>
      <c r="L46" s="5">
        <f t="shared" si="1"/>
        <v>14.64</v>
      </c>
      <c r="M46" s="5" t="s">
        <v>39</v>
      </c>
      <c r="N46" s="5">
        <v>9.9551999999999996</v>
      </c>
      <c r="O46" s="5" t="s">
        <v>39</v>
      </c>
      <c r="P46" t="s">
        <v>103</v>
      </c>
      <c r="Q46" t="s">
        <v>193</v>
      </c>
      <c r="R46" t="s">
        <v>37</v>
      </c>
      <c r="S46" t="s">
        <v>194</v>
      </c>
      <c r="T46" t="s">
        <v>43</v>
      </c>
      <c r="U46" t="s">
        <v>44</v>
      </c>
      <c r="V46">
        <v>147</v>
      </c>
      <c r="W46" t="s">
        <v>45</v>
      </c>
      <c r="X46" t="s">
        <v>75</v>
      </c>
      <c r="Y46" t="s">
        <v>195</v>
      </c>
      <c r="Z46" t="s">
        <v>37</v>
      </c>
      <c r="AA46" t="s">
        <v>61</v>
      </c>
      <c r="AB46" t="s">
        <v>37</v>
      </c>
      <c r="AC46" s="6" t="s">
        <v>37</v>
      </c>
      <c r="AD46" s="6" t="s">
        <v>37</v>
      </c>
      <c r="AE46" t="s">
        <v>37</v>
      </c>
      <c r="AF46" t="s">
        <v>37</v>
      </c>
      <c r="AG46" s="6" t="s">
        <v>37</v>
      </c>
      <c r="AH46" t="s">
        <v>37</v>
      </c>
      <c r="AI46" t="s">
        <v>37</v>
      </c>
      <c r="AJ46" t="str">
        <f t="shared" si="2"/>
        <v>68K72QXCB003V4A5UW</v>
      </c>
    </row>
    <row r="47" spans="1:36" ht="15" customHeight="1" x14ac:dyDescent="0.25">
      <c r="A47" t="s">
        <v>67</v>
      </c>
      <c r="B47" t="s">
        <v>37</v>
      </c>
      <c r="C47" t="s">
        <v>37</v>
      </c>
      <c r="D47" t="s">
        <v>38</v>
      </c>
      <c r="E47" s="4">
        <v>24</v>
      </c>
      <c r="F47" s="5">
        <v>2213.7600000000002</v>
      </c>
      <c r="G47" s="5" t="s">
        <v>39</v>
      </c>
      <c r="H47" s="5">
        <v>3127.92</v>
      </c>
      <c r="I47" s="5" t="s">
        <v>39</v>
      </c>
      <c r="J47" s="5">
        <v>75.267840000000007</v>
      </c>
      <c r="K47" s="5">
        <f t="shared" si="0"/>
        <v>3.1361600000000003</v>
      </c>
      <c r="L47" s="5">
        <f t="shared" si="1"/>
        <v>92.240000000000009</v>
      </c>
      <c r="M47" s="5" t="s">
        <v>39</v>
      </c>
      <c r="N47" s="5">
        <v>75.267840000000007</v>
      </c>
      <c r="O47" s="5" t="s">
        <v>39</v>
      </c>
      <c r="P47" t="s">
        <v>63</v>
      </c>
      <c r="Q47" t="s">
        <v>196</v>
      </c>
      <c r="R47" t="s">
        <v>37</v>
      </c>
      <c r="S47" t="s">
        <v>197</v>
      </c>
      <c r="T47" t="s">
        <v>43</v>
      </c>
      <c r="U47" t="s">
        <v>44</v>
      </c>
      <c r="V47">
        <v>147</v>
      </c>
      <c r="W47" t="s">
        <v>45</v>
      </c>
      <c r="X47" t="s">
        <v>75</v>
      </c>
      <c r="Y47" t="s">
        <v>198</v>
      </c>
      <c r="Z47" t="s">
        <v>37</v>
      </c>
      <c r="AA47" t="s">
        <v>61</v>
      </c>
      <c r="AB47" t="s">
        <v>37</v>
      </c>
      <c r="AC47" s="6" t="s">
        <v>37</v>
      </c>
      <c r="AD47" s="6" t="s">
        <v>37</v>
      </c>
      <c r="AE47" t="s">
        <v>37</v>
      </c>
      <c r="AF47" t="s">
        <v>37</v>
      </c>
      <c r="AG47" s="6" t="s">
        <v>37</v>
      </c>
      <c r="AH47" t="s">
        <v>37</v>
      </c>
      <c r="AI47" t="s">
        <v>37</v>
      </c>
      <c r="AJ47" t="str">
        <f t="shared" si="2"/>
        <v>3AWPOPBJB07W6H4R4D</v>
      </c>
    </row>
    <row r="48" spans="1:36" ht="15" customHeight="1" x14ac:dyDescent="0.25">
      <c r="A48" t="s">
        <v>49</v>
      </c>
      <c r="B48" t="s">
        <v>37</v>
      </c>
      <c r="C48" t="s">
        <v>37</v>
      </c>
      <c r="D48" t="s">
        <v>38</v>
      </c>
      <c r="E48" s="4">
        <v>0</v>
      </c>
      <c r="F48" s="5">
        <v>0</v>
      </c>
      <c r="G48" s="5" t="s">
        <v>39</v>
      </c>
      <c r="H48" s="5">
        <v>0</v>
      </c>
      <c r="I48" s="5" t="s">
        <v>39</v>
      </c>
      <c r="J48" s="5">
        <v>0</v>
      </c>
      <c r="K48" s="5" t="e">
        <f t="shared" si="0"/>
        <v>#DIV/0!</v>
      </c>
      <c r="L48" s="5" t="e">
        <f t="shared" si="1"/>
        <v>#DIV/0!</v>
      </c>
      <c r="M48" s="5" t="s">
        <v>39</v>
      </c>
      <c r="N48" s="5">
        <v>0</v>
      </c>
      <c r="O48" s="5" t="s">
        <v>39</v>
      </c>
      <c r="P48" t="s">
        <v>50</v>
      </c>
      <c r="Q48" t="s">
        <v>199</v>
      </c>
      <c r="R48" t="s">
        <v>37</v>
      </c>
      <c r="S48" t="s">
        <v>200</v>
      </c>
      <c r="T48" t="s">
        <v>43</v>
      </c>
      <c r="U48" t="s">
        <v>44</v>
      </c>
      <c r="V48">
        <v>147</v>
      </c>
      <c r="W48" t="s">
        <v>45</v>
      </c>
      <c r="X48" t="s">
        <v>177</v>
      </c>
      <c r="Y48" t="s">
        <v>201</v>
      </c>
      <c r="Z48" t="s">
        <v>37</v>
      </c>
      <c r="AA48" t="s">
        <v>145</v>
      </c>
      <c r="AB48" t="s">
        <v>37</v>
      </c>
      <c r="AC48" s="6" t="s">
        <v>37</v>
      </c>
      <c r="AD48" s="6" t="s">
        <v>37</v>
      </c>
      <c r="AE48" t="s">
        <v>37</v>
      </c>
      <c r="AF48" t="s">
        <v>37</v>
      </c>
      <c r="AG48" s="6" t="s">
        <v>37</v>
      </c>
      <c r="AH48" t="s">
        <v>37</v>
      </c>
      <c r="AI48" t="s">
        <v>37</v>
      </c>
      <c r="AJ48" t="str">
        <f t="shared" si="2"/>
        <v>54U7COBYB00M6MLYZU</v>
      </c>
    </row>
    <row r="49" spans="1:36" ht="15" customHeight="1" x14ac:dyDescent="0.25">
      <c r="A49" t="s">
        <v>36</v>
      </c>
      <c r="B49" t="s">
        <v>37</v>
      </c>
      <c r="C49" t="s">
        <v>37</v>
      </c>
      <c r="D49" t="s">
        <v>38</v>
      </c>
      <c r="E49" s="4">
        <v>10</v>
      </c>
      <c r="F49" s="5">
        <v>99.5</v>
      </c>
      <c r="G49" s="5" t="s">
        <v>39</v>
      </c>
      <c r="H49" s="5">
        <v>122.9</v>
      </c>
      <c r="I49" s="5" t="s">
        <v>39</v>
      </c>
      <c r="J49" s="5">
        <v>3.383</v>
      </c>
      <c r="K49" s="5">
        <f t="shared" si="0"/>
        <v>0.33829999999999999</v>
      </c>
      <c r="L49" s="5">
        <f t="shared" si="1"/>
        <v>9.9499999999999993</v>
      </c>
      <c r="M49" s="5" t="s">
        <v>39</v>
      </c>
      <c r="N49" s="5">
        <v>3.383</v>
      </c>
      <c r="O49" s="5" t="s">
        <v>39</v>
      </c>
      <c r="P49" t="s">
        <v>167</v>
      </c>
      <c r="Q49" t="s">
        <v>202</v>
      </c>
      <c r="R49" t="s">
        <v>37</v>
      </c>
      <c r="S49" t="s">
        <v>203</v>
      </c>
      <c r="T49" t="s">
        <v>43</v>
      </c>
      <c r="U49" t="s">
        <v>44</v>
      </c>
      <c r="V49">
        <v>147</v>
      </c>
      <c r="W49" t="s">
        <v>45</v>
      </c>
      <c r="X49" t="s">
        <v>75</v>
      </c>
      <c r="Y49" t="s">
        <v>204</v>
      </c>
      <c r="Z49" t="s">
        <v>37</v>
      </c>
      <c r="AA49" t="s">
        <v>61</v>
      </c>
      <c r="AB49" t="s">
        <v>37</v>
      </c>
      <c r="AC49" s="6" t="s">
        <v>37</v>
      </c>
      <c r="AD49" s="6" t="s">
        <v>37</v>
      </c>
      <c r="AE49" t="s">
        <v>37</v>
      </c>
      <c r="AF49" t="s">
        <v>37</v>
      </c>
      <c r="AG49" s="6" t="s">
        <v>37</v>
      </c>
      <c r="AH49" t="s">
        <v>37</v>
      </c>
      <c r="AI49" t="s">
        <v>37</v>
      </c>
      <c r="AJ49" t="str">
        <f t="shared" si="2"/>
        <v>4FFLHW5MB003PAMIA2</v>
      </c>
    </row>
    <row r="50" spans="1:36" ht="15" customHeight="1" x14ac:dyDescent="0.25">
      <c r="A50" t="s">
        <v>36</v>
      </c>
      <c r="B50" t="s">
        <v>37</v>
      </c>
      <c r="C50" t="s">
        <v>37</v>
      </c>
      <c r="D50" t="s">
        <v>38</v>
      </c>
      <c r="E50" s="4">
        <v>40</v>
      </c>
      <c r="F50" s="5">
        <v>234</v>
      </c>
      <c r="G50" s="5" t="s">
        <v>39</v>
      </c>
      <c r="H50" s="5">
        <v>324.39999999999998</v>
      </c>
      <c r="I50" s="5" t="s">
        <v>39</v>
      </c>
      <c r="J50" s="5">
        <v>7.9560000000000004</v>
      </c>
      <c r="K50" s="5">
        <f t="shared" si="0"/>
        <v>0.19890000000000002</v>
      </c>
      <c r="L50" s="5">
        <f t="shared" si="1"/>
        <v>5.85</v>
      </c>
      <c r="M50" s="5" t="s">
        <v>39</v>
      </c>
      <c r="N50" s="5">
        <v>7.9560000000000004</v>
      </c>
      <c r="O50" s="5" t="s">
        <v>39</v>
      </c>
      <c r="P50" t="s">
        <v>171</v>
      </c>
      <c r="Q50" t="s">
        <v>205</v>
      </c>
      <c r="R50" t="s">
        <v>37</v>
      </c>
      <c r="S50" t="s">
        <v>206</v>
      </c>
      <c r="T50" t="s">
        <v>43</v>
      </c>
      <c r="U50" t="s">
        <v>44</v>
      </c>
      <c r="V50">
        <v>147</v>
      </c>
      <c r="W50" t="s">
        <v>45</v>
      </c>
      <c r="X50" t="s">
        <v>53</v>
      </c>
      <c r="Y50" t="s">
        <v>207</v>
      </c>
      <c r="Z50" t="s">
        <v>37</v>
      </c>
      <c r="AA50" t="s">
        <v>61</v>
      </c>
      <c r="AB50" t="s">
        <v>37</v>
      </c>
      <c r="AC50" s="6" t="s">
        <v>37</v>
      </c>
      <c r="AD50" s="6" t="s">
        <v>37</v>
      </c>
      <c r="AE50" t="s">
        <v>37</v>
      </c>
      <c r="AF50" t="s">
        <v>37</v>
      </c>
      <c r="AG50" s="6" t="s">
        <v>37</v>
      </c>
      <c r="AH50" t="s">
        <v>37</v>
      </c>
      <c r="AI50" t="s">
        <v>37</v>
      </c>
      <c r="AJ50" t="str">
        <f t="shared" si="2"/>
        <v>4RM5JT6BB07H3HGS9R</v>
      </c>
    </row>
    <row r="51" spans="1:36" ht="15" customHeight="1" x14ac:dyDescent="0.25">
      <c r="A51" t="s">
        <v>127</v>
      </c>
      <c r="B51" t="s">
        <v>37</v>
      </c>
      <c r="C51" t="s">
        <v>37</v>
      </c>
      <c r="D51" t="s">
        <v>38</v>
      </c>
      <c r="E51" s="4">
        <v>4</v>
      </c>
      <c r="F51" s="5">
        <v>82</v>
      </c>
      <c r="G51" s="5" t="s">
        <v>39</v>
      </c>
      <c r="H51" s="5">
        <v>82</v>
      </c>
      <c r="I51" s="5" t="s">
        <v>39</v>
      </c>
      <c r="J51" s="5">
        <v>2.7879999999999998</v>
      </c>
      <c r="K51" s="5">
        <f t="shared" si="0"/>
        <v>0.69699999999999995</v>
      </c>
      <c r="L51" s="5">
        <f t="shared" si="1"/>
        <v>20.5</v>
      </c>
      <c r="M51" s="5" t="s">
        <v>39</v>
      </c>
      <c r="N51" s="5">
        <v>2.7879999999999998</v>
      </c>
      <c r="O51" s="5" t="s">
        <v>39</v>
      </c>
      <c r="P51" t="s">
        <v>208</v>
      </c>
      <c r="Q51" t="s">
        <v>209</v>
      </c>
      <c r="R51" t="s">
        <v>37</v>
      </c>
      <c r="S51" t="s">
        <v>210</v>
      </c>
      <c r="T51" t="s">
        <v>43</v>
      </c>
      <c r="U51" t="s">
        <v>44</v>
      </c>
      <c r="V51">
        <v>147</v>
      </c>
      <c r="W51" t="s">
        <v>45</v>
      </c>
      <c r="X51" t="s">
        <v>75</v>
      </c>
      <c r="Y51" t="s">
        <v>211</v>
      </c>
      <c r="Z51" t="s">
        <v>37</v>
      </c>
      <c r="AA51" t="s">
        <v>61</v>
      </c>
      <c r="AB51" t="s">
        <v>37</v>
      </c>
      <c r="AC51" s="6" t="s">
        <v>37</v>
      </c>
      <c r="AD51" s="6" t="s">
        <v>37</v>
      </c>
      <c r="AE51" t="s">
        <v>37</v>
      </c>
      <c r="AF51" t="s">
        <v>37</v>
      </c>
      <c r="AG51" s="6" t="s">
        <v>37</v>
      </c>
      <c r="AH51" t="s">
        <v>37</v>
      </c>
      <c r="AI51" t="s">
        <v>37</v>
      </c>
      <c r="AJ51" t="str">
        <f t="shared" si="2"/>
        <v>2WFUPSOGB007G95NG4</v>
      </c>
    </row>
    <row r="52" spans="1:36" ht="15" customHeight="1" x14ac:dyDescent="0.25">
      <c r="A52" t="s">
        <v>36</v>
      </c>
      <c r="B52" t="s">
        <v>37</v>
      </c>
      <c r="C52" t="s">
        <v>37</v>
      </c>
      <c r="D52" t="s">
        <v>38</v>
      </c>
      <c r="E52" s="4">
        <v>6</v>
      </c>
      <c r="F52" s="5">
        <v>121.8</v>
      </c>
      <c r="G52" s="5" t="s">
        <v>39</v>
      </c>
      <c r="H52" s="5">
        <v>177</v>
      </c>
      <c r="I52" s="5" t="s">
        <v>39</v>
      </c>
      <c r="J52" s="5">
        <v>4.1412000000000004</v>
      </c>
      <c r="K52" s="5">
        <f t="shared" si="0"/>
        <v>0.69020000000000004</v>
      </c>
      <c r="L52" s="5">
        <f t="shared" si="1"/>
        <v>20.3</v>
      </c>
      <c r="M52" s="5" t="s">
        <v>39</v>
      </c>
      <c r="N52" s="5">
        <v>4.1412000000000004</v>
      </c>
      <c r="O52" s="5" t="s">
        <v>39</v>
      </c>
      <c r="P52" t="s">
        <v>167</v>
      </c>
      <c r="Q52" t="s">
        <v>135</v>
      </c>
      <c r="R52" t="s">
        <v>37</v>
      </c>
      <c r="S52" t="s">
        <v>136</v>
      </c>
      <c r="T52" t="s">
        <v>43</v>
      </c>
      <c r="U52" t="s">
        <v>44</v>
      </c>
      <c r="V52">
        <v>147</v>
      </c>
      <c r="W52" t="s">
        <v>45</v>
      </c>
      <c r="X52" t="s">
        <v>75</v>
      </c>
      <c r="Y52" t="s">
        <v>137</v>
      </c>
      <c r="Z52" t="s">
        <v>37</v>
      </c>
      <c r="AA52" t="s">
        <v>61</v>
      </c>
      <c r="AB52" t="s">
        <v>37</v>
      </c>
      <c r="AC52" s="6" t="s">
        <v>37</v>
      </c>
      <c r="AD52" s="6" t="s">
        <v>37</v>
      </c>
      <c r="AE52" t="s">
        <v>37</v>
      </c>
      <c r="AF52" t="s">
        <v>37</v>
      </c>
      <c r="AG52" s="6" t="s">
        <v>37</v>
      </c>
      <c r="AH52" t="s">
        <v>37</v>
      </c>
      <c r="AI52" t="s">
        <v>37</v>
      </c>
      <c r="AJ52" t="str">
        <f t="shared" si="2"/>
        <v>4FFLHW5MB07W5JK4LF</v>
      </c>
    </row>
    <row r="53" spans="1:36" ht="15" customHeight="1" x14ac:dyDescent="0.25">
      <c r="A53" t="s">
        <v>36</v>
      </c>
      <c r="B53" t="s">
        <v>37</v>
      </c>
      <c r="C53" t="s">
        <v>37</v>
      </c>
      <c r="D53" t="s">
        <v>38</v>
      </c>
      <c r="E53" s="4">
        <v>10</v>
      </c>
      <c r="F53" s="5">
        <v>263.7</v>
      </c>
      <c r="G53" s="5" t="s">
        <v>39</v>
      </c>
      <c r="H53" s="5">
        <v>426.1</v>
      </c>
      <c r="I53" s="5" t="s">
        <v>39</v>
      </c>
      <c r="J53" s="5">
        <v>8.9657999999999998</v>
      </c>
      <c r="K53" s="5">
        <f t="shared" si="0"/>
        <v>0.89657999999999993</v>
      </c>
      <c r="L53" s="5">
        <f t="shared" si="1"/>
        <v>26.369999999999997</v>
      </c>
      <c r="M53" s="5" t="s">
        <v>39</v>
      </c>
      <c r="N53" s="5">
        <v>8.9657999999999998</v>
      </c>
      <c r="O53" s="5" t="s">
        <v>39</v>
      </c>
      <c r="P53" t="s">
        <v>212</v>
      </c>
      <c r="Q53" t="s">
        <v>213</v>
      </c>
      <c r="R53" t="s">
        <v>37</v>
      </c>
      <c r="S53" t="s">
        <v>214</v>
      </c>
      <c r="T53" t="s">
        <v>43</v>
      </c>
      <c r="U53" t="s">
        <v>44</v>
      </c>
      <c r="V53">
        <v>23</v>
      </c>
      <c r="W53" t="s">
        <v>45</v>
      </c>
      <c r="X53" t="s">
        <v>46</v>
      </c>
      <c r="Y53" t="s">
        <v>215</v>
      </c>
      <c r="Z53" t="s">
        <v>37</v>
      </c>
      <c r="AA53" t="s">
        <v>145</v>
      </c>
      <c r="AB53" t="s">
        <v>37</v>
      </c>
      <c r="AC53" s="6" t="s">
        <v>37</v>
      </c>
      <c r="AD53" s="6" t="s">
        <v>37</v>
      </c>
      <c r="AE53" t="s">
        <v>37</v>
      </c>
      <c r="AF53" t="s">
        <v>37</v>
      </c>
      <c r="AG53" s="6" t="s">
        <v>37</v>
      </c>
      <c r="AH53" t="s">
        <v>37</v>
      </c>
      <c r="AI53" t="s">
        <v>37</v>
      </c>
      <c r="AJ53" t="str">
        <f t="shared" si="2"/>
        <v>4AY3K18CB07W6G822Y</v>
      </c>
    </row>
    <row r="54" spans="1:36" ht="15" customHeight="1" x14ac:dyDescent="0.25">
      <c r="A54" t="s">
        <v>127</v>
      </c>
      <c r="B54" t="s">
        <v>37</v>
      </c>
      <c r="C54" t="s">
        <v>37</v>
      </c>
      <c r="D54" t="s">
        <v>38</v>
      </c>
      <c r="E54" s="4">
        <v>10</v>
      </c>
      <c r="F54" s="5">
        <v>146.4</v>
      </c>
      <c r="G54" s="5" t="s">
        <v>39</v>
      </c>
      <c r="H54" s="5">
        <v>204.1</v>
      </c>
      <c r="I54" s="5" t="s">
        <v>39</v>
      </c>
      <c r="J54" s="5">
        <v>4.9775999999999998</v>
      </c>
      <c r="K54" s="5">
        <f t="shared" si="0"/>
        <v>0.49775999999999998</v>
      </c>
      <c r="L54" s="5">
        <f t="shared" si="1"/>
        <v>14.64</v>
      </c>
      <c r="M54" s="5" t="s">
        <v>39</v>
      </c>
      <c r="N54" s="5">
        <v>4.9775999999999998</v>
      </c>
      <c r="O54" s="5" t="s">
        <v>39</v>
      </c>
      <c r="P54" t="s">
        <v>138</v>
      </c>
      <c r="Q54" t="s">
        <v>193</v>
      </c>
      <c r="R54" t="s">
        <v>37</v>
      </c>
      <c r="S54" t="s">
        <v>194</v>
      </c>
      <c r="T54" t="s">
        <v>43</v>
      </c>
      <c r="U54" t="s">
        <v>44</v>
      </c>
      <c r="V54">
        <v>147</v>
      </c>
      <c r="W54" t="s">
        <v>45</v>
      </c>
      <c r="X54" t="s">
        <v>75</v>
      </c>
      <c r="Y54" t="s">
        <v>195</v>
      </c>
      <c r="Z54" t="s">
        <v>37</v>
      </c>
      <c r="AA54" t="s">
        <v>61</v>
      </c>
      <c r="AB54" t="s">
        <v>37</v>
      </c>
      <c r="AC54" s="6" t="s">
        <v>37</v>
      </c>
      <c r="AD54" s="6" t="s">
        <v>37</v>
      </c>
      <c r="AE54" t="s">
        <v>37</v>
      </c>
      <c r="AF54" t="s">
        <v>37</v>
      </c>
      <c r="AG54" s="6" t="s">
        <v>37</v>
      </c>
      <c r="AH54" t="s">
        <v>37</v>
      </c>
      <c r="AI54" t="s">
        <v>37</v>
      </c>
      <c r="AJ54" t="str">
        <f t="shared" si="2"/>
        <v>1S3VNUKAB003V4A5UW</v>
      </c>
    </row>
    <row r="55" spans="1:36" ht="15" customHeight="1" x14ac:dyDescent="0.25">
      <c r="A55" t="s">
        <v>133</v>
      </c>
      <c r="B55" t="s">
        <v>37</v>
      </c>
      <c r="C55" t="s">
        <v>37</v>
      </c>
      <c r="D55" t="s">
        <v>38</v>
      </c>
      <c r="E55" s="4">
        <v>90</v>
      </c>
      <c r="F55" s="5">
        <v>18946.8</v>
      </c>
      <c r="G55" s="5" t="s">
        <v>39</v>
      </c>
      <c r="H55" s="5">
        <v>30245.4</v>
      </c>
      <c r="I55" s="5" t="s">
        <v>39</v>
      </c>
      <c r="J55" s="5">
        <v>644.19119999999998</v>
      </c>
      <c r="K55" s="5">
        <f t="shared" si="0"/>
        <v>7.15768</v>
      </c>
      <c r="L55" s="5">
        <f t="shared" si="1"/>
        <v>210.51999999999998</v>
      </c>
      <c r="M55" s="5" t="s">
        <v>39</v>
      </c>
      <c r="N55" s="5">
        <v>644.19119999999998</v>
      </c>
      <c r="O55" s="5" t="s">
        <v>39</v>
      </c>
      <c r="P55" t="s">
        <v>128</v>
      </c>
      <c r="Q55" t="s">
        <v>216</v>
      </c>
      <c r="R55" t="s">
        <v>37</v>
      </c>
      <c r="S55" t="s">
        <v>217</v>
      </c>
      <c r="T55" t="s">
        <v>43</v>
      </c>
      <c r="U55" t="s">
        <v>44</v>
      </c>
      <c r="V55">
        <v>147</v>
      </c>
      <c r="W55" t="s">
        <v>45</v>
      </c>
      <c r="X55" t="s">
        <v>46</v>
      </c>
      <c r="Y55" t="s">
        <v>218</v>
      </c>
      <c r="Z55" t="s">
        <v>37</v>
      </c>
      <c r="AA55" t="s">
        <v>61</v>
      </c>
      <c r="AB55" t="s">
        <v>37</v>
      </c>
      <c r="AC55" s="6" t="s">
        <v>37</v>
      </c>
      <c r="AD55" s="6" t="s">
        <v>37</v>
      </c>
      <c r="AE55" t="s">
        <v>37</v>
      </c>
      <c r="AF55" t="s">
        <v>37</v>
      </c>
      <c r="AG55" s="6" t="s">
        <v>37</v>
      </c>
      <c r="AH55" t="s">
        <v>37</v>
      </c>
      <c r="AI55" t="s">
        <v>37</v>
      </c>
      <c r="AJ55" t="str">
        <f t="shared" si="2"/>
        <v>5DN5PI5YB00YUIM2J0</v>
      </c>
    </row>
    <row r="56" spans="1:36" ht="15" customHeight="1" x14ac:dyDescent="0.25">
      <c r="A56" t="s">
        <v>133</v>
      </c>
      <c r="B56" t="s">
        <v>37</v>
      </c>
      <c r="C56" t="s">
        <v>37</v>
      </c>
      <c r="D56" t="s">
        <v>38</v>
      </c>
      <c r="E56" s="4">
        <v>104</v>
      </c>
      <c r="F56" s="5">
        <v>3045.12</v>
      </c>
      <c r="G56" s="5" t="s">
        <v>39</v>
      </c>
      <c r="H56" s="5">
        <v>4431.4399999999996</v>
      </c>
      <c r="I56" s="5" t="s">
        <v>39</v>
      </c>
      <c r="J56" s="5">
        <v>103.53408</v>
      </c>
      <c r="K56" s="5">
        <f t="shared" si="0"/>
        <v>0.99552000000000007</v>
      </c>
      <c r="L56" s="5">
        <f t="shared" si="1"/>
        <v>29.279999999999998</v>
      </c>
      <c r="M56" s="5" t="s">
        <v>39</v>
      </c>
      <c r="N56" s="5">
        <v>103.53408</v>
      </c>
      <c r="O56" s="5" t="s">
        <v>39</v>
      </c>
      <c r="P56" t="s">
        <v>219</v>
      </c>
      <c r="Q56" t="s">
        <v>220</v>
      </c>
      <c r="R56" t="s">
        <v>37</v>
      </c>
      <c r="S56" t="s">
        <v>221</v>
      </c>
      <c r="T56" t="s">
        <v>43</v>
      </c>
      <c r="U56" t="s">
        <v>44</v>
      </c>
      <c r="V56">
        <v>147</v>
      </c>
      <c r="W56" t="s">
        <v>45</v>
      </c>
      <c r="X56" t="s">
        <v>75</v>
      </c>
      <c r="Y56" t="s">
        <v>222</v>
      </c>
      <c r="Z56" t="s">
        <v>37</v>
      </c>
      <c r="AA56" t="s">
        <v>48</v>
      </c>
      <c r="AB56" t="s">
        <v>37</v>
      </c>
      <c r="AC56" s="6" t="s">
        <v>37</v>
      </c>
      <c r="AD56" s="6" t="s">
        <v>37</v>
      </c>
      <c r="AE56" t="s">
        <v>37</v>
      </c>
      <c r="AF56" t="s">
        <v>37</v>
      </c>
      <c r="AG56" s="6" t="s">
        <v>37</v>
      </c>
      <c r="AH56" t="s">
        <v>37</v>
      </c>
      <c r="AI56" t="s">
        <v>37</v>
      </c>
      <c r="AJ56" t="str">
        <f t="shared" si="2"/>
        <v>5EPWKXSHB013SL2050</v>
      </c>
    </row>
    <row r="57" spans="1:36" ht="15" customHeight="1" x14ac:dyDescent="0.25">
      <c r="A57" t="s">
        <v>71</v>
      </c>
      <c r="B57" t="s">
        <v>37</v>
      </c>
      <c r="C57" t="s">
        <v>37</v>
      </c>
      <c r="D57" t="s">
        <v>38</v>
      </c>
      <c r="E57" s="4">
        <v>0</v>
      </c>
      <c r="F57" s="5">
        <v>0</v>
      </c>
      <c r="G57" s="5" t="s">
        <v>39</v>
      </c>
      <c r="H57" s="5">
        <v>0</v>
      </c>
      <c r="I57" s="5" t="s">
        <v>39</v>
      </c>
      <c r="J57" s="5">
        <v>0</v>
      </c>
      <c r="K57" s="5" t="e">
        <f t="shared" si="0"/>
        <v>#DIV/0!</v>
      </c>
      <c r="L57" s="5" t="e">
        <f t="shared" si="1"/>
        <v>#DIV/0!</v>
      </c>
      <c r="M57" s="5" t="s">
        <v>39</v>
      </c>
      <c r="N57" s="5">
        <v>0</v>
      </c>
      <c r="O57" s="5" t="s">
        <v>39</v>
      </c>
      <c r="P57" t="s">
        <v>78</v>
      </c>
      <c r="Q57" t="s">
        <v>223</v>
      </c>
      <c r="R57" t="s">
        <v>37</v>
      </c>
      <c r="S57" t="s">
        <v>224</v>
      </c>
      <c r="T57" t="s">
        <v>43</v>
      </c>
      <c r="U57" t="s">
        <v>44</v>
      </c>
      <c r="V57">
        <v>147</v>
      </c>
      <c r="W57" t="s">
        <v>45</v>
      </c>
      <c r="X57" t="s">
        <v>177</v>
      </c>
      <c r="Y57" t="s">
        <v>225</v>
      </c>
      <c r="Z57" t="s">
        <v>37</v>
      </c>
      <c r="AA57" t="s">
        <v>145</v>
      </c>
      <c r="AB57" t="s">
        <v>37</v>
      </c>
      <c r="AC57" s="6" t="s">
        <v>37</v>
      </c>
      <c r="AD57" s="6" t="s">
        <v>37</v>
      </c>
      <c r="AE57" t="s">
        <v>37</v>
      </c>
      <c r="AF57" t="s">
        <v>37</v>
      </c>
      <c r="AG57" s="6" t="s">
        <v>37</v>
      </c>
      <c r="AH57" t="s">
        <v>37</v>
      </c>
      <c r="AI57" t="s">
        <v>37</v>
      </c>
      <c r="AJ57" t="str">
        <f t="shared" si="2"/>
        <v>135JM91XB07W7KT2B3</v>
      </c>
    </row>
    <row r="58" spans="1:36" ht="15" customHeight="1" x14ac:dyDescent="0.25">
      <c r="A58" t="s">
        <v>133</v>
      </c>
      <c r="B58" t="s">
        <v>37</v>
      </c>
      <c r="C58" t="s">
        <v>37</v>
      </c>
      <c r="D58" t="s">
        <v>38</v>
      </c>
      <c r="E58" s="4">
        <v>8</v>
      </c>
      <c r="F58" s="5">
        <v>164</v>
      </c>
      <c r="G58" s="5" t="s">
        <v>39</v>
      </c>
      <c r="H58" s="5">
        <v>236</v>
      </c>
      <c r="I58" s="5" t="s">
        <v>39</v>
      </c>
      <c r="J58" s="5">
        <v>5.5759999999999996</v>
      </c>
      <c r="K58" s="5">
        <f t="shared" si="0"/>
        <v>0.69699999999999995</v>
      </c>
      <c r="L58" s="5">
        <f t="shared" si="1"/>
        <v>20.5</v>
      </c>
      <c r="M58" s="5" t="s">
        <v>39</v>
      </c>
      <c r="N58" s="5">
        <v>5.5759999999999996</v>
      </c>
      <c r="O58" s="5" t="s">
        <v>39</v>
      </c>
      <c r="P58" t="s">
        <v>134</v>
      </c>
      <c r="Q58" t="s">
        <v>226</v>
      </c>
      <c r="R58" t="s">
        <v>37</v>
      </c>
      <c r="S58" t="s">
        <v>227</v>
      </c>
      <c r="T58" t="s">
        <v>43</v>
      </c>
      <c r="U58" t="s">
        <v>44</v>
      </c>
      <c r="V58">
        <v>147</v>
      </c>
      <c r="W58" t="s">
        <v>45</v>
      </c>
      <c r="X58" t="s">
        <v>75</v>
      </c>
      <c r="Y58" t="s">
        <v>228</v>
      </c>
      <c r="Z58" t="s">
        <v>37</v>
      </c>
      <c r="AA58" t="s">
        <v>48</v>
      </c>
      <c r="AB58" t="s">
        <v>37</v>
      </c>
      <c r="AC58" s="6" t="s">
        <v>37</v>
      </c>
      <c r="AD58" s="6" t="s">
        <v>37</v>
      </c>
      <c r="AE58" t="s">
        <v>37</v>
      </c>
      <c r="AF58" t="s">
        <v>37</v>
      </c>
      <c r="AG58" s="6" t="s">
        <v>37</v>
      </c>
      <c r="AH58" t="s">
        <v>37</v>
      </c>
      <c r="AI58" t="s">
        <v>37</v>
      </c>
      <c r="AJ58" t="str">
        <f t="shared" si="2"/>
        <v>6VR89N1LB01C47ZFLK</v>
      </c>
    </row>
    <row r="59" spans="1:36" ht="15" customHeight="1" x14ac:dyDescent="0.25">
      <c r="A59" t="s">
        <v>133</v>
      </c>
      <c r="B59" t="s">
        <v>37</v>
      </c>
      <c r="C59" t="s">
        <v>37</v>
      </c>
      <c r="D59" t="s">
        <v>38</v>
      </c>
      <c r="E59" s="4">
        <v>16</v>
      </c>
      <c r="F59" s="5">
        <v>1549.28</v>
      </c>
      <c r="G59" s="5" t="s">
        <v>39</v>
      </c>
      <c r="H59" s="5">
        <v>1836</v>
      </c>
      <c r="I59" s="5" t="s">
        <v>39</v>
      </c>
      <c r="J59" s="5">
        <v>52.675519999999999</v>
      </c>
      <c r="K59" s="5">
        <f t="shared" si="0"/>
        <v>3.2922199999999999</v>
      </c>
      <c r="L59" s="5">
        <f t="shared" si="1"/>
        <v>96.83</v>
      </c>
      <c r="M59" s="5" t="s">
        <v>39</v>
      </c>
      <c r="N59" s="5">
        <v>52.675519999999999</v>
      </c>
      <c r="O59" s="5" t="s">
        <v>39</v>
      </c>
      <c r="P59" t="s">
        <v>116</v>
      </c>
      <c r="Q59" t="s">
        <v>229</v>
      </c>
      <c r="R59" t="s">
        <v>37</v>
      </c>
      <c r="S59" t="s">
        <v>230</v>
      </c>
      <c r="T59" t="s">
        <v>43</v>
      </c>
      <c r="U59" t="s">
        <v>44</v>
      </c>
      <c r="V59">
        <v>267</v>
      </c>
      <c r="W59" t="s">
        <v>231</v>
      </c>
      <c r="X59" t="s">
        <v>232</v>
      </c>
      <c r="Y59" t="s">
        <v>233</v>
      </c>
      <c r="Z59" t="s">
        <v>37</v>
      </c>
      <c r="AA59" t="s">
        <v>145</v>
      </c>
      <c r="AB59" t="s">
        <v>37</v>
      </c>
      <c r="AC59" s="6" t="s">
        <v>37</v>
      </c>
      <c r="AD59" s="6" t="s">
        <v>37</v>
      </c>
      <c r="AE59" t="s">
        <v>37</v>
      </c>
      <c r="AF59" t="s">
        <v>37</v>
      </c>
      <c r="AG59" s="6" t="s">
        <v>37</v>
      </c>
      <c r="AH59" t="s">
        <v>37</v>
      </c>
      <c r="AI59" t="s">
        <v>37</v>
      </c>
      <c r="AJ59" t="str">
        <f t="shared" si="2"/>
        <v>3S7Y1OIVB002VA464S</v>
      </c>
    </row>
    <row r="60" spans="1:36" ht="15" customHeight="1" x14ac:dyDescent="0.25">
      <c r="A60" t="s">
        <v>36</v>
      </c>
      <c r="B60" t="s">
        <v>37</v>
      </c>
      <c r="C60" t="s">
        <v>37</v>
      </c>
      <c r="D60" t="s">
        <v>38</v>
      </c>
      <c r="E60" s="4">
        <v>64</v>
      </c>
      <c r="F60" s="5">
        <v>1012.48</v>
      </c>
      <c r="G60" s="5" t="s">
        <v>39</v>
      </c>
      <c r="H60" s="5">
        <v>1625.6</v>
      </c>
      <c r="I60" s="5" t="s">
        <v>39</v>
      </c>
      <c r="J60" s="5">
        <v>34.424320000000002</v>
      </c>
      <c r="K60" s="5">
        <f t="shared" si="0"/>
        <v>0.53788000000000002</v>
      </c>
      <c r="L60" s="5">
        <f t="shared" si="1"/>
        <v>15.82</v>
      </c>
      <c r="M60" s="5" t="s">
        <v>39</v>
      </c>
      <c r="N60" s="5">
        <v>34.424320000000002</v>
      </c>
      <c r="O60" s="5" t="s">
        <v>39</v>
      </c>
      <c r="P60" t="s">
        <v>40</v>
      </c>
      <c r="Q60" t="s">
        <v>234</v>
      </c>
      <c r="R60" t="s">
        <v>37</v>
      </c>
      <c r="S60" t="s">
        <v>235</v>
      </c>
      <c r="T60" t="s">
        <v>43</v>
      </c>
      <c r="U60" t="s">
        <v>44</v>
      </c>
      <c r="V60">
        <v>147</v>
      </c>
      <c r="W60" t="s">
        <v>45</v>
      </c>
      <c r="X60" t="s">
        <v>46</v>
      </c>
      <c r="Y60" t="s">
        <v>236</v>
      </c>
      <c r="Z60" t="s">
        <v>37</v>
      </c>
      <c r="AA60" t="s">
        <v>48</v>
      </c>
      <c r="AB60" t="s">
        <v>37</v>
      </c>
      <c r="AC60" s="6" t="s">
        <v>37</v>
      </c>
      <c r="AD60" s="6" t="s">
        <v>37</v>
      </c>
      <c r="AE60" t="s">
        <v>37</v>
      </c>
      <c r="AF60" t="s">
        <v>37</v>
      </c>
      <c r="AG60" s="6" t="s">
        <v>37</v>
      </c>
      <c r="AH60" t="s">
        <v>37</v>
      </c>
      <c r="AI60" t="s">
        <v>37</v>
      </c>
      <c r="AJ60" t="str">
        <f t="shared" si="2"/>
        <v>8IC45Q9KB01DKTP3PY</v>
      </c>
    </row>
    <row r="61" spans="1:36" ht="15" customHeight="1" x14ac:dyDescent="0.25">
      <c r="A61" t="s">
        <v>49</v>
      </c>
      <c r="B61" t="s">
        <v>37</v>
      </c>
      <c r="C61" t="s">
        <v>37</v>
      </c>
      <c r="D61" t="s">
        <v>38</v>
      </c>
      <c r="E61" s="4">
        <v>4</v>
      </c>
      <c r="F61" s="5">
        <v>179.8</v>
      </c>
      <c r="G61" s="5" t="s">
        <v>39</v>
      </c>
      <c r="H61" s="5">
        <v>213.08</v>
      </c>
      <c r="I61" s="5" t="s">
        <v>39</v>
      </c>
      <c r="J61" s="5">
        <v>6.1132</v>
      </c>
      <c r="K61" s="5">
        <f t="shared" si="0"/>
        <v>1.5283</v>
      </c>
      <c r="L61" s="5">
        <f t="shared" si="1"/>
        <v>44.95</v>
      </c>
      <c r="M61" s="5" t="s">
        <v>39</v>
      </c>
      <c r="N61" s="5">
        <v>6.1132</v>
      </c>
      <c r="O61" s="5" t="s">
        <v>39</v>
      </c>
      <c r="P61" t="s">
        <v>237</v>
      </c>
      <c r="Q61" t="s">
        <v>238</v>
      </c>
      <c r="R61" t="s">
        <v>37</v>
      </c>
      <c r="S61" t="s">
        <v>239</v>
      </c>
      <c r="T61" t="s">
        <v>43</v>
      </c>
      <c r="U61" t="s">
        <v>44</v>
      </c>
      <c r="V61">
        <v>147</v>
      </c>
      <c r="W61" t="s">
        <v>45</v>
      </c>
      <c r="X61" t="s">
        <v>46</v>
      </c>
      <c r="Y61" t="s">
        <v>240</v>
      </c>
      <c r="Z61" t="s">
        <v>37</v>
      </c>
      <c r="AA61" t="s">
        <v>107</v>
      </c>
      <c r="AB61" t="s">
        <v>37</v>
      </c>
      <c r="AC61" s="6" t="s">
        <v>37</v>
      </c>
      <c r="AD61" s="6" t="s">
        <v>37</v>
      </c>
      <c r="AE61" t="s">
        <v>37</v>
      </c>
      <c r="AF61" t="s">
        <v>37</v>
      </c>
      <c r="AG61" s="6" t="s">
        <v>37</v>
      </c>
      <c r="AH61" t="s">
        <v>37</v>
      </c>
      <c r="AI61" t="s">
        <v>37</v>
      </c>
      <c r="AJ61" t="str">
        <f t="shared" si="2"/>
        <v>5HXMAQACB0711V7BV6</v>
      </c>
    </row>
    <row r="62" spans="1:36" ht="15" customHeight="1" x14ac:dyDescent="0.25">
      <c r="A62" t="s">
        <v>49</v>
      </c>
      <c r="B62" t="s">
        <v>37</v>
      </c>
      <c r="C62" t="s">
        <v>37</v>
      </c>
      <c r="D62" t="s">
        <v>38</v>
      </c>
      <c r="E62" s="4">
        <v>4</v>
      </c>
      <c r="F62" s="5">
        <v>301.64</v>
      </c>
      <c r="G62" s="5" t="s">
        <v>39</v>
      </c>
      <c r="H62" s="5">
        <v>442.6</v>
      </c>
      <c r="I62" s="5" t="s">
        <v>39</v>
      </c>
      <c r="J62" s="5">
        <v>10.25576</v>
      </c>
      <c r="K62" s="5">
        <f t="shared" si="0"/>
        <v>2.5639400000000001</v>
      </c>
      <c r="L62" s="5">
        <f t="shared" si="1"/>
        <v>75.41</v>
      </c>
      <c r="M62" s="5" t="s">
        <v>39</v>
      </c>
      <c r="N62" s="5">
        <v>10.25576</v>
      </c>
      <c r="O62" s="5" t="s">
        <v>39</v>
      </c>
      <c r="P62" t="s">
        <v>241</v>
      </c>
      <c r="Q62" t="s">
        <v>242</v>
      </c>
      <c r="R62" t="s">
        <v>37</v>
      </c>
      <c r="S62" t="s">
        <v>243</v>
      </c>
      <c r="T62" t="s">
        <v>43</v>
      </c>
      <c r="U62" t="s">
        <v>44</v>
      </c>
      <c r="V62">
        <v>147</v>
      </c>
      <c r="W62" t="s">
        <v>45</v>
      </c>
      <c r="X62" t="s">
        <v>53</v>
      </c>
      <c r="Y62" t="s">
        <v>244</v>
      </c>
      <c r="Z62" t="s">
        <v>37</v>
      </c>
      <c r="AA62" t="s">
        <v>48</v>
      </c>
      <c r="AB62" t="s">
        <v>37</v>
      </c>
      <c r="AC62" s="6" t="s">
        <v>37</v>
      </c>
      <c r="AD62" s="6" t="s">
        <v>37</v>
      </c>
      <c r="AE62" t="s">
        <v>37</v>
      </c>
      <c r="AF62" t="s">
        <v>37</v>
      </c>
      <c r="AG62" s="6" t="s">
        <v>37</v>
      </c>
      <c r="AH62" t="s">
        <v>37</v>
      </c>
      <c r="AI62" t="s">
        <v>37</v>
      </c>
      <c r="AJ62" t="str">
        <f t="shared" si="2"/>
        <v>8E4YHFGVB07W6HDNNV</v>
      </c>
    </row>
    <row r="63" spans="1:36" ht="15" customHeight="1" x14ac:dyDescent="0.25">
      <c r="A63" t="s">
        <v>49</v>
      </c>
      <c r="B63" t="s">
        <v>37</v>
      </c>
      <c r="C63" t="s">
        <v>37</v>
      </c>
      <c r="D63" t="s">
        <v>38</v>
      </c>
      <c r="E63" s="4">
        <v>4</v>
      </c>
      <c r="F63" s="5">
        <v>314.48</v>
      </c>
      <c r="G63" s="5" t="s">
        <v>39</v>
      </c>
      <c r="H63" s="5">
        <v>508.16</v>
      </c>
      <c r="I63" s="5" t="s">
        <v>39</v>
      </c>
      <c r="J63" s="5">
        <v>10.69232</v>
      </c>
      <c r="K63" s="5">
        <f t="shared" si="0"/>
        <v>2.6730800000000001</v>
      </c>
      <c r="L63" s="5">
        <f t="shared" si="1"/>
        <v>78.62</v>
      </c>
      <c r="M63" s="5" t="s">
        <v>39</v>
      </c>
      <c r="N63" s="5">
        <v>10.69232</v>
      </c>
      <c r="O63" s="5" t="s">
        <v>39</v>
      </c>
      <c r="P63" t="s">
        <v>78</v>
      </c>
      <c r="Q63" t="s">
        <v>223</v>
      </c>
      <c r="R63" t="s">
        <v>37</v>
      </c>
      <c r="S63" t="s">
        <v>224</v>
      </c>
      <c r="T63" t="s">
        <v>43</v>
      </c>
      <c r="U63" t="s">
        <v>44</v>
      </c>
      <c r="V63">
        <v>147</v>
      </c>
      <c r="W63" t="s">
        <v>45</v>
      </c>
      <c r="X63" t="s">
        <v>177</v>
      </c>
      <c r="Y63" t="s">
        <v>225</v>
      </c>
      <c r="Z63" t="s">
        <v>37</v>
      </c>
      <c r="AA63" t="s">
        <v>145</v>
      </c>
      <c r="AB63" t="s">
        <v>37</v>
      </c>
      <c r="AC63" s="6" t="s">
        <v>37</v>
      </c>
      <c r="AD63" s="6" t="s">
        <v>37</v>
      </c>
      <c r="AE63" t="s">
        <v>37</v>
      </c>
      <c r="AF63" t="s">
        <v>37</v>
      </c>
      <c r="AG63" s="6" t="s">
        <v>37</v>
      </c>
      <c r="AH63" t="s">
        <v>37</v>
      </c>
      <c r="AI63" t="s">
        <v>37</v>
      </c>
      <c r="AJ63" t="str">
        <f t="shared" si="2"/>
        <v>135JM91XB07W7KT2B3</v>
      </c>
    </row>
    <row r="64" spans="1:36" ht="15" customHeight="1" x14ac:dyDescent="0.25">
      <c r="A64" t="s">
        <v>67</v>
      </c>
      <c r="B64" t="s">
        <v>37</v>
      </c>
      <c r="C64" t="s">
        <v>37</v>
      </c>
      <c r="D64" t="s">
        <v>38</v>
      </c>
      <c r="E64" s="4">
        <v>8</v>
      </c>
      <c r="F64" s="5">
        <v>1851.76</v>
      </c>
      <c r="G64" s="5" t="s">
        <v>39</v>
      </c>
      <c r="H64" s="5">
        <v>1851.76</v>
      </c>
      <c r="I64" s="5" t="s">
        <v>39</v>
      </c>
      <c r="J64" s="5">
        <v>62.95984</v>
      </c>
      <c r="K64" s="5">
        <f t="shared" si="0"/>
        <v>7.86998</v>
      </c>
      <c r="L64" s="5">
        <f t="shared" si="1"/>
        <v>231.47</v>
      </c>
      <c r="M64" s="5" t="s">
        <v>39</v>
      </c>
      <c r="N64" s="5">
        <v>62.95984</v>
      </c>
      <c r="O64" s="5" t="s">
        <v>39</v>
      </c>
      <c r="P64" t="s">
        <v>245</v>
      </c>
      <c r="Q64" t="s">
        <v>246</v>
      </c>
      <c r="R64" t="s">
        <v>37</v>
      </c>
      <c r="S64" t="s">
        <v>247</v>
      </c>
      <c r="T64" t="s">
        <v>43</v>
      </c>
      <c r="U64" t="s">
        <v>44</v>
      </c>
      <c r="V64">
        <v>147</v>
      </c>
      <c r="W64" t="s">
        <v>45</v>
      </c>
      <c r="X64" t="s">
        <v>248</v>
      </c>
      <c r="Y64" t="s">
        <v>249</v>
      </c>
      <c r="Z64" t="s">
        <v>37</v>
      </c>
      <c r="AA64" t="s">
        <v>48</v>
      </c>
      <c r="AB64" t="s">
        <v>37</v>
      </c>
      <c r="AC64" s="6" t="s">
        <v>37</v>
      </c>
      <c r="AD64" s="6" t="s">
        <v>37</v>
      </c>
      <c r="AE64" t="s">
        <v>37</v>
      </c>
      <c r="AF64" t="s">
        <v>37</v>
      </c>
      <c r="AG64" s="6" t="s">
        <v>37</v>
      </c>
      <c r="AH64" t="s">
        <v>37</v>
      </c>
      <c r="AI64" t="s">
        <v>37</v>
      </c>
      <c r="AJ64" t="str">
        <f t="shared" si="2"/>
        <v>6ZGQP34KB004MY4PU6</v>
      </c>
    </row>
    <row r="65" spans="1:36" ht="15" customHeight="1" x14ac:dyDescent="0.25">
      <c r="A65" t="s">
        <v>133</v>
      </c>
      <c r="B65" t="s">
        <v>37</v>
      </c>
      <c r="C65" t="s">
        <v>37</v>
      </c>
      <c r="D65" t="s">
        <v>38</v>
      </c>
      <c r="E65" s="4">
        <v>6</v>
      </c>
      <c r="F65" s="5">
        <v>883.26</v>
      </c>
      <c r="G65" s="5" t="s">
        <v>39</v>
      </c>
      <c r="H65" s="5">
        <v>1426.2</v>
      </c>
      <c r="I65" s="5" t="s">
        <v>39</v>
      </c>
      <c r="J65" s="5">
        <v>30.030840000000001</v>
      </c>
      <c r="K65" s="5">
        <f t="shared" si="0"/>
        <v>5.0051399999999999</v>
      </c>
      <c r="L65" s="5">
        <f t="shared" si="1"/>
        <v>147.21</v>
      </c>
      <c r="M65" s="5" t="s">
        <v>39</v>
      </c>
      <c r="N65" s="5">
        <v>30.030840000000001</v>
      </c>
      <c r="O65" s="5" t="s">
        <v>39</v>
      </c>
      <c r="P65" t="s">
        <v>250</v>
      </c>
      <c r="Q65" t="s">
        <v>104</v>
      </c>
      <c r="R65" t="s">
        <v>37</v>
      </c>
      <c r="S65" t="s">
        <v>105</v>
      </c>
      <c r="T65" t="s">
        <v>43</v>
      </c>
      <c r="U65" t="s">
        <v>44</v>
      </c>
      <c r="V65">
        <v>147</v>
      </c>
      <c r="W65" t="s">
        <v>45</v>
      </c>
      <c r="X65" t="s">
        <v>46</v>
      </c>
      <c r="Y65" t="s">
        <v>106</v>
      </c>
      <c r="Z65" t="s">
        <v>37</v>
      </c>
      <c r="AA65" t="s">
        <v>107</v>
      </c>
      <c r="AB65" t="s">
        <v>37</v>
      </c>
      <c r="AC65" s="6" t="s">
        <v>37</v>
      </c>
      <c r="AD65" s="6" t="s">
        <v>37</v>
      </c>
      <c r="AE65" t="s">
        <v>37</v>
      </c>
      <c r="AF65" t="s">
        <v>37</v>
      </c>
      <c r="AG65" s="6" t="s">
        <v>37</v>
      </c>
      <c r="AH65" t="s">
        <v>37</v>
      </c>
      <c r="AI65" t="s">
        <v>37</v>
      </c>
      <c r="AJ65" t="str">
        <f t="shared" si="2"/>
        <v>3O2Z95HBB07JGCM9QM</v>
      </c>
    </row>
    <row r="66" spans="1:36" ht="15" customHeight="1" x14ac:dyDescent="0.25">
      <c r="A66" t="s">
        <v>133</v>
      </c>
      <c r="B66" t="s">
        <v>37</v>
      </c>
      <c r="C66" t="s">
        <v>37</v>
      </c>
      <c r="D66" t="s">
        <v>38</v>
      </c>
      <c r="E66" s="4">
        <v>24</v>
      </c>
      <c r="F66" s="5">
        <v>702.72</v>
      </c>
      <c r="G66" s="5" t="s">
        <v>39</v>
      </c>
      <c r="H66" s="5">
        <v>1022.64</v>
      </c>
      <c r="I66" s="5" t="s">
        <v>39</v>
      </c>
      <c r="J66" s="5">
        <v>23.892479999999999</v>
      </c>
      <c r="K66" s="5">
        <f t="shared" si="0"/>
        <v>0.99551999999999996</v>
      </c>
      <c r="L66" s="5">
        <f t="shared" si="1"/>
        <v>29.28</v>
      </c>
      <c r="M66" s="5" t="s">
        <v>39</v>
      </c>
      <c r="N66" s="5">
        <v>23.892479999999999</v>
      </c>
      <c r="O66" s="5" t="s">
        <v>39</v>
      </c>
      <c r="P66" t="s">
        <v>189</v>
      </c>
      <c r="Q66" t="s">
        <v>251</v>
      </c>
      <c r="R66" t="s">
        <v>37</v>
      </c>
      <c r="S66" t="s">
        <v>252</v>
      </c>
      <c r="T66" t="s">
        <v>43</v>
      </c>
      <c r="U66" t="s">
        <v>44</v>
      </c>
      <c r="V66">
        <v>147</v>
      </c>
      <c r="W66" t="s">
        <v>45</v>
      </c>
      <c r="X66" t="s">
        <v>75</v>
      </c>
      <c r="Y66" t="s">
        <v>253</v>
      </c>
      <c r="Z66" t="s">
        <v>37</v>
      </c>
      <c r="AA66" t="s">
        <v>61</v>
      </c>
      <c r="AB66" t="s">
        <v>37</v>
      </c>
      <c r="AC66" s="6" t="s">
        <v>37</v>
      </c>
      <c r="AD66" s="6" t="s">
        <v>37</v>
      </c>
      <c r="AE66" t="s">
        <v>37</v>
      </c>
      <c r="AF66" t="s">
        <v>37</v>
      </c>
      <c r="AG66" s="6" t="s">
        <v>37</v>
      </c>
      <c r="AH66" t="s">
        <v>37</v>
      </c>
      <c r="AI66" t="s">
        <v>37</v>
      </c>
      <c r="AJ66" t="str">
        <f t="shared" si="2"/>
        <v>6DPU2MKPB07W5JHXF8</v>
      </c>
    </row>
    <row r="67" spans="1:36" ht="15" customHeight="1" x14ac:dyDescent="0.25">
      <c r="A67" t="s">
        <v>36</v>
      </c>
      <c r="B67" t="s">
        <v>37</v>
      </c>
      <c r="C67" t="s">
        <v>37</v>
      </c>
      <c r="D67" t="s">
        <v>38</v>
      </c>
      <c r="E67" s="4">
        <v>52</v>
      </c>
      <c r="F67" s="5">
        <v>1371.24</v>
      </c>
      <c r="G67" s="5" t="s">
        <v>39</v>
      </c>
      <c r="H67" s="5">
        <v>2215.7199999999998</v>
      </c>
      <c r="I67" s="5" t="s">
        <v>39</v>
      </c>
      <c r="J67" s="5">
        <v>46.622160000000001</v>
      </c>
      <c r="K67" s="5">
        <f t="shared" ref="K67:K130" si="3">J67/E67</f>
        <v>0.89658000000000004</v>
      </c>
      <c r="L67" s="5">
        <f t="shared" ref="L67:L130" si="4">F67/E67</f>
        <v>26.37</v>
      </c>
      <c r="M67" s="5" t="s">
        <v>39</v>
      </c>
      <c r="N67" s="5">
        <v>46.622160000000001</v>
      </c>
      <c r="O67" s="5" t="s">
        <v>39</v>
      </c>
      <c r="P67" t="s">
        <v>254</v>
      </c>
      <c r="Q67" t="s">
        <v>255</v>
      </c>
      <c r="R67" t="s">
        <v>37</v>
      </c>
      <c r="S67" t="s">
        <v>256</v>
      </c>
      <c r="T67" t="s">
        <v>43</v>
      </c>
      <c r="U67" t="s">
        <v>44</v>
      </c>
      <c r="V67">
        <v>147</v>
      </c>
      <c r="W67" t="s">
        <v>45</v>
      </c>
      <c r="X67" t="s">
        <v>53</v>
      </c>
      <c r="Y67" t="s">
        <v>257</v>
      </c>
      <c r="Z67" t="s">
        <v>37</v>
      </c>
      <c r="AA67" t="s">
        <v>61</v>
      </c>
      <c r="AB67" t="s">
        <v>37</v>
      </c>
      <c r="AC67" s="6" t="s">
        <v>37</v>
      </c>
      <c r="AD67" s="6" t="s">
        <v>37</v>
      </c>
      <c r="AE67" t="s">
        <v>37</v>
      </c>
      <c r="AF67" t="s">
        <v>37</v>
      </c>
      <c r="AG67" s="6" t="s">
        <v>37</v>
      </c>
      <c r="AH67" t="s">
        <v>37</v>
      </c>
      <c r="AI67" t="s">
        <v>37</v>
      </c>
      <c r="AJ67" t="str">
        <f t="shared" ref="AJ67:AJ130" si="5">P67&amp;Q67</f>
        <v>1O6JEKYWB0766JZ8Q3</v>
      </c>
    </row>
    <row r="68" spans="1:36" ht="15" customHeight="1" x14ac:dyDescent="0.25">
      <c r="A68" t="s">
        <v>127</v>
      </c>
      <c r="B68" t="s">
        <v>37</v>
      </c>
      <c r="C68" t="s">
        <v>37</v>
      </c>
      <c r="D68" t="s">
        <v>38</v>
      </c>
      <c r="E68" s="4">
        <v>2</v>
      </c>
      <c r="F68" s="5">
        <v>294.42</v>
      </c>
      <c r="G68" s="5" t="s">
        <v>39</v>
      </c>
      <c r="H68" s="5">
        <v>475.4</v>
      </c>
      <c r="I68" s="5" t="s">
        <v>39</v>
      </c>
      <c r="J68" s="5">
        <v>10.01028</v>
      </c>
      <c r="K68" s="5">
        <f t="shared" si="3"/>
        <v>5.0051399999999999</v>
      </c>
      <c r="L68" s="5">
        <f t="shared" si="4"/>
        <v>147.21</v>
      </c>
      <c r="M68" s="5" t="s">
        <v>39</v>
      </c>
      <c r="N68" s="5">
        <v>10.01028</v>
      </c>
      <c r="O68" s="5" t="s">
        <v>39</v>
      </c>
      <c r="P68" t="s">
        <v>250</v>
      </c>
      <c r="Q68" t="s">
        <v>104</v>
      </c>
      <c r="R68" t="s">
        <v>37</v>
      </c>
      <c r="S68" t="s">
        <v>105</v>
      </c>
      <c r="T68" t="s">
        <v>43</v>
      </c>
      <c r="U68" t="s">
        <v>44</v>
      </c>
      <c r="V68">
        <v>147</v>
      </c>
      <c r="W68" t="s">
        <v>45</v>
      </c>
      <c r="X68" t="s">
        <v>46</v>
      </c>
      <c r="Y68" t="s">
        <v>106</v>
      </c>
      <c r="Z68" t="s">
        <v>37</v>
      </c>
      <c r="AA68" t="s">
        <v>107</v>
      </c>
      <c r="AB68" t="s">
        <v>37</v>
      </c>
      <c r="AC68" s="6" t="s">
        <v>37</v>
      </c>
      <c r="AD68" s="6" t="s">
        <v>37</v>
      </c>
      <c r="AE68" t="s">
        <v>37</v>
      </c>
      <c r="AF68" t="s">
        <v>37</v>
      </c>
      <c r="AG68" s="6" t="s">
        <v>37</v>
      </c>
      <c r="AH68" t="s">
        <v>37</v>
      </c>
      <c r="AI68" t="s">
        <v>37</v>
      </c>
      <c r="AJ68" t="str">
        <f t="shared" si="5"/>
        <v>3O2Z95HBB07JGCM9QM</v>
      </c>
    </row>
    <row r="69" spans="1:36" ht="15" customHeight="1" x14ac:dyDescent="0.25">
      <c r="A69" t="s">
        <v>36</v>
      </c>
      <c r="B69" t="s">
        <v>37</v>
      </c>
      <c r="C69" t="s">
        <v>37</v>
      </c>
      <c r="D69" t="s">
        <v>38</v>
      </c>
      <c r="E69" s="4">
        <v>4</v>
      </c>
      <c r="F69" s="5">
        <v>126.6</v>
      </c>
      <c r="G69" s="5" t="s">
        <v>39</v>
      </c>
      <c r="H69" s="5">
        <v>203.24</v>
      </c>
      <c r="I69" s="5" t="s">
        <v>39</v>
      </c>
      <c r="J69" s="5">
        <v>4.3044000000000002</v>
      </c>
      <c r="K69" s="5">
        <f t="shared" si="3"/>
        <v>1.0761000000000001</v>
      </c>
      <c r="L69" s="5">
        <f t="shared" si="4"/>
        <v>31.65</v>
      </c>
      <c r="M69" s="5" t="s">
        <v>39</v>
      </c>
      <c r="N69" s="5">
        <v>4.3044000000000002</v>
      </c>
      <c r="O69" s="5" t="s">
        <v>39</v>
      </c>
      <c r="P69" t="s">
        <v>258</v>
      </c>
      <c r="Q69" t="s">
        <v>259</v>
      </c>
      <c r="R69" t="s">
        <v>37</v>
      </c>
      <c r="S69" t="s">
        <v>260</v>
      </c>
      <c r="T69" t="s">
        <v>43</v>
      </c>
      <c r="U69" t="s">
        <v>44</v>
      </c>
      <c r="V69">
        <v>147</v>
      </c>
      <c r="W69" t="s">
        <v>45</v>
      </c>
      <c r="X69" t="s">
        <v>53</v>
      </c>
      <c r="Y69" t="s">
        <v>261</v>
      </c>
      <c r="Z69" t="s">
        <v>37</v>
      </c>
      <c r="AA69" t="s">
        <v>61</v>
      </c>
      <c r="AB69" t="s">
        <v>37</v>
      </c>
      <c r="AC69" s="6" t="s">
        <v>37</v>
      </c>
      <c r="AD69" s="6" t="s">
        <v>37</v>
      </c>
      <c r="AE69" t="s">
        <v>37</v>
      </c>
      <c r="AF69" t="s">
        <v>37</v>
      </c>
      <c r="AG69" s="6" t="s">
        <v>37</v>
      </c>
      <c r="AH69" t="s">
        <v>37</v>
      </c>
      <c r="AI69" t="s">
        <v>37</v>
      </c>
      <c r="AJ69" t="str">
        <f t="shared" si="5"/>
        <v>3461KSJBB07W6J52LN</v>
      </c>
    </row>
    <row r="70" spans="1:36" ht="15" customHeight="1" x14ac:dyDescent="0.25">
      <c r="A70" t="s">
        <v>262</v>
      </c>
      <c r="B70" t="s">
        <v>37</v>
      </c>
      <c r="C70" t="s">
        <v>37</v>
      </c>
      <c r="D70" t="s">
        <v>38</v>
      </c>
      <c r="E70" s="4">
        <v>141</v>
      </c>
      <c r="F70" s="5">
        <v>29683.32</v>
      </c>
      <c r="G70" s="5" t="s">
        <v>39</v>
      </c>
      <c r="H70" s="5">
        <v>47384.46</v>
      </c>
      <c r="I70" s="5" t="s">
        <v>39</v>
      </c>
      <c r="J70" s="5">
        <v>1009.23288</v>
      </c>
      <c r="K70" s="5">
        <f t="shared" si="3"/>
        <v>7.15768</v>
      </c>
      <c r="L70" s="5">
        <f t="shared" si="4"/>
        <v>210.52</v>
      </c>
      <c r="M70" s="5" t="s">
        <v>39</v>
      </c>
      <c r="N70" s="5">
        <v>1009.23288</v>
      </c>
      <c r="O70" s="5" t="s">
        <v>39</v>
      </c>
      <c r="P70" t="s">
        <v>263</v>
      </c>
      <c r="Q70" t="s">
        <v>216</v>
      </c>
      <c r="R70" t="s">
        <v>37</v>
      </c>
      <c r="S70" t="s">
        <v>217</v>
      </c>
      <c r="T70" t="s">
        <v>43</v>
      </c>
      <c r="U70" t="s">
        <v>44</v>
      </c>
      <c r="V70">
        <v>147</v>
      </c>
      <c r="W70" t="s">
        <v>45</v>
      </c>
      <c r="X70" t="s">
        <v>46</v>
      </c>
      <c r="Y70" t="s">
        <v>218</v>
      </c>
      <c r="Z70" t="s">
        <v>37</v>
      </c>
      <c r="AA70" t="s">
        <v>61</v>
      </c>
      <c r="AB70" t="s">
        <v>37</v>
      </c>
      <c r="AC70" s="6" t="s">
        <v>37</v>
      </c>
      <c r="AD70" s="6" t="s">
        <v>37</v>
      </c>
      <c r="AE70" t="s">
        <v>37</v>
      </c>
      <c r="AF70" t="s">
        <v>37</v>
      </c>
      <c r="AG70" s="6" t="s">
        <v>37</v>
      </c>
      <c r="AH70" t="s">
        <v>37</v>
      </c>
      <c r="AI70" t="s">
        <v>37</v>
      </c>
      <c r="AJ70" t="str">
        <f t="shared" si="5"/>
        <v>3B2Q175VB00YUIM2J0</v>
      </c>
    </row>
    <row r="71" spans="1:36" ht="15" customHeight="1" x14ac:dyDescent="0.25">
      <c r="A71" t="s">
        <v>264</v>
      </c>
      <c r="B71" t="s">
        <v>37</v>
      </c>
      <c r="C71" t="s">
        <v>37</v>
      </c>
      <c r="D71" t="s">
        <v>38</v>
      </c>
      <c r="E71" s="4">
        <v>10</v>
      </c>
      <c r="F71" s="5">
        <v>99.5</v>
      </c>
      <c r="G71" s="5" t="s">
        <v>39</v>
      </c>
      <c r="H71" s="5">
        <v>122.9</v>
      </c>
      <c r="I71" s="5" t="s">
        <v>39</v>
      </c>
      <c r="J71" s="5">
        <v>3.383</v>
      </c>
      <c r="K71" s="5">
        <f t="shared" si="3"/>
        <v>0.33829999999999999</v>
      </c>
      <c r="L71" s="5">
        <f t="shared" si="4"/>
        <v>9.9499999999999993</v>
      </c>
      <c r="M71" s="5" t="s">
        <v>39</v>
      </c>
      <c r="N71" s="5">
        <v>3.383</v>
      </c>
      <c r="O71" s="5" t="s">
        <v>39</v>
      </c>
      <c r="P71" t="s">
        <v>265</v>
      </c>
      <c r="Q71" t="s">
        <v>202</v>
      </c>
      <c r="R71" t="s">
        <v>37</v>
      </c>
      <c r="S71" t="s">
        <v>203</v>
      </c>
      <c r="T71" t="s">
        <v>43</v>
      </c>
      <c r="U71" t="s">
        <v>44</v>
      </c>
      <c r="V71">
        <v>147</v>
      </c>
      <c r="W71" t="s">
        <v>45</v>
      </c>
      <c r="X71" t="s">
        <v>75</v>
      </c>
      <c r="Y71" t="s">
        <v>204</v>
      </c>
      <c r="Z71" t="s">
        <v>37</v>
      </c>
      <c r="AA71" t="s">
        <v>61</v>
      </c>
      <c r="AB71" t="s">
        <v>37</v>
      </c>
      <c r="AC71" s="6" t="s">
        <v>37</v>
      </c>
      <c r="AD71" s="6" t="s">
        <v>37</v>
      </c>
      <c r="AE71" t="s">
        <v>37</v>
      </c>
      <c r="AF71" t="s">
        <v>37</v>
      </c>
      <c r="AG71" s="6" t="s">
        <v>37</v>
      </c>
      <c r="AH71" t="s">
        <v>37</v>
      </c>
      <c r="AI71" t="s">
        <v>37</v>
      </c>
      <c r="AJ71" t="str">
        <f t="shared" si="5"/>
        <v>3UTU3G8KB003PAMIA2</v>
      </c>
    </row>
    <row r="72" spans="1:36" ht="15" customHeight="1" x14ac:dyDescent="0.25">
      <c r="A72" t="s">
        <v>49</v>
      </c>
      <c r="B72" t="s">
        <v>37</v>
      </c>
      <c r="C72" t="s">
        <v>37</v>
      </c>
      <c r="D72" t="s">
        <v>38</v>
      </c>
      <c r="E72" s="4">
        <v>4</v>
      </c>
      <c r="F72" s="5">
        <v>301.64</v>
      </c>
      <c r="G72" s="5" t="s">
        <v>39</v>
      </c>
      <c r="H72" s="5">
        <v>442.6</v>
      </c>
      <c r="I72" s="5" t="s">
        <v>39</v>
      </c>
      <c r="J72" s="5">
        <v>10.25576</v>
      </c>
      <c r="K72" s="5">
        <f t="shared" si="3"/>
        <v>2.5639400000000001</v>
      </c>
      <c r="L72" s="5">
        <f t="shared" si="4"/>
        <v>75.41</v>
      </c>
      <c r="M72" s="5" t="s">
        <v>39</v>
      </c>
      <c r="N72" s="5">
        <v>10.25576</v>
      </c>
      <c r="O72" s="5" t="s">
        <v>39</v>
      </c>
      <c r="P72" t="s">
        <v>123</v>
      </c>
      <c r="Q72" t="s">
        <v>266</v>
      </c>
      <c r="R72" t="s">
        <v>37</v>
      </c>
      <c r="S72" t="s">
        <v>267</v>
      </c>
      <c r="T72" t="s">
        <v>43</v>
      </c>
      <c r="U72" t="s">
        <v>44</v>
      </c>
      <c r="V72">
        <v>147</v>
      </c>
      <c r="W72" t="s">
        <v>45</v>
      </c>
      <c r="X72" t="s">
        <v>75</v>
      </c>
      <c r="Y72" t="s">
        <v>268</v>
      </c>
      <c r="Z72" t="s">
        <v>37</v>
      </c>
      <c r="AA72" t="s">
        <v>145</v>
      </c>
      <c r="AB72" t="s">
        <v>37</v>
      </c>
      <c r="AC72" s="6" t="s">
        <v>37</v>
      </c>
      <c r="AD72" s="6" t="s">
        <v>37</v>
      </c>
      <c r="AE72" t="s">
        <v>37</v>
      </c>
      <c r="AF72" t="s">
        <v>37</v>
      </c>
      <c r="AG72" s="6" t="s">
        <v>37</v>
      </c>
      <c r="AH72" t="s">
        <v>37</v>
      </c>
      <c r="AI72" t="s">
        <v>37</v>
      </c>
      <c r="AJ72" t="str">
        <f t="shared" si="5"/>
        <v>81V4YVNTB07W6FNF6N</v>
      </c>
    </row>
    <row r="73" spans="1:36" ht="15" customHeight="1" x14ac:dyDescent="0.25">
      <c r="A73" t="s">
        <v>102</v>
      </c>
      <c r="B73" t="s">
        <v>37</v>
      </c>
      <c r="C73" t="s">
        <v>37</v>
      </c>
      <c r="D73" t="s">
        <v>38</v>
      </c>
      <c r="E73" s="4">
        <v>168</v>
      </c>
      <c r="F73" s="5">
        <v>4919.04</v>
      </c>
      <c r="G73" s="5" t="s">
        <v>39</v>
      </c>
      <c r="H73" s="5">
        <v>4919.04</v>
      </c>
      <c r="I73" s="5" t="s">
        <v>39</v>
      </c>
      <c r="J73" s="5">
        <v>167.24735999999999</v>
      </c>
      <c r="K73" s="5">
        <f t="shared" si="3"/>
        <v>0.99551999999999996</v>
      </c>
      <c r="L73" s="5">
        <f t="shared" si="4"/>
        <v>29.28</v>
      </c>
      <c r="M73" s="5" t="s">
        <v>39</v>
      </c>
      <c r="N73" s="5">
        <v>167.24735999999999</v>
      </c>
      <c r="O73" s="5" t="s">
        <v>39</v>
      </c>
      <c r="P73" t="s">
        <v>212</v>
      </c>
      <c r="Q73" t="s">
        <v>269</v>
      </c>
      <c r="R73" t="s">
        <v>37</v>
      </c>
      <c r="S73" t="s">
        <v>270</v>
      </c>
      <c r="T73" t="s">
        <v>43</v>
      </c>
      <c r="U73" t="s">
        <v>44</v>
      </c>
      <c r="V73">
        <v>147</v>
      </c>
      <c r="W73" t="s">
        <v>45</v>
      </c>
      <c r="X73" t="s">
        <v>248</v>
      </c>
      <c r="Y73" t="s">
        <v>271</v>
      </c>
      <c r="Z73" t="s">
        <v>37</v>
      </c>
      <c r="AA73" t="s">
        <v>145</v>
      </c>
      <c r="AB73" t="s">
        <v>37</v>
      </c>
      <c r="AC73" s="6" t="s">
        <v>37</v>
      </c>
      <c r="AD73" s="6" t="s">
        <v>37</v>
      </c>
      <c r="AE73" t="s">
        <v>37</v>
      </c>
      <c r="AF73" t="s">
        <v>37</v>
      </c>
      <c r="AG73" s="6" t="s">
        <v>37</v>
      </c>
      <c r="AH73" t="s">
        <v>37</v>
      </c>
      <c r="AI73" t="s">
        <v>37</v>
      </c>
      <c r="AJ73" t="str">
        <f t="shared" si="5"/>
        <v>4AY3K18CB00EUUXBDE</v>
      </c>
    </row>
    <row r="74" spans="1:36" ht="15" customHeight="1" x14ac:dyDescent="0.25">
      <c r="A74" t="s">
        <v>36</v>
      </c>
      <c r="B74" t="s">
        <v>37</v>
      </c>
      <c r="C74" t="s">
        <v>37</v>
      </c>
      <c r="D74" t="s">
        <v>38</v>
      </c>
      <c r="E74" s="4">
        <v>12</v>
      </c>
      <c r="F74" s="5">
        <v>351.36</v>
      </c>
      <c r="G74" s="5" t="s">
        <v>39</v>
      </c>
      <c r="H74" s="5">
        <v>351.36</v>
      </c>
      <c r="I74" s="5" t="s">
        <v>39</v>
      </c>
      <c r="J74" s="5">
        <v>11.94624</v>
      </c>
      <c r="K74" s="5">
        <f t="shared" si="3"/>
        <v>0.99551999999999996</v>
      </c>
      <c r="L74" s="5">
        <f t="shared" si="4"/>
        <v>29.28</v>
      </c>
      <c r="M74" s="5" t="s">
        <v>39</v>
      </c>
      <c r="N74" s="5">
        <v>11.94624</v>
      </c>
      <c r="O74" s="5" t="s">
        <v>39</v>
      </c>
      <c r="P74" t="s">
        <v>212</v>
      </c>
      <c r="Q74" t="s">
        <v>269</v>
      </c>
      <c r="R74" t="s">
        <v>37</v>
      </c>
      <c r="S74" t="s">
        <v>270</v>
      </c>
      <c r="T74" t="s">
        <v>43</v>
      </c>
      <c r="U74" t="s">
        <v>44</v>
      </c>
      <c r="V74">
        <v>147</v>
      </c>
      <c r="W74" t="s">
        <v>45</v>
      </c>
      <c r="X74" t="s">
        <v>248</v>
      </c>
      <c r="Y74" t="s">
        <v>271</v>
      </c>
      <c r="Z74" t="s">
        <v>37</v>
      </c>
      <c r="AA74" t="s">
        <v>145</v>
      </c>
      <c r="AB74" t="s">
        <v>37</v>
      </c>
      <c r="AC74" s="6" t="s">
        <v>37</v>
      </c>
      <c r="AD74" s="6" t="s">
        <v>37</v>
      </c>
      <c r="AE74" t="s">
        <v>37</v>
      </c>
      <c r="AF74" t="s">
        <v>37</v>
      </c>
      <c r="AG74" s="6" t="s">
        <v>37</v>
      </c>
      <c r="AH74" t="s">
        <v>37</v>
      </c>
      <c r="AI74" t="s">
        <v>37</v>
      </c>
      <c r="AJ74" t="str">
        <f t="shared" si="5"/>
        <v>4AY3K18CB00EUUXBDE</v>
      </c>
    </row>
    <row r="75" spans="1:36" ht="15" customHeight="1" x14ac:dyDescent="0.25">
      <c r="A75" t="s">
        <v>36</v>
      </c>
      <c r="B75" t="s">
        <v>37</v>
      </c>
      <c r="C75" t="s">
        <v>37</v>
      </c>
      <c r="D75" t="s">
        <v>38</v>
      </c>
      <c r="E75" s="4">
        <v>16</v>
      </c>
      <c r="F75" s="5">
        <v>176.32</v>
      </c>
      <c r="G75" s="5" t="s">
        <v>39</v>
      </c>
      <c r="H75" s="5">
        <v>249.12</v>
      </c>
      <c r="I75" s="5" t="s">
        <v>39</v>
      </c>
      <c r="J75" s="5">
        <v>5.9948800000000002</v>
      </c>
      <c r="K75" s="5">
        <f t="shared" si="3"/>
        <v>0.37468000000000001</v>
      </c>
      <c r="L75" s="5">
        <f t="shared" si="4"/>
        <v>11.02</v>
      </c>
      <c r="M75" s="5" t="s">
        <v>39</v>
      </c>
      <c r="N75" s="5">
        <v>5.9948800000000002</v>
      </c>
      <c r="O75" s="5" t="s">
        <v>39</v>
      </c>
      <c r="P75" t="s">
        <v>40</v>
      </c>
      <c r="Q75" t="s">
        <v>272</v>
      </c>
      <c r="R75" t="s">
        <v>37</v>
      </c>
      <c r="S75" t="s">
        <v>273</v>
      </c>
      <c r="T75" t="s">
        <v>43</v>
      </c>
      <c r="U75" t="s">
        <v>44</v>
      </c>
      <c r="V75">
        <v>147</v>
      </c>
      <c r="W75" t="s">
        <v>45</v>
      </c>
      <c r="X75" t="s">
        <v>75</v>
      </c>
      <c r="Y75" t="s">
        <v>274</v>
      </c>
      <c r="Z75" t="s">
        <v>37</v>
      </c>
      <c r="AA75" t="s">
        <v>61</v>
      </c>
      <c r="AB75" t="s">
        <v>37</v>
      </c>
      <c r="AC75" s="6" t="s">
        <v>37</v>
      </c>
      <c r="AD75" s="6" t="s">
        <v>37</v>
      </c>
      <c r="AE75" t="s">
        <v>37</v>
      </c>
      <c r="AF75" t="s">
        <v>37</v>
      </c>
      <c r="AG75" s="6" t="s">
        <v>37</v>
      </c>
      <c r="AH75" t="s">
        <v>37</v>
      </c>
      <c r="AI75" t="s">
        <v>37</v>
      </c>
      <c r="AJ75" t="str">
        <f t="shared" si="5"/>
        <v>8IC45Q9KB07VWZHCNX</v>
      </c>
    </row>
    <row r="76" spans="1:36" ht="15" customHeight="1" x14ac:dyDescent="0.25">
      <c r="A76" t="s">
        <v>36</v>
      </c>
      <c r="B76" t="s">
        <v>37</v>
      </c>
      <c r="C76" t="s">
        <v>37</v>
      </c>
      <c r="D76" t="s">
        <v>38</v>
      </c>
      <c r="E76" s="4">
        <v>124</v>
      </c>
      <c r="F76" s="5">
        <v>6542.24</v>
      </c>
      <c r="G76" s="5" t="s">
        <v>39</v>
      </c>
      <c r="H76" s="5">
        <v>10163.040000000001</v>
      </c>
      <c r="I76" s="5" t="s">
        <v>39</v>
      </c>
      <c r="J76" s="5">
        <v>222.43616</v>
      </c>
      <c r="K76" s="5">
        <f t="shared" si="3"/>
        <v>1.7938400000000001</v>
      </c>
      <c r="L76" s="5">
        <f t="shared" si="4"/>
        <v>52.76</v>
      </c>
      <c r="M76" s="5" t="s">
        <v>39</v>
      </c>
      <c r="N76" s="5">
        <v>222.43616</v>
      </c>
      <c r="O76" s="5" t="s">
        <v>39</v>
      </c>
      <c r="P76" t="s">
        <v>89</v>
      </c>
      <c r="Q76" t="s">
        <v>275</v>
      </c>
      <c r="R76" t="s">
        <v>37</v>
      </c>
      <c r="S76" t="s">
        <v>276</v>
      </c>
      <c r="T76" t="s">
        <v>43</v>
      </c>
      <c r="U76" t="s">
        <v>44</v>
      </c>
      <c r="V76">
        <v>147</v>
      </c>
      <c r="W76" t="s">
        <v>45</v>
      </c>
      <c r="X76" t="s">
        <v>53</v>
      </c>
      <c r="Y76" t="s">
        <v>277</v>
      </c>
      <c r="Z76" t="s">
        <v>37</v>
      </c>
      <c r="AA76" t="s">
        <v>61</v>
      </c>
      <c r="AB76" t="s">
        <v>37</v>
      </c>
      <c r="AC76" s="6" t="s">
        <v>37</v>
      </c>
      <c r="AD76" s="6" t="s">
        <v>37</v>
      </c>
      <c r="AE76" t="s">
        <v>37</v>
      </c>
      <c r="AF76" t="s">
        <v>37</v>
      </c>
      <c r="AG76" s="6" t="s">
        <v>37</v>
      </c>
      <c r="AH76" t="s">
        <v>37</v>
      </c>
      <c r="AI76" t="s">
        <v>37</v>
      </c>
      <c r="AJ76" t="str">
        <f t="shared" si="5"/>
        <v>6D1HFTMSB07S9DR8QG</v>
      </c>
    </row>
    <row r="77" spans="1:36" ht="15" customHeight="1" x14ac:dyDescent="0.25">
      <c r="A77" t="s">
        <v>67</v>
      </c>
      <c r="B77" t="s">
        <v>37</v>
      </c>
      <c r="C77" t="s">
        <v>37</v>
      </c>
      <c r="D77" t="s">
        <v>38</v>
      </c>
      <c r="E77" s="4">
        <v>10</v>
      </c>
      <c r="F77" s="5">
        <v>146.4</v>
      </c>
      <c r="G77" s="5" t="s">
        <v>39</v>
      </c>
      <c r="H77" s="5">
        <v>293.39999999999998</v>
      </c>
      <c r="I77" s="5" t="s">
        <v>39</v>
      </c>
      <c r="J77" s="5">
        <v>4.9775999999999998</v>
      </c>
      <c r="K77" s="5">
        <f t="shared" si="3"/>
        <v>0.49775999999999998</v>
      </c>
      <c r="L77" s="5">
        <f t="shared" si="4"/>
        <v>14.64</v>
      </c>
      <c r="M77" s="5" t="s">
        <v>39</v>
      </c>
      <c r="N77" s="5">
        <v>4.9775999999999998</v>
      </c>
      <c r="O77" s="5" t="s">
        <v>39</v>
      </c>
      <c r="P77" t="s">
        <v>245</v>
      </c>
      <c r="Q77" t="s">
        <v>278</v>
      </c>
      <c r="R77" t="s">
        <v>37</v>
      </c>
      <c r="S77" t="s">
        <v>279</v>
      </c>
      <c r="T77" t="s">
        <v>43</v>
      </c>
      <c r="U77" t="s">
        <v>44</v>
      </c>
      <c r="V77">
        <v>147</v>
      </c>
      <c r="W77" t="s">
        <v>45</v>
      </c>
      <c r="X77" t="s">
        <v>75</v>
      </c>
      <c r="Y77" t="s">
        <v>280</v>
      </c>
      <c r="Z77" t="s">
        <v>37</v>
      </c>
      <c r="AA77" t="s">
        <v>61</v>
      </c>
      <c r="AB77" t="s">
        <v>37</v>
      </c>
      <c r="AC77" s="6" t="s">
        <v>37</v>
      </c>
      <c r="AD77" s="6" t="s">
        <v>37</v>
      </c>
      <c r="AE77" t="s">
        <v>37</v>
      </c>
      <c r="AF77" t="s">
        <v>37</v>
      </c>
      <c r="AG77" s="6" t="s">
        <v>37</v>
      </c>
      <c r="AH77" t="s">
        <v>37</v>
      </c>
      <c r="AI77" t="s">
        <v>37</v>
      </c>
      <c r="AJ77" t="str">
        <f t="shared" si="5"/>
        <v>6ZGQP34KB01I252A34</v>
      </c>
    </row>
    <row r="78" spans="1:36" ht="15" customHeight="1" x14ac:dyDescent="0.25">
      <c r="A78" t="s">
        <v>127</v>
      </c>
      <c r="B78" t="s">
        <v>37</v>
      </c>
      <c r="C78" t="s">
        <v>37</v>
      </c>
      <c r="D78" t="s">
        <v>38</v>
      </c>
      <c r="E78" s="4">
        <v>10</v>
      </c>
      <c r="F78" s="5">
        <v>82</v>
      </c>
      <c r="G78" s="5" t="s">
        <v>39</v>
      </c>
      <c r="H78" s="5">
        <v>113.9</v>
      </c>
      <c r="I78" s="5" t="s">
        <v>39</v>
      </c>
      <c r="J78" s="5">
        <v>2.7879999999999998</v>
      </c>
      <c r="K78" s="5">
        <f t="shared" si="3"/>
        <v>0.27879999999999999</v>
      </c>
      <c r="L78" s="5">
        <f t="shared" si="4"/>
        <v>8.1999999999999993</v>
      </c>
      <c r="M78" s="5" t="s">
        <v>39</v>
      </c>
      <c r="N78" s="5">
        <v>2.7879999999999998</v>
      </c>
      <c r="O78" s="5" t="s">
        <v>39</v>
      </c>
      <c r="P78" t="s">
        <v>250</v>
      </c>
      <c r="Q78" t="s">
        <v>281</v>
      </c>
      <c r="R78" t="s">
        <v>37</v>
      </c>
      <c r="S78" t="s">
        <v>282</v>
      </c>
      <c r="T78" t="s">
        <v>43</v>
      </c>
      <c r="U78" t="s">
        <v>44</v>
      </c>
      <c r="V78">
        <v>147</v>
      </c>
      <c r="W78" t="s">
        <v>45</v>
      </c>
      <c r="X78" t="s">
        <v>75</v>
      </c>
      <c r="Y78" t="s">
        <v>283</v>
      </c>
      <c r="Z78" t="s">
        <v>37</v>
      </c>
      <c r="AA78" t="s">
        <v>61</v>
      </c>
      <c r="AB78" t="s">
        <v>37</v>
      </c>
      <c r="AC78" s="6" t="s">
        <v>37</v>
      </c>
      <c r="AD78" s="6" t="s">
        <v>37</v>
      </c>
      <c r="AE78" t="s">
        <v>37</v>
      </c>
      <c r="AF78" t="s">
        <v>37</v>
      </c>
      <c r="AG78" s="6" t="s">
        <v>37</v>
      </c>
      <c r="AH78" t="s">
        <v>37</v>
      </c>
      <c r="AI78" t="s">
        <v>37</v>
      </c>
      <c r="AJ78" t="str">
        <f t="shared" si="5"/>
        <v>3O2Z95HBB004LAWLPW</v>
      </c>
    </row>
    <row r="79" spans="1:36" ht="15" customHeight="1" x14ac:dyDescent="0.25">
      <c r="A79" t="s">
        <v>62</v>
      </c>
      <c r="B79" t="s">
        <v>37</v>
      </c>
      <c r="C79" t="s">
        <v>37</v>
      </c>
      <c r="D79" t="s">
        <v>38</v>
      </c>
      <c r="E79" s="4">
        <v>36</v>
      </c>
      <c r="F79" s="5">
        <v>949.32</v>
      </c>
      <c r="G79" s="5" t="s">
        <v>39</v>
      </c>
      <c r="H79" s="5">
        <v>1533.96</v>
      </c>
      <c r="I79" s="5" t="s">
        <v>39</v>
      </c>
      <c r="J79" s="5">
        <v>32.276879999999998</v>
      </c>
      <c r="K79" s="5">
        <f t="shared" si="3"/>
        <v>0.89657999999999993</v>
      </c>
      <c r="L79" s="5">
        <f t="shared" si="4"/>
        <v>26.37</v>
      </c>
      <c r="M79" s="5" t="s">
        <v>39</v>
      </c>
      <c r="N79" s="5">
        <v>32.276879999999998</v>
      </c>
      <c r="O79" s="5" t="s">
        <v>39</v>
      </c>
      <c r="P79" t="s">
        <v>63</v>
      </c>
      <c r="Q79" t="s">
        <v>284</v>
      </c>
      <c r="R79" t="s">
        <v>37</v>
      </c>
      <c r="S79" t="s">
        <v>285</v>
      </c>
      <c r="T79" t="s">
        <v>43</v>
      </c>
      <c r="U79" t="s">
        <v>44</v>
      </c>
      <c r="V79">
        <v>147</v>
      </c>
      <c r="W79" t="s">
        <v>45</v>
      </c>
      <c r="X79" t="s">
        <v>46</v>
      </c>
      <c r="Y79" t="s">
        <v>286</v>
      </c>
      <c r="Z79" t="s">
        <v>37</v>
      </c>
      <c r="AA79" t="s">
        <v>61</v>
      </c>
      <c r="AB79" t="s">
        <v>37</v>
      </c>
      <c r="AC79" s="6" t="s">
        <v>37</v>
      </c>
      <c r="AD79" s="6" t="s">
        <v>37</v>
      </c>
      <c r="AE79" t="s">
        <v>37</v>
      </c>
      <c r="AF79" t="s">
        <v>37</v>
      </c>
      <c r="AG79" s="6" t="s">
        <v>37</v>
      </c>
      <c r="AH79" t="s">
        <v>37</v>
      </c>
      <c r="AI79" t="s">
        <v>37</v>
      </c>
      <c r="AJ79" t="str">
        <f t="shared" si="5"/>
        <v>3AWPOPBJB076NFYGFP</v>
      </c>
    </row>
    <row r="80" spans="1:36" ht="15" customHeight="1" x14ac:dyDescent="0.25">
      <c r="A80" t="s">
        <v>67</v>
      </c>
      <c r="B80" t="s">
        <v>37</v>
      </c>
      <c r="C80" t="s">
        <v>37</v>
      </c>
      <c r="D80" t="s">
        <v>38</v>
      </c>
      <c r="E80" s="4">
        <v>12</v>
      </c>
      <c r="F80" s="5">
        <v>126.6</v>
      </c>
      <c r="G80" s="5" t="s">
        <v>39</v>
      </c>
      <c r="H80" s="5">
        <v>206.4</v>
      </c>
      <c r="I80" s="5" t="s">
        <v>39</v>
      </c>
      <c r="J80" s="5">
        <v>4.3044000000000002</v>
      </c>
      <c r="K80" s="5">
        <f t="shared" si="3"/>
        <v>0.35870000000000002</v>
      </c>
      <c r="L80" s="5">
        <f t="shared" si="4"/>
        <v>10.549999999999999</v>
      </c>
      <c r="M80" s="5" t="s">
        <v>39</v>
      </c>
      <c r="N80" s="5">
        <v>4.3044000000000002</v>
      </c>
      <c r="O80" s="5" t="s">
        <v>39</v>
      </c>
      <c r="P80" t="s">
        <v>63</v>
      </c>
      <c r="Q80" t="s">
        <v>287</v>
      </c>
      <c r="R80" t="s">
        <v>37</v>
      </c>
      <c r="S80" t="s">
        <v>288</v>
      </c>
      <c r="T80" t="s">
        <v>43</v>
      </c>
      <c r="U80" t="s">
        <v>44</v>
      </c>
      <c r="V80">
        <v>147</v>
      </c>
      <c r="W80" t="s">
        <v>45</v>
      </c>
      <c r="X80" t="s">
        <v>46</v>
      </c>
      <c r="Y80" t="s">
        <v>289</v>
      </c>
      <c r="Z80" t="s">
        <v>37</v>
      </c>
      <c r="AA80" t="s">
        <v>48</v>
      </c>
      <c r="AB80" t="s">
        <v>37</v>
      </c>
      <c r="AC80" s="6" t="s">
        <v>37</v>
      </c>
      <c r="AD80" s="6" t="s">
        <v>37</v>
      </c>
      <c r="AE80" t="s">
        <v>37</v>
      </c>
      <c r="AF80" t="s">
        <v>37</v>
      </c>
      <c r="AG80" s="6" t="s">
        <v>37</v>
      </c>
      <c r="AH80" t="s">
        <v>37</v>
      </c>
      <c r="AI80" t="s">
        <v>37</v>
      </c>
      <c r="AJ80" t="str">
        <f t="shared" si="5"/>
        <v>3AWPOPBJB01DKTP3X6</v>
      </c>
    </row>
    <row r="81" spans="1:36" ht="15" customHeight="1" x14ac:dyDescent="0.25">
      <c r="A81" t="s">
        <v>262</v>
      </c>
      <c r="B81" t="s">
        <v>37</v>
      </c>
      <c r="C81" t="s">
        <v>37</v>
      </c>
      <c r="D81" t="s">
        <v>38</v>
      </c>
      <c r="E81" s="4">
        <v>240</v>
      </c>
      <c r="F81" s="5">
        <v>1262.4000000000001</v>
      </c>
      <c r="G81" s="5" t="s">
        <v>39</v>
      </c>
      <c r="H81" s="5">
        <v>1768.8</v>
      </c>
      <c r="I81" s="5" t="s">
        <v>39</v>
      </c>
      <c r="J81" s="5">
        <v>42.921599999999998</v>
      </c>
      <c r="K81" s="5">
        <f t="shared" si="3"/>
        <v>0.17884</v>
      </c>
      <c r="L81" s="5">
        <f t="shared" si="4"/>
        <v>5.2600000000000007</v>
      </c>
      <c r="M81" s="5" t="s">
        <v>39</v>
      </c>
      <c r="N81" s="5">
        <v>42.921599999999998</v>
      </c>
      <c r="O81" s="5" t="s">
        <v>39</v>
      </c>
      <c r="P81" t="s">
        <v>290</v>
      </c>
      <c r="Q81" t="s">
        <v>291</v>
      </c>
      <c r="R81" t="s">
        <v>37</v>
      </c>
      <c r="S81" t="s">
        <v>292</v>
      </c>
      <c r="T81" t="s">
        <v>43</v>
      </c>
      <c r="U81" t="s">
        <v>44</v>
      </c>
      <c r="V81">
        <v>147</v>
      </c>
      <c r="W81" t="s">
        <v>45</v>
      </c>
      <c r="X81" t="s">
        <v>53</v>
      </c>
      <c r="Y81" t="s">
        <v>293</v>
      </c>
      <c r="Z81" t="s">
        <v>37</v>
      </c>
      <c r="AA81" t="s">
        <v>61</v>
      </c>
      <c r="AB81" t="s">
        <v>37</v>
      </c>
      <c r="AC81" s="6" t="s">
        <v>37</v>
      </c>
      <c r="AD81" s="6" t="s">
        <v>37</v>
      </c>
      <c r="AE81" t="s">
        <v>37</v>
      </c>
      <c r="AF81" t="s">
        <v>37</v>
      </c>
      <c r="AG81" s="6" t="s">
        <v>37</v>
      </c>
      <c r="AH81" t="s">
        <v>37</v>
      </c>
      <c r="AI81" t="s">
        <v>37</v>
      </c>
      <c r="AJ81" t="str">
        <f t="shared" si="5"/>
        <v>7OH7IQXHB00AZKNPZC</v>
      </c>
    </row>
    <row r="82" spans="1:36" ht="15" customHeight="1" x14ac:dyDescent="0.25">
      <c r="A82" t="s">
        <v>294</v>
      </c>
      <c r="B82" t="s">
        <v>37</v>
      </c>
      <c r="C82" t="s">
        <v>37</v>
      </c>
      <c r="D82" t="s">
        <v>38</v>
      </c>
      <c r="E82" s="4">
        <v>0</v>
      </c>
      <c r="F82" s="5">
        <v>0</v>
      </c>
      <c r="G82" s="5" t="s">
        <v>39</v>
      </c>
      <c r="H82" s="5">
        <v>0</v>
      </c>
      <c r="I82" s="5" t="s">
        <v>39</v>
      </c>
      <c r="J82" s="5">
        <v>0</v>
      </c>
      <c r="K82" s="5" t="e">
        <f t="shared" si="3"/>
        <v>#DIV/0!</v>
      </c>
      <c r="L82" s="5" t="e">
        <f t="shared" si="4"/>
        <v>#DIV/0!</v>
      </c>
      <c r="M82" s="5" t="s">
        <v>39</v>
      </c>
      <c r="N82" s="5">
        <v>0</v>
      </c>
      <c r="O82" s="5" t="s">
        <v>39</v>
      </c>
      <c r="P82" t="s">
        <v>295</v>
      </c>
      <c r="Q82" t="s">
        <v>296</v>
      </c>
      <c r="R82" t="s">
        <v>37</v>
      </c>
      <c r="S82" t="s">
        <v>297</v>
      </c>
      <c r="T82" t="s">
        <v>43</v>
      </c>
      <c r="U82" t="s">
        <v>44</v>
      </c>
      <c r="V82">
        <v>147</v>
      </c>
      <c r="W82" t="s">
        <v>45</v>
      </c>
      <c r="X82" t="s">
        <v>46</v>
      </c>
      <c r="Y82" t="s">
        <v>298</v>
      </c>
      <c r="Z82" t="s">
        <v>37</v>
      </c>
      <c r="AA82" t="s">
        <v>145</v>
      </c>
      <c r="AB82" t="s">
        <v>37</v>
      </c>
      <c r="AC82" s="6" t="s">
        <v>37</v>
      </c>
      <c r="AD82" s="6" t="s">
        <v>37</v>
      </c>
      <c r="AE82" t="s">
        <v>37</v>
      </c>
      <c r="AF82" t="s">
        <v>37</v>
      </c>
      <c r="AG82" s="6" t="s">
        <v>37</v>
      </c>
      <c r="AH82" t="s">
        <v>37</v>
      </c>
      <c r="AI82" t="s">
        <v>37</v>
      </c>
      <c r="AJ82" t="str">
        <f t="shared" si="5"/>
        <v>59PBXDMUB07MTY7N22</v>
      </c>
    </row>
    <row r="83" spans="1:36" ht="15" customHeight="1" x14ac:dyDescent="0.25">
      <c r="A83" t="s">
        <v>36</v>
      </c>
      <c r="B83" t="s">
        <v>37</v>
      </c>
      <c r="C83" t="s">
        <v>37</v>
      </c>
      <c r="D83" t="s">
        <v>38</v>
      </c>
      <c r="E83" s="4">
        <v>8</v>
      </c>
      <c r="F83" s="5">
        <v>371.2</v>
      </c>
      <c r="G83" s="5" t="s">
        <v>39</v>
      </c>
      <c r="H83" s="5">
        <v>537.6</v>
      </c>
      <c r="I83" s="5" t="s">
        <v>39</v>
      </c>
      <c r="J83" s="5">
        <v>12.620799999999999</v>
      </c>
      <c r="K83" s="5">
        <f t="shared" si="3"/>
        <v>1.5775999999999999</v>
      </c>
      <c r="L83" s="5">
        <f t="shared" si="4"/>
        <v>46.4</v>
      </c>
      <c r="M83" s="5" t="s">
        <v>39</v>
      </c>
      <c r="N83" s="5">
        <v>12.620799999999999</v>
      </c>
      <c r="O83" s="5" t="s">
        <v>39</v>
      </c>
      <c r="P83" t="s">
        <v>89</v>
      </c>
      <c r="Q83" t="s">
        <v>179</v>
      </c>
      <c r="R83" t="s">
        <v>37</v>
      </c>
      <c r="S83" t="s">
        <v>180</v>
      </c>
      <c r="T83" t="s">
        <v>43</v>
      </c>
      <c r="U83" t="s">
        <v>44</v>
      </c>
      <c r="V83">
        <v>147</v>
      </c>
      <c r="W83" t="s">
        <v>45</v>
      </c>
      <c r="X83" t="s">
        <v>53</v>
      </c>
      <c r="Y83" t="s">
        <v>181</v>
      </c>
      <c r="Z83" t="s">
        <v>37</v>
      </c>
      <c r="AA83" t="s">
        <v>61</v>
      </c>
      <c r="AB83" t="s">
        <v>37</v>
      </c>
      <c r="AC83" s="6" t="s">
        <v>37</v>
      </c>
      <c r="AD83" s="6" t="s">
        <v>37</v>
      </c>
      <c r="AE83" t="s">
        <v>37</v>
      </c>
      <c r="AF83" t="s">
        <v>37</v>
      </c>
      <c r="AG83" s="6" t="s">
        <v>37</v>
      </c>
      <c r="AH83" t="s">
        <v>37</v>
      </c>
      <c r="AI83" t="s">
        <v>37</v>
      </c>
      <c r="AJ83" t="str">
        <f t="shared" si="5"/>
        <v>6D1HFTMSB07W4DGC27</v>
      </c>
    </row>
    <row r="84" spans="1:36" ht="15" customHeight="1" x14ac:dyDescent="0.25">
      <c r="A84" t="s">
        <v>67</v>
      </c>
      <c r="B84" t="s">
        <v>37</v>
      </c>
      <c r="C84" t="s">
        <v>37</v>
      </c>
      <c r="D84" t="s">
        <v>38</v>
      </c>
      <c r="E84" s="4">
        <v>4</v>
      </c>
      <c r="F84" s="5">
        <v>187.4</v>
      </c>
      <c r="G84" s="5" t="s">
        <v>39</v>
      </c>
      <c r="H84" s="5">
        <v>268.8</v>
      </c>
      <c r="I84" s="5" t="s">
        <v>39</v>
      </c>
      <c r="J84" s="5">
        <v>6.3715999999999999</v>
      </c>
      <c r="K84" s="5">
        <f t="shared" si="3"/>
        <v>1.5929</v>
      </c>
      <c r="L84" s="5">
        <f t="shared" si="4"/>
        <v>46.85</v>
      </c>
      <c r="M84" s="5" t="s">
        <v>39</v>
      </c>
      <c r="N84" s="5">
        <v>6.3715999999999999</v>
      </c>
      <c r="O84" s="5" t="s">
        <v>39</v>
      </c>
      <c r="P84" t="s">
        <v>245</v>
      </c>
      <c r="Q84" t="s">
        <v>299</v>
      </c>
      <c r="R84" t="s">
        <v>37</v>
      </c>
      <c r="S84" t="s">
        <v>300</v>
      </c>
      <c r="T84" t="s">
        <v>43</v>
      </c>
      <c r="U84" t="s">
        <v>44</v>
      </c>
      <c r="V84">
        <v>147</v>
      </c>
      <c r="W84" t="s">
        <v>45</v>
      </c>
      <c r="X84" t="s">
        <v>301</v>
      </c>
      <c r="Y84" t="s">
        <v>302</v>
      </c>
      <c r="Z84" t="s">
        <v>37</v>
      </c>
      <c r="AA84" t="s">
        <v>61</v>
      </c>
      <c r="AB84" t="s">
        <v>37</v>
      </c>
      <c r="AC84" s="6" t="s">
        <v>37</v>
      </c>
      <c r="AD84" s="6" t="s">
        <v>37</v>
      </c>
      <c r="AE84" t="s">
        <v>37</v>
      </c>
      <c r="AF84" t="s">
        <v>37</v>
      </c>
      <c r="AG84" s="6" t="s">
        <v>37</v>
      </c>
      <c r="AH84" t="s">
        <v>37</v>
      </c>
      <c r="AI84" t="s">
        <v>37</v>
      </c>
      <c r="AJ84" t="str">
        <f t="shared" si="5"/>
        <v>6ZGQP34KB00YR92VMA</v>
      </c>
    </row>
    <row r="85" spans="1:36" ht="15" customHeight="1" x14ac:dyDescent="0.25">
      <c r="A85" t="s">
        <v>67</v>
      </c>
      <c r="B85" t="s">
        <v>37</v>
      </c>
      <c r="C85" t="s">
        <v>37</v>
      </c>
      <c r="D85" t="s">
        <v>38</v>
      </c>
      <c r="E85" s="4">
        <v>10</v>
      </c>
      <c r="F85" s="5">
        <v>263.5</v>
      </c>
      <c r="G85" s="5" t="s">
        <v>39</v>
      </c>
      <c r="H85" s="5">
        <v>385.2</v>
      </c>
      <c r="I85" s="5" t="s">
        <v>39</v>
      </c>
      <c r="J85" s="5">
        <v>8.9589999999999996</v>
      </c>
      <c r="K85" s="5">
        <f t="shared" si="3"/>
        <v>0.89589999999999992</v>
      </c>
      <c r="L85" s="5">
        <f t="shared" si="4"/>
        <v>26.35</v>
      </c>
      <c r="M85" s="5" t="s">
        <v>39</v>
      </c>
      <c r="N85" s="5">
        <v>8.9589999999999996</v>
      </c>
      <c r="O85" s="5" t="s">
        <v>39</v>
      </c>
      <c r="P85" t="s">
        <v>108</v>
      </c>
      <c r="Q85" t="s">
        <v>303</v>
      </c>
      <c r="R85" t="s">
        <v>37</v>
      </c>
      <c r="S85" t="s">
        <v>304</v>
      </c>
      <c r="T85" t="s">
        <v>43</v>
      </c>
      <c r="U85" t="s">
        <v>44</v>
      </c>
      <c r="V85">
        <v>147</v>
      </c>
      <c r="W85" t="s">
        <v>45</v>
      </c>
      <c r="X85" t="s">
        <v>53</v>
      </c>
      <c r="Y85" t="s">
        <v>305</v>
      </c>
      <c r="Z85" t="s">
        <v>37</v>
      </c>
      <c r="AA85" t="s">
        <v>61</v>
      </c>
      <c r="AB85" t="s">
        <v>37</v>
      </c>
      <c r="AC85" s="6" t="s">
        <v>37</v>
      </c>
      <c r="AD85" s="6" t="s">
        <v>37</v>
      </c>
      <c r="AE85" t="s">
        <v>37</v>
      </c>
      <c r="AF85" t="s">
        <v>37</v>
      </c>
      <c r="AG85" s="6" t="s">
        <v>37</v>
      </c>
      <c r="AH85" t="s">
        <v>37</v>
      </c>
      <c r="AI85" t="s">
        <v>37</v>
      </c>
      <c r="AJ85" t="str">
        <f t="shared" si="5"/>
        <v>5HGHPU5OB07W7JR6BZ</v>
      </c>
    </row>
    <row r="86" spans="1:36" ht="15" customHeight="1" x14ac:dyDescent="0.25">
      <c r="A86" t="s">
        <v>133</v>
      </c>
      <c r="B86" t="s">
        <v>37</v>
      </c>
      <c r="C86" t="s">
        <v>37</v>
      </c>
      <c r="D86" t="s">
        <v>38</v>
      </c>
      <c r="E86" s="4">
        <v>48</v>
      </c>
      <c r="F86" s="5">
        <v>2227.1999999999998</v>
      </c>
      <c r="G86" s="5" t="s">
        <v>39</v>
      </c>
      <c r="H86" s="5">
        <v>3225.6</v>
      </c>
      <c r="I86" s="5" t="s">
        <v>39</v>
      </c>
      <c r="J86" s="5">
        <v>75.724800000000002</v>
      </c>
      <c r="K86" s="5">
        <f t="shared" si="3"/>
        <v>1.5776000000000001</v>
      </c>
      <c r="L86" s="5">
        <f t="shared" si="4"/>
        <v>46.4</v>
      </c>
      <c r="M86" s="5" t="s">
        <v>39</v>
      </c>
      <c r="N86" s="5">
        <v>75.724800000000002</v>
      </c>
      <c r="O86" s="5" t="s">
        <v>39</v>
      </c>
      <c r="P86" t="s">
        <v>108</v>
      </c>
      <c r="Q86" t="s">
        <v>306</v>
      </c>
      <c r="R86" t="s">
        <v>37</v>
      </c>
      <c r="S86" t="s">
        <v>307</v>
      </c>
      <c r="T86" t="s">
        <v>43</v>
      </c>
      <c r="U86" t="s">
        <v>44</v>
      </c>
      <c r="V86">
        <v>147</v>
      </c>
      <c r="W86" t="s">
        <v>45</v>
      </c>
      <c r="X86" t="s">
        <v>53</v>
      </c>
      <c r="Y86" t="s">
        <v>308</v>
      </c>
      <c r="Z86" t="s">
        <v>37</v>
      </c>
      <c r="AA86" t="s">
        <v>61</v>
      </c>
      <c r="AB86" t="s">
        <v>37</v>
      </c>
      <c r="AC86" s="6" t="s">
        <v>37</v>
      </c>
      <c r="AD86" s="6" t="s">
        <v>37</v>
      </c>
      <c r="AE86" t="s">
        <v>37</v>
      </c>
      <c r="AF86" t="s">
        <v>37</v>
      </c>
      <c r="AG86" s="6" t="s">
        <v>37</v>
      </c>
      <c r="AH86" t="s">
        <v>37</v>
      </c>
      <c r="AI86" t="s">
        <v>37</v>
      </c>
      <c r="AJ86" t="str">
        <f t="shared" si="5"/>
        <v>5HGHPU5OB07W5JKHFR</v>
      </c>
    </row>
    <row r="87" spans="1:36" ht="15" customHeight="1" x14ac:dyDescent="0.25">
      <c r="A87" t="s">
        <v>294</v>
      </c>
      <c r="B87" t="s">
        <v>37</v>
      </c>
      <c r="C87" t="s">
        <v>37</v>
      </c>
      <c r="D87" t="s">
        <v>38</v>
      </c>
      <c r="E87" s="4">
        <v>0</v>
      </c>
      <c r="F87" s="5">
        <v>0</v>
      </c>
      <c r="G87" s="5" t="s">
        <v>39</v>
      </c>
      <c r="H87" s="5">
        <v>0</v>
      </c>
      <c r="I87" s="5" t="s">
        <v>39</v>
      </c>
      <c r="J87" s="5">
        <v>0</v>
      </c>
      <c r="K87" s="5" t="e">
        <f t="shared" si="3"/>
        <v>#DIV/0!</v>
      </c>
      <c r="L87" s="5" t="e">
        <f t="shared" si="4"/>
        <v>#DIV/0!</v>
      </c>
      <c r="M87" s="5" t="s">
        <v>39</v>
      </c>
      <c r="N87" s="5">
        <v>0</v>
      </c>
      <c r="O87" s="5" t="s">
        <v>39</v>
      </c>
      <c r="P87" t="s">
        <v>241</v>
      </c>
      <c r="Q87" t="s">
        <v>242</v>
      </c>
      <c r="R87" t="s">
        <v>37</v>
      </c>
      <c r="S87" t="s">
        <v>243</v>
      </c>
      <c r="T87" t="s">
        <v>43</v>
      </c>
      <c r="U87" t="s">
        <v>44</v>
      </c>
      <c r="V87">
        <v>147</v>
      </c>
      <c r="W87" t="s">
        <v>45</v>
      </c>
      <c r="X87" t="s">
        <v>53</v>
      </c>
      <c r="Y87" t="s">
        <v>244</v>
      </c>
      <c r="Z87" t="s">
        <v>37</v>
      </c>
      <c r="AA87" t="s">
        <v>48</v>
      </c>
      <c r="AB87" t="s">
        <v>37</v>
      </c>
      <c r="AC87" s="6" t="s">
        <v>37</v>
      </c>
      <c r="AD87" s="6" t="s">
        <v>37</v>
      </c>
      <c r="AE87" t="s">
        <v>37</v>
      </c>
      <c r="AF87" t="s">
        <v>37</v>
      </c>
      <c r="AG87" s="6" t="s">
        <v>37</v>
      </c>
      <c r="AH87" t="s">
        <v>37</v>
      </c>
      <c r="AI87" t="s">
        <v>37</v>
      </c>
      <c r="AJ87" t="str">
        <f t="shared" si="5"/>
        <v>8E4YHFGVB07W6HDNNV</v>
      </c>
    </row>
    <row r="88" spans="1:36" ht="15" customHeight="1" x14ac:dyDescent="0.25">
      <c r="A88" t="s">
        <v>36</v>
      </c>
      <c r="B88" t="s">
        <v>37</v>
      </c>
      <c r="C88" t="s">
        <v>37</v>
      </c>
      <c r="D88" t="s">
        <v>38</v>
      </c>
      <c r="E88" s="4">
        <v>20</v>
      </c>
      <c r="F88" s="5">
        <v>1756.8</v>
      </c>
      <c r="G88" s="5" t="s">
        <v>39</v>
      </c>
      <c r="H88" s="5">
        <v>2114.8000000000002</v>
      </c>
      <c r="I88" s="5" t="s">
        <v>39</v>
      </c>
      <c r="J88" s="5">
        <v>59.731200000000001</v>
      </c>
      <c r="K88" s="5">
        <f t="shared" si="3"/>
        <v>2.9865599999999999</v>
      </c>
      <c r="L88" s="5">
        <f t="shared" si="4"/>
        <v>87.84</v>
      </c>
      <c r="M88" s="5" t="s">
        <v>39</v>
      </c>
      <c r="N88" s="5">
        <v>59.731200000000001</v>
      </c>
      <c r="O88" s="5" t="s">
        <v>39</v>
      </c>
      <c r="P88" t="s">
        <v>89</v>
      </c>
      <c r="Q88" t="s">
        <v>309</v>
      </c>
      <c r="R88" t="s">
        <v>37</v>
      </c>
      <c r="S88" t="s">
        <v>310</v>
      </c>
      <c r="T88" t="s">
        <v>43</v>
      </c>
      <c r="U88" t="s">
        <v>44</v>
      </c>
      <c r="V88">
        <v>147</v>
      </c>
      <c r="W88" t="s">
        <v>45</v>
      </c>
      <c r="X88" t="s">
        <v>311</v>
      </c>
      <c r="Y88" t="s">
        <v>312</v>
      </c>
      <c r="Z88" t="s">
        <v>37</v>
      </c>
      <c r="AA88" t="s">
        <v>48</v>
      </c>
      <c r="AB88" t="s">
        <v>37</v>
      </c>
      <c r="AC88" s="6" t="s">
        <v>37</v>
      </c>
      <c r="AD88" s="6" t="s">
        <v>37</v>
      </c>
      <c r="AE88" t="s">
        <v>37</v>
      </c>
      <c r="AF88" t="s">
        <v>37</v>
      </c>
      <c r="AG88" s="6" t="s">
        <v>37</v>
      </c>
      <c r="AH88" t="s">
        <v>37</v>
      </c>
      <c r="AI88" t="s">
        <v>37</v>
      </c>
      <c r="AJ88" t="str">
        <f t="shared" si="5"/>
        <v>6D1HFTMSB06XH2VSXM</v>
      </c>
    </row>
    <row r="89" spans="1:36" ht="15" customHeight="1" x14ac:dyDescent="0.25">
      <c r="A89" t="s">
        <v>262</v>
      </c>
      <c r="B89" t="s">
        <v>37</v>
      </c>
      <c r="C89" t="s">
        <v>37</v>
      </c>
      <c r="D89" t="s">
        <v>38</v>
      </c>
      <c r="E89" s="4">
        <v>4</v>
      </c>
      <c r="F89" s="5">
        <v>126.6</v>
      </c>
      <c r="G89" s="5" t="s">
        <v>39</v>
      </c>
      <c r="H89" s="5">
        <v>203.24</v>
      </c>
      <c r="I89" s="5" t="s">
        <v>39</v>
      </c>
      <c r="J89" s="5">
        <v>4.3044000000000002</v>
      </c>
      <c r="K89" s="5">
        <f t="shared" si="3"/>
        <v>1.0761000000000001</v>
      </c>
      <c r="L89" s="5">
        <f t="shared" si="4"/>
        <v>31.65</v>
      </c>
      <c r="M89" s="5" t="s">
        <v>39</v>
      </c>
      <c r="N89" s="5">
        <v>4.3044000000000002</v>
      </c>
      <c r="O89" s="5" t="s">
        <v>39</v>
      </c>
      <c r="P89" t="s">
        <v>63</v>
      </c>
      <c r="Q89" t="s">
        <v>313</v>
      </c>
      <c r="R89" t="s">
        <v>37</v>
      </c>
      <c r="S89" t="s">
        <v>314</v>
      </c>
      <c r="T89" t="s">
        <v>43</v>
      </c>
      <c r="U89" t="s">
        <v>44</v>
      </c>
      <c r="V89">
        <v>147</v>
      </c>
      <c r="W89" t="s">
        <v>45</v>
      </c>
      <c r="X89" t="s">
        <v>177</v>
      </c>
      <c r="Y89" t="s">
        <v>315</v>
      </c>
      <c r="Z89" t="s">
        <v>37</v>
      </c>
      <c r="AA89" t="s">
        <v>145</v>
      </c>
      <c r="AB89" t="s">
        <v>37</v>
      </c>
      <c r="AC89" s="6" t="s">
        <v>37</v>
      </c>
      <c r="AD89" s="6" t="s">
        <v>37</v>
      </c>
      <c r="AE89" t="s">
        <v>37</v>
      </c>
      <c r="AF89" t="s">
        <v>37</v>
      </c>
      <c r="AG89" s="6" t="s">
        <v>37</v>
      </c>
      <c r="AH89" t="s">
        <v>37</v>
      </c>
      <c r="AI89" t="s">
        <v>37</v>
      </c>
      <c r="AJ89" t="str">
        <f t="shared" si="5"/>
        <v>3AWPOPBJB07MTWHWZ1</v>
      </c>
    </row>
    <row r="90" spans="1:36" ht="15" customHeight="1" x14ac:dyDescent="0.25">
      <c r="A90" t="s">
        <v>294</v>
      </c>
      <c r="B90" t="s">
        <v>37</v>
      </c>
      <c r="C90" t="s">
        <v>37</v>
      </c>
      <c r="D90" t="s">
        <v>38</v>
      </c>
      <c r="E90" s="4">
        <v>0</v>
      </c>
      <c r="F90" s="5">
        <v>0</v>
      </c>
      <c r="G90" s="5" t="s">
        <v>39</v>
      </c>
      <c r="H90" s="5">
        <v>0</v>
      </c>
      <c r="I90" s="5" t="s">
        <v>39</v>
      </c>
      <c r="J90" s="5">
        <v>0</v>
      </c>
      <c r="K90" s="5" t="e">
        <f t="shared" si="3"/>
        <v>#DIV/0!</v>
      </c>
      <c r="L90" s="5" t="e">
        <f t="shared" si="4"/>
        <v>#DIV/0!</v>
      </c>
      <c r="M90" s="5" t="s">
        <v>39</v>
      </c>
      <c r="N90" s="5">
        <v>0</v>
      </c>
      <c r="O90" s="5" t="s">
        <v>39</v>
      </c>
      <c r="P90" t="s">
        <v>78</v>
      </c>
      <c r="Q90" t="s">
        <v>79</v>
      </c>
      <c r="R90" t="s">
        <v>37</v>
      </c>
      <c r="S90" t="s">
        <v>80</v>
      </c>
      <c r="T90" t="s">
        <v>43</v>
      </c>
      <c r="U90" t="s">
        <v>44</v>
      </c>
      <c r="V90">
        <v>147</v>
      </c>
      <c r="W90" t="s">
        <v>45</v>
      </c>
      <c r="X90" t="s">
        <v>75</v>
      </c>
      <c r="Y90" t="s">
        <v>81</v>
      </c>
      <c r="Z90" t="s">
        <v>37</v>
      </c>
      <c r="AA90" t="s">
        <v>61</v>
      </c>
      <c r="AB90" t="s">
        <v>37</v>
      </c>
      <c r="AC90" s="6" t="s">
        <v>37</v>
      </c>
      <c r="AD90" s="6" t="s">
        <v>37</v>
      </c>
      <c r="AE90" t="s">
        <v>37</v>
      </c>
      <c r="AF90" t="s">
        <v>37</v>
      </c>
      <c r="AG90" s="6" t="s">
        <v>37</v>
      </c>
      <c r="AH90" t="s">
        <v>37</v>
      </c>
      <c r="AI90" t="s">
        <v>37</v>
      </c>
      <c r="AJ90" t="str">
        <f t="shared" si="5"/>
        <v>135JM91XB07W4DGLJX</v>
      </c>
    </row>
    <row r="91" spans="1:36" ht="15" customHeight="1" x14ac:dyDescent="0.25">
      <c r="A91" t="s">
        <v>67</v>
      </c>
      <c r="B91" t="s">
        <v>37</v>
      </c>
      <c r="C91" t="s">
        <v>37</v>
      </c>
      <c r="D91" t="s">
        <v>38</v>
      </c>
      <c r="E91" s="4">
        <v>8</v>
      </c>
      <c r="F91" s="5">
        <v>257.68</v>
      </c>
      <c r="G91" s="5" t="s">
        <v>39</v>
      </c>
      <c r="H91" s="5">
        <v>314.72000000000003</v>
      </c>
      <c r="I91" s="5" t="s">
        <v>39</v>
      </c>
      <c r="J91" s="5">
        <v>8.76112</v>
      </c>
      <c r="K91" s="5">
        <f t="shared" si="3"/>
        <v>1.09514</v>
      </c>
      <c r="L91" s="5">
        <f t="shared" si="4"/>
        <v>32.21</v>
      </c>
      <c r="M91" s="5" t="s">
        <v>39</v>
      </c>
      <c r="N91" s="5">
        <v>8.76112</v>
      </c>
      <c r="O91" s="5" t="s">
        <v>39</v>
      </c>
      <c r="P91" t="s">
        <v>108</v>
      </c>
      <c r="Q91" t="s">
        <v>316</v>
      </c>
      <c r="R91" t="s">
        <v>37</v>
      </c>
      <c r="S91" t="s">
        <v>317</v>
      </c>
      <c r="T91" t="s">
        <v>43</v>
      </c>
      <c r="U91" t="s">
        <v>44</v>
      </c>
      <c r="V91">
        <v>147</v>
      </c>
      <c r="W91" t="s">
        <v>45</v>
      </c>
      <c r="X91" t="s">
        <v>75</v>
      </c>
      <c r="Y91" t="s">
        <v>318</v>
      </c>
      <c r="Z91" t="s">
        <v>37</v>
      </c>
      <c r="AA91" t="s">
        <v>61</v>
      </c>
      <c r="AB91" t="s">
        <v>37</v>
      </c>
      <c r="AC91" s="6" t="s">
        <v>37</v>
      </c>
      <c r="AD91" s="6" t="s">
        <v>37</v>
      </c>
      <c r="AE91" t="s">
        <v>37</v>
      </c>
      <c r="AF91" t="s">
        <v>37</v>
      </c>
      <c r="AG91" s="6" t="s">
        <v>37</v>
      </c>
      <c r="AH91" t="s">
        <v>37</v>
      </c>
      <c r="AI91" t="s">
        <v>37</v>
      </c>
      <c r="AJ91" t="str">
        <f t="shared" si="5"/>
        <v>5HGHPU5OB00MWNDUDM</v>
      </c>
    </row>
    <row r="92" spans="1:36" ht="15" customHeight="1" x14ac:dyDescent="0.25">
      <c r="A92" t="s">
        <v>319</v>
      </c>
      <c r="B92" t="s">
        <v>37</v>
      </c>
      <c r="C92" t="s">
        <v>37</v>
      </c>
      <c r="D92" t="s">
        <v>38</v>
      </c>
      <c r="E92" s="4">
        <v>0</v>
      </c>
      <c r="F92" s="5">
        <v>0</v>
      </c>
      <c r="G92" s="5" t="s">
        <v>39</v>
      </c>
      <c r="H92" s="5">
        <v>0</v>
      </c>
      <c r="I92" s="5" t="s">
        <v>39</v>
      </c>
      <c r="J92" s="5">
        <v>0</v>
      </c>
      <c r="K92" s="5" t="e">
        <f t="shared" si="3"/>
        <v>#DIV/0!</v>
      </c>
      <c r="L92" s="5" t="e">
        <f t="shared" si="4"/>
        <v>#DIV/0!</v>
      </c>
      <c r="M92" s="5" t="s">
        <v>39</v>
      </c>
      <c r="N92" s="5">
        <v>0</v>
      </c>
      <c r="O92" s="5" t="s">
        <v>39</v>
      </c>
      <c r="P92" t="s">
        <v>123</v>
      </c>
      <c r="Q92" t="s">
        <v>190</v>
      </c>
      <c r="R92" t="s">
        <v>37</v>
      </c>
      <c r="S92" t="s">
        <v>191</v>
      </c>
      <c r="T92" t="s">
        <v>43</v>
      </c>
      <c r="U92" t="s">
        <v>44</v>
      </c>
      <c r="V92">
        <v>147</v>
      </c>
      <c r="W92" t="s">
        <v>45</v>
      </c>
      <c r="X92" t="s">
        <v>53</v>
      </c>
      <c r="Y92" t="s">
        <v>192</v>
      </c>
      <c r="Z92" t="s">
        <v>37</v>
      </c>
      <c r="AA92" t="s">
        <v>48</v>
      </c>
      <c r="AB92" t="s">
        <v>37</v>
      </c>
      <c r="AC92" s="6" t="s">
        <v>37</v>
      </c>
      <c r="AD92" s="6" t="s">
        <v>37</v>
      </c>
      <c r="AE92" t="s">
        <v>37</v>
      </c>
      <c r="AF92" t="s">
        <v>37</v>
      </c>
      <c r="AG92" s="6" t="s">
        <v>37</v>
      </c>
      <c r="AH92" t="s">
        <v>37</v>
      </c>
      <c r="AI92" t="s">
        <v>37</v>
      </c>
      <c r="AJ92" t="str">
        <f t="shared" si="5"/>
        <v>81V4YVNTB01MV1GX63</v>
      </c>
    </row>
    <row r="93" spans="1:36" ht="15" customHeight="1" x14ac:dyDescent="0.25">
      <c r="A93" t="s">
        <v>36</v>
      </c>
      <c r="B93" t="s">
        <v>37</v>
      </c>
      <c r="C93" t="s">
        <v>37</v>
      </c>
      <c r="D93" t="s">
        <v>38</v>
      </c>
      <c r="E93" s="4">
        <v>4</v>
      </c>
      <c r="F93" s="5">
        <v>301.64</v>
      </c>
      <c r="G93" s="5" t="s">
        <v>39</v>
      </c>
      <c r="H93" s="5">
        <v>442.6</v>
      </c>
      <c r="I93" s="5" t="s">
        <v>39</v>
      </c>
      <c r="J93" s="5">
        <v>10.25576</v>
      </c>
      <c r="K93" s="5">
        <f t="shared" si="3"/>
        <v>2.5639400000000001</v>
      </c>
      <c r="L93" s="5">
        <f t="shared" si="4"/>
        <v>75.41</v>
      </c>
      <c r="M93" s="5" t="s">
        <v>39</v>
      </c>
      <c r="N93" s="5">
        <v>10.25576</v>
      </c>
      <c r="O93" s="5" t="s">
        <v>39</v>
      </c>
      <c r="P93" t="s">
        <v>89</v>
      </c>
      <c r="Q93" t="s">
        <v>320</v>
      </c>
      <c r="R93" t="s">
        <v>37</v>
      </c>
      <c r="S93" t="s">
        <v>321</v>
      </c>
      <c r="T93" t="s">
        <v>43</v>
      </c>
      <c r="U93" t="s">
        <v>44</v>
      </c>
      <c r="V93">
        <v>147</v>
      </c>
      <c r="W93" t="s">
        <v>45</v>
      </c>
      <c r="X93" t="s">
        <v>75</v>
      </c>
      <c r="Y93" t="s">
        <v>322</v>
      </c>
      <c r="Z93" t="s">
        <v>37</v>
      </c>
      <c r="AA93" t="s">
        <v>61</v>
      </c>
      <c r="AB93" t="s">
        <v>37</v>
      </c>
      <c r="AC93" s="6" t="s">
        <v>37</v>
      </c>
      <c r="AD93" s="6" t="s">
        <v>37</v>
      </c>
      <c r="AE93" t="s">
        <v>37</v>
      </c>
      <c r="AF93" t="s">
        <v>37</v>
      </c>
      <c r="AG93" s="6" t="s">
        <v>37</v>
      </c>
      <c r="AH93" t="s">
        <v>37</v>
      </c>
      <c r="AI93" t="s">
        <v>37</v>
      </c>
      <c r="AJ93" t="str">
        <f t="shared" si="5"/>
        <v>6D1HFTMSB07W5JK1JN</v>
      </c>
    </row>
    <row r="94" spans="1:36" ht="15" customHeight="1" x14ac:dyDescent="0.25">
      <c r="A94" t="s">
        <v>67</v>
      </c>
      <c r="B94" t="s">
        <v>37</v>
      </c>
      <c r="C94" t="s">
        <v>37</v>
      </c>
      <c r="D94" t="s">
        <v>38</v>
      </c>
      <c r="E94" s="4">
        <v>6</v>
      </c>
      <c r="F94" s="5">
        <v>382.98</v>
      </c>
      <c r="G94" s="5" t="s">
        <v>39</v>
      </c>
      <c r="H94" s="5">
        <v>393.42</v>
      </c>
      <c r="I94" s="5" t="s">
        <v>39</v>
      </c>
      <c r="J94" s="5">
        <v>13.021319999999999</v>
      </c>
      <c r="K94" s="5">
        <f t="shared" si="3"/>
        <v>2.17022</v>
      </c>
      <c r="L94" s="5">
        <f t="shared" si="4"/>
        <v>63.830000000000005</v>
      </c>
      <c r="M94" s="5" t="s">
        <v>39</v>
      </c>
      <c r="N94" s="5">
        <v>13.021319999999999</v>
      </c>
      <c r="O94" s="5" t="s">
        <v>39</v>
      </c>
      <c r="P94" t="s">
        <v>323</v>
      </c>
      <c r="Q94" t="s">
        <v>56</v>
      </c>
      <c r="R94" t="s">
        <v>37</v>
      </c>
      <c r="S94" t="s">
        <v>57</v>
      </c>
      <c r="T94" t="s">
        <v>43</v>
      </c>
      <c r="U94" t="s">
        <v>44</v>
      </c>
      <c r="V94">
        <v>23</v>
      </c>
      <c r="W94" t="s">
        <v>58</v>
      </c>
      <c r="X94" t="s">
        <v>59</v>
      </c>
      <c r="Y94" t="s">
        <v>60</v>
      </c>
      <c r="Z94" t="s">
        <v>37</v>
      </c>
      <c r="AA94" t="s">
        <v>61</v>
      </c>
      <c r="AB94" t="s">
        <v>37</v>
      </c>
      <c r="AC94" s="6" t="s">
        <v>37</v>
      </c>
      <c r="AD94" s="6" t="s">
        <v>37</v>
      </c>
      <c r="AE94" t="s">
        <v>37</v>
      </c>
      <c r="AF94" t="s">
        <v>37</v>
      </c>
      <c r="AG94" s="6" t="s">
        <v>37</v>
      </c>
      <c r="AH94" t="s">
        <v>37</v>
      </c>
      <c r="AI94" t="s">
        <v>37</v>
      </c>
      <c r="AJ94" t="str">
        <f t="shared" si="5"/>
        <v>11CZAECYB076K126YZ</v>
      </c>
    </row>
    <row r="95" spans="1:36" ht="15" customHeight="1" x14ac:dyDescent="0.25">
      <c r="A95" t="s">
        <v>115</v>
      </c>
      <c r="B95" t="s">
        <v>37</v>
      </c>
      <c r="C95" t="s">
        <v>37</v>
      </c>
      <c r="D95" t="s">
        <v>38</v>
      </c>
      <c r="E95" s="4">
        <v>20</v>
      </c>
      <c r="F95" s="5">
        <v>468.4</v>
      </c>
      <c r="G95" s="5" t="s">
        <v>39</v>
      </c>
      <c r="H95" s="5">
        <v>573.6</v>
      </c>
      <c r="I95" s="5" t="s">
        <v>39</v>
      </c>
      <c r="J95" s="5">
        <v>15.925599999999999</v>
      </c>
      <c r="K95" s="5">
        <f t="shared" si="3"/>
        <v>0.79627999999999999</v>
      </c>
      <c r="L95" s="5">
        <f t="shared" si="4"/>
        <v>23.419999999999998</v>
      </c>
      <c r="M95" s="5" t="s">
        <v>39</v>
      </c>
      <c r="N95" s="5">
        <v>15.925599999999999</v>
      </c>
      <c r="O95" s="5" t="s">
        <v>39</v>
      </c>
      <c r="P95" t="s">
        <v>189</v>
      </c>
      <c r="Q95" t="s">
        <v>324</v>
      </c>
      <c r="R95" t="s">
        <v>37</v>
      </c>
      <c r="S95" t="s">
        <v>325</v>
      </c>
      <c r="T95" t="s">
        <v>43</v>
      </c>
      <c r="U95" t="s">
        <v>44</v>
      </c>
      <c r="V95">
        <v>147</v>
      </c>
      <c r="W95" t="s">
        <v>45</v>
      </c>
      <c r="X95" t="s">
        <v>53</v>
      </c>
      <c r="Y95" t="s">
        <v>326</v>
      </c>
      <c r="Z95" t="s">
        <v>37</v>
      </c>
      <c r="AA95" t="s">
        <v>61</v>
      </c>
      <c r="AB95" t="s">
        <v>37</v>
      </c>
      <c r="AC95" s="6" t="s">
        <v>37</v>
      </c>
      <c r="AD95" s="6" t="s">
        <v>37</v>
      </c>
      <c r="AE95" t="s">
        <v>37</v>
      </c>
      <c r="AF95" t="s">
        <v>37</v>
      </c>
      <c r="AG95" s="6" t="s">
        <v>37</v>
      </c>
      <c r="AH95" t="s">
        <v>37</v>
      </c>
      <c r="AI95" t="s">
        <v>37</v>
      </c>
      <c r="AJ95" t="str">
        <f t="shared" si="5"/>
        <v>6DPU2MKPB004VPLVI0</v>
      </c>
    </row>
    <row r="96" spans="1:36" ht="15" customHeight="1" x14ac:dyDescent="0.25">
      <c r="A96" t="s">
        <v>67</v>
      </c>
      <c r="B96" t="s">
        <v>37</v>
      </c>
      <c r="C96" t="s">
        <v>37</v>
      </c>
      <c r="D96" t="s">
        <v>38</v>
      </c>
      <c r="E96" s="4">
        <v>12</v>
      </c>
      <c r="F96" s="5">
        <v>421.56</v>
      </c>
      <c r="G96" s="5" t="s">
        <v>39</v>
      </c>
      <c r="H96" s="5">
        <v>609.72</v>
      </c>
      <c r="I96" s="5" t="s">
        <v>39</v>
      </c>
      <c r="J96" s="5">
        <v>14.33304</v>
      </c>
      <c r="K96" s="5">
        <f t="shared" si="3"/>
        <v>1.19442</v>
      </c>
      <c r="L96" s="5">
        <f t="shared" si="4"/>
        <v>35.130000000000003</v>
      </c>
      <c r="M96" s="5" t="s">
        <v>39</v>
      </c>
      <c r="N96" s="5">
        <v>14.33304</v>
      </c>
      <c r="O96" s="5" t="s">
        <v>39</v>
      </c>
      <c r="P96" t="s">
        <v>108</v>
      </c>
      <c r="Q96" t="s">
        <v>327</v>
      </c>
      <c r="R96" t="s">
        <v>37</v>
      </c>
      <c r="S96" t="s">
        <v>328</v>
      </c>
      <c r="T96" t="s">
        <v>43</v>
      </c>
      <c r="U96" t="s">
        <v>44</v>
      </c>
      <c r="V96">
        <v>147</v>
      </c>
      <c r="W96" t="s">
        <v>45</v>
      </c>
      <c r="X96" t="s">
        <v>75</v>
      </c>
      <c r="Y96" t="s">
        <v>329</v>
      </c>
      <c r="Z96" t="s">
        <v>37</v>
      </c>
      <c r="AA96" t="s">
        <v>61</v>
      </c>
      <c r="AB96" t="s">
        <v>37</v>
      </c>
      <c r="AC96" s="6" t="s">
        <v>37</v>
      </c>
      <c r="AD96" s="6" t="s">
        <v>37</v>
      </c>
      <c r="AE96" t="s">
        <v>37</v>
      </c>
      <c r="AF96" t="s">
        <v>37</v>
      </c>
      <c r="AG96" s="6" t="s">
        <v>37</v>
      </c>
      <c r="AH96" t="s">
        <v>37</v>
      </c>
      <c r="AI96" t="s">
        <v>37</v>
      </c>
      <c r="AJ96" t="str">
        <f t="shared" si="5"/>
        <v>5HGHPU5OB07VFVRZ6Y</v>
      </c>
    </row>
    <row r="97" spans="1:36" ht="15" customHeight="1" x14ac:dyDescent="0.25">
      <c r="A97" t="s">
        <v>67</v>
      </c>
      <c r="B97" t="s">
        <v>37</v>
      </c>
      <c r="C97" t="s">
        <v>37</v>
      </c>
      <c r="D97" t="s">
        <v>38</v>
      </c>
      <c r="E97" s="4">
        <v>24</v>
      </c>
      <c r="F97" s="5">
        <v>1039.92</v>
      </c>
      <c r="G97" s="5" t="s">
        <v>39</v>
      </c>
      <c r="H97" s="5">
        <v>1672.08</v>
      </c>
      <c r="I97" s="5" t="s">
        <v>39</v>
      </c>
      <c r="J97" s="5">
        <v>35.357280000000003</v>
      </c>
      <c r="K97" s="5">
        <f t="shared" si="3"/>
        <v>1.4732200000000002</v>
      </c>
      <c r="L97" s="5">
        <f t="shared" si="4"/>
        <v>43.330000000000005</v>
      </c>
      <c r="M97" s="5" t="s">
        <v>39</v>
      </c>
      <c r="N97" s="5">
        <v>35.357280000000003</v>
      </c>
      <c r="O97" s="5" t="s">
        <v>39</v>
      </c>
      <c r="P97" t="s">
        <v>108</v>
      </c>
      <c r="Q97" t="s">
        <v>330</v>
      </c>
      <c r="R97" t="s">
        <v>37</v>
      </c>
      <c r="S97" t="s">
        <v>331</v>
      </c>
      <c r="T97" t="s">
        <v>43</v>
      </c>
      <c r="U97" t="s">
        <v>44</v>
      </c>
      <c r="V97">
        <v>147</v>
      </c>
      <c r="W97" t="s">
        <v>45</v>
      </c>
      <c r="X97" t="s">
        <v>96</v>
      </c>
      <c r="Y97" t="s">
        <v>332</v>
      </c>
      <c r="Z97" t="s">
        <v>37</v>
      </c>
      <c r="AA97" t="s">
        <v>48</v>
      </c>
      <c r="AB97" t="s">
        <v>37</v>
      </c>
      <c r="AC97" s="6" t="s">
        <v>37</v>
      </c>
      <c r="AD97" s="6" t="s">
        <v>37</v>
      </c>
      <c r="AE97" t="s">
        <v>37</v>
      </c>
      <c r="AF97" t="s">
        <v>37</v>
      </c>
      <c r="AG97" s="6" t="s">
        <v>37</v>
      </c>
      <c r="AH97" t="s">
        <v>37</v>
      </c>
      <c r="AI97" t="s">
        <v>37</v>
      </c>
      <c r="AJ97" t="str">
        <f t="shared" si="5"/>
        <v>5HGHPU5OB00C7INSWU</v>
      </c>
    </row>
    <row r="98" spans="1:36" ht="15" customHeight="1" x14ac:dyDescent="0.25">
      <c r="A98" t="s">
        <v>67</v>
      </c>
      <c r="B98" t="s">
        <v>37</v>
      </c>
      <c r="C98" t="s">
        <v>37</v>
      </c>
      <c r="D98" t="s">
        <v>38</v>
      </c>
      <c r="E98" s="4">
        <v>20</v>
      </c>
      <c r="F98" s="5">
        <v>738.6</v>
      </c>
      <c r="G98" s="5" t="s">
        <v>39</v>
      </c>
      <c r="H98" s="5">
        <v>1147.4000000000001</v>
      </c>
      <c r="I98" s="5" t="s">
        <v>39</v>
      </c>
      <c r="J98" s="5">
        <v>25.112400000000001</v>
      </c>
      <c r="K98" s="5">
        <f t="shared" si="3"/>
        <v>1.25562</v>
      </c>
      <c r="L98" s="5">
        <f t="shared" si="4"/>
        <v>36.93</v>
      </c>
      <c r="M98" s="5" t="s">
        <v>39</v>
      </c>
      <c r="N98" s="5">
        <v>25.112400000000001</v>
      </c>
      <c r="O98" s="5" t="s">
        <v>39</v>
      </c>
      <c r="P98" t="s">
        <v>108</v>
      </c>
      <c r="Q98" t="s">
        <v>333</v>
      </c>
      <c r="R98" t="s">
        <v>37</v>
      </c>
      <c r="S98" t="s">
        <v>334</v>
      </c>
      <c r="T98" t="s">
        <v>43</v>
      </c>
      <c r="U98" t="s">
        <v>44</v>
      </c>
      <c r="V98">
        <v>147</v>
      </c>
      <c r="W98" t="s">
        <v>45</v>
      </c>
      <c r="X98" t="s">
        <v>53</v>
      </c>
      <c r="Y98" t="s">
        <v>335</v>
      </c>
      <c r="Z98" t="s">
        <v>37</v>
      </c>
      <c r="AA98" t="s">
        <v>61</v>
      </c>
      <c r="AB98" t="s">
        <v>37</v>
      </c>
      <c r="AC98" s="6" t="s">
        <v>37</v>
      </c>
      <c r="AD98" s="6" t="s">
        <v>37</v>
      </c>
      <c r="AE98" t="s">
        <v>37</v>
      </c>
      <c r="AF98" t="s">
        <v>37</v>
      </c>
      <c r="AG98" s="6" t="s">
        <v>37</v>
      </c>
      <c r="AH98" t="s">
        <v>37</v>
      </c>
      <c r="AI98" t="s">
        <v>37</v>
      </c>
      <c r="AJ98" t="str">
        <f t="shared" si="5"/>
        <v>5HGHPU5OB07SCMTKGB</v>
      </c>
    </row>
    <row r="99" spans="1:36" ht="15" customHeight="1" x14ac:dyDescent="0.25">
      <c r="A99" t="s">
        <v>264</v>
      </c>
      <c r="B99" t="s">
        <v>37</v>
      </c>
      <c r="C99" t="s">
        <v>37</v>
      </c>
      <c r="D99" t="s">
        <v>38</v>
      </c>
      <c r="E99" s="4">
        <v>0</v>
      </c>
      <c r="F99" s="5">
        <v>0</v>
      </c>
      <c r="G99" s="5" t="s">
        <v>39</v>
      </c>
      <c r="H99" s="5">
        <v>0</v>
      </c>
      <c r="I99" s="5" t="s">
        <v>39</v>
      </c>
      <c r="J99" s="5">
        <v>0</v>
      </c>
      <c r="K99" s="5" t="e">
        <f t="shared" si="3"/>
        <v>#DIV/0!</v>
      </c>
      <c r="L99" s="5" t="e">
        <f t="shared" si="4"/>
        <v>#DIV/0!</v>
      </c>
      <c r="M99" s="5" t="s">
        <v>39</v>
      </c>
      <c r="N99" s="5">
        <v>0</v>
      </c>
      <c r="O99" s="5" t="s">
        <v>39</v>
      </c>
      <c r="P99" t="s">
        <v>89</v>
      </c>
      <c r="Q99" t="s">
        <v>309</v>
      </c>
      <c r="R99" t="s">
        <v>37</v>
      </c>
      <c r="S99" t="s">
        <v>310</v>
      </c>
      <c r="T99" t="s">
        <v>43</v>
      </c>
      <c r="U99" t="s">
        <v>44</v>
      </c>
      <c r="V99">
        <v>147</v>
      </c>
      <c r="W99" t="s">
        <v>45</v>
      </c>
      <c r="X99" t="s">
        <v>311</v>
      </c>
      <c r="Y99" t="s">
        <v>312</v>
      </c>
      <c r="Z99" t="s">
        <v>37</v>
      </c>
      <c r="AA99" t="s">
        <v>48</v>
      </c>
      <c r="AB99" t="s">
        <v>37</v>
      </c>
      <c r="AC99" s="6" t="s">
        <v>37</v>
      </c>
      <c r="AD99" s="6" t="s">
        <v>37</v>
      </c>
      <c r="AE99" t="s">
        <v>37</v>
      </c>
      <c r="AF99" t="s">
        <v>37</v>
      </c>
      <c r="AG99" s="6" t="s">
        <v>37</v>
      </c>
      <c r="AH99" t="s">
        <v>37</v>
      </c>
      <c r="AI99" t="s">
        <v>37</v>
      </c>
      <c r="AJ99" t="str">
        <f t="shared" si="5"/>
        <v>6D1HFTMSB06XH2VSXM</v>
      </c>
    </row>
    <row r="100" spans="1:36" ht="15" customHeight="1" x14ac:dyDescent="0.25">
      <c r="A100" t="s">
        <v>262</v>
      </c>
      <c r="B100" t="s">
        <v>37</v>
      </c>
      <c r="C100" t="s">
        <v>37</v>
      </c>
      <c r="D100" t="s">
        <v>38</v>
      </c>
      <c r="E100" s="4">
        <v>4</v>
      </c>
      <c r="F100" s="5">
        <v>351.36</v>
      </c>
      <c r="G100" s="5" t="s">
        <v>39</v>
      </c>
      <c r="H100" s="5">
        <v>422.96</v>
      </c>
      <c r="I100" s="5" t="s">
        <v>39</v>
      </c>
      <c r="J100" s="5">
        <v>11.94624</v>
      </c>
      <c r="K100" s="5">
        <f t="shared" si="3"/>
        <v>2.9865599999999999</v>
      </c>
      <c r="L100" s="5">
        <f t="shared" si="4"/>
        <v>87.84</v>
      </c>
      <c r="M100" s="5" t="s">
        <v>39</v>
      </c>
      <c r="N100" s="5">
        <v>11.94624</v>
      </c>
      <c r="O100" s="5" t="s">
        <v>39</v>
      </c>
      <c r="P100" t="s">
        <v>89</v>
      </c>
      <c r="Q100" t="s">
        <v>309</v>
      </c>
      <c r="R100" t="s">
        <v>37</v>
      </c>
      <c r="S100" t="s">
        <v>310</v>
      </c>
      <c r="T100" t="s">
        <v>43</v>
      </c>
      <c r="U100" t="s">
        <v>44</v>
      </c>
      <c r="V100">
        <v>147</v>
      </c>
      <c r="W100" t="s">
        <v>45</v>
      </c>
      <c r="X100" t="s">
        <v>311</v>
      </c>
      <c r="Y100" t="s">
        <v>312</v>
      </c>
      <c r="Z100" t="s">
        <v>37</v>
      </c>
      <c r="AA100" t="s">
        <v>48</v>
      </c>
      <c r="AB100" t="s">
        <v>37</v>
      </c>
      <c r="AC100" s="6" t="s">
        <v>37</v>
      </c>
      <c r="AD100" s="6" t="s">
        <v>37</v>
      </c>
      <c r="AE100" t="s">
        <v>37</v>
      </c>
      <c r="AF100" t="s">
        <v>37</v>
      </c>
      <c r="AG100" s="6" t="s">
        <v>37</v>
      </c>
      <c r="AH100" t="s">
        <v>37</v>
      </c>
      <c r="AI100" t="s">
        <v>37</v>
      </c>
      <c r="AJ100" t="str">
        <f t="shared" si="5"/>
        <v>6D1HFTMSB06XH2VSXM</v>
      </c>
    </row>
    <row r="101" spans="1:36" ht="15" customHeight="1" x14ac:dyDescent="0.25">
      <c r="A101" t="s">
        <v>49</v>
      </c>
      <c r="B101" t="s">
        <v>37</v>
      </c>
      <c r="C101" t="s">
        <v>37</v>
      </c>
      <c r="D101" t="s">
        <v>38</v>
      </c>
      <c r="E101" s="4">
        <v>4</v>
      </c>
      <c r="F101" s="5">
        <v>189.92</v>
      </c>
      <c r="G101" s="5" t="s">
        <v>39</v>
      </c>
      <c r="H101" s="5">
        <v>304.88</v>
      </c>
      <c r="I101" s="5" t="s">
        <v>39</v>
      </c>
      <c r="J101" s="5">
        <v>6.4572799999999999</v>
      </c>
      <c r="K101" s="5">
        <f t="shared" si="3"/>
        <v>1.61432</v>
      </c>
      <c r="L101" s="5">
        <f t="shared" si="4"/>
        <v>47.48</v>
      </c>
      <c r="M101" s="5" t="s">
        <v>39</v>
      </c>
      <c r="N101" s="5">
        <v>6.4572799999999999</v>
      </c>
      <c r="O101" s="5" t="s">
        <v>39</v>
      </c>
      <c r="P101" t="s">
        <v>50</v>
      </c>
      <c r="Q101" t="s">
        <v>336</v>
      </c>
      <c r="R101" t="s">
        <v>37</v>
      </c>
      <c r="S101" t="s">
        <v>337</v>
      </c>
      <c r="T101" t="s">
        <v>43</v>
      </c>
      <c r="U101" t="s">
        <v>44</v>
      </c>
      <c r="V101">
        <v>147</v>
      </c>
      <c r="W101" t="s">
        <v>45</v>
      </c>
      <c r="X101" t="s">
        <v>53</v>
      </c>
      <c r="Y101" t="s">
        <v>338</v>
      </c>
      <c r="Z101" t="s">
        <v>37</v>
      </c>
      <c r="AA101" t="s">
        <v>61</v>
      </c>
      <c r="AB101" t="s">
        <v>37</v>
      </c>
      <c r="AC101" s="6" t="s">
        <v>37</v>
      </c>
      <c r="AD101" s="6" t="s">
        <v>37</v>
      </c>
      <c r="AE101" t="s">
        <v>37</v>
      </c>
      <c r="AF101" t="s">
        <v>37</v>
      </c>
      <c r="AG101" s="6" t="s">
        <v>37</v>
      </c>
      <c r="AH101" t="s">
        <v>37</v>
      </c>
      <c r="AI101" t="s">
        <v>37</v>
      </c>
      <c r="AJ101" t="str">
        <f t="shared" si="5"/>
        <v>54U7COBYB07GS6ZS8J</v>
      </c>
    </row>
    <row r="102" spans="1:36" ht="15" customHeight="1" x14ac:dyDescent="0.25">
      <c r="A102" t="s">
        <v>67</v>
      </c>
      <c r="B102" t="s">
        <v>37</v>
      </c>
      <c r="C102" t="s">
        <v>37</v>
      </c>
      <c r="D102" t="s">
        <v>38</v>
      </c>
      <c r="E102" s="4">
        <v>36</v>
      </c>
      <c r="F102" s="5">
        <v>759.6</v>
      </c>
      <c r="G102" s="5" t="s">
        <v>39</v>
      </c>
      <c r="H102" s="5">
        <v>1209.5999999999999</v>
      </c>
      <c r="I102" s="5" t="s">
        <v>39</v>
      </c>
      <c r="J102" s="5">
        <v>25.8264</v>
      </c>
      <c r="K102" s="5">
        <f t="shared" si="3"/>
        <v>0.71740000000000004</v>
      </c>
      <c r="L102" s="5">
        <f t="shared" si="4"/>
        <v>21.1</v>
      </c>
      <c r="M102" s="5" t="s">
        <v>39</v>
      </c>
      <c r="N102" s="5">
        <v>25.8264</v>
      </c>
      <c r="O102" s="5" t="s">
        <v>39</v>
      </c>
      <c r="P102" t="s">
        <v>108</v>
      </c>
      <c r="Q102" t="s">
        <v>339</v>
      </c>
      <c r="R102" t="s">
        <v>37</v>
      </c>
      <c r="S102" t="s">
        <v>340</v>
      </c>
      <c r="T102" t="s">
        <v>43</v>
      </c>
      <c r="U102" t="s">
        <v>44</v>
      </c>
      <c r="V102">
        <v>147</v>
      </c>
      <c r="W102" t="s">
        <v>45</v>
      </c>
      <c r="X102" t="s">
        <v>46</v>
      </c>
      <c r="Y102" t="s">
        <v>341</v>
      </c>
      <c r="Z102" t="s">
        <v>37</v>
      </c>
      <c r="AA102" t="s">
        <v>48</v>
      </c>
      <c r="AB102" t="s">
        <v>37</v>
      </c>
      <c r="AC102" s="6" t="s">
        <v>37</v>
      </c>
      <c r="AD102" s="6" t="s">
        <v>37</v>
      </c>
      <c r="AE102" t="s">
        <v>37</v>
      </c>
      <c r="AF102" t="s">
        <v>37</v>
      </c>
      <c r="AG102" s="6" t="s">
        <v>37</v>
      </c>
      <c r="AH102" t="s">
        <v>37</v>
      </c>
      <c r="AI102" t="s">
        <v>37</v>
      </c>
      <c r="AJ102" t="str">
        <f t="shared" si="5"/>
        <v>5HGHPU5OB01DKTP30O</v>
      </c>
    </row>
    <row r="103" spans="1:36" ht="15" customHeight="1" x14ac:dyDescent="0.25">
      <c r="A103" t="s">
        <v>67</v>
      </c>
      <c r="B103" t="s">
        <v>37</v>
      </c>
      <c r="C103" t="s">
        <v>37</v>
      </c>
      <c r="D103" t="s">
        <v>38</v>
      </c>
      <c r="E103" s="4">
        <v>400</v>
      </c>
      <c r="F103" s="5">
        <v>2340</v>
      </c>
      <c r="G103" s="5" t="s">
        <v>39</v>
      </c>
      <c r="H103" s="5">
        <v>2340</v>
      </c>
      <c r="I103" s="5" t="s">
        <v>39</v>
      </c>
      <c r="J103" s="5">
        <v>79.56</v>
      </c>
      <c r="K103" s="5">
        <f t="shared" si="3"/>
        <v>0.19889999999999999</v>
      </c>
      <c r="L103" s="5">
        <f t="shared" si="4"/>
        <v>5.85</v>
      </c>
      <c r="M103" s="5" t="s">
        <v>39</v>
      </c>
      <c r="N103" s="5">
        <v>79.56</v>
      </c>
      <c r="O103" s="5" t="s">
        <v>39</v>
      </c>
      <c r="P103" t="s">
        <v>108</v>
      </c>
      <c r="Q103" t="s">
        <v>342</v>
      </c>
      <c r="R103" t="s">
        <v>37</v>
      </c>
      <c r="S103" t="s">
        <v>343</v>
      </c>
      <c r="T103" t="s">
        <v>43</v>
      </c>
      <c r="U103" t="s">
        <v>44</v>
      </c>
      <c r="V103">
        <v>147</v>
      </c>
      <c r="W103" t="s">
        <v>45</v>
      </c>
      <c r="X103" t="s">
        <v>53</v>
      </c>
      <c r="Y103" t="s">
        <v>344</v>
      </c>
      <c r="Z103" t="s">
        <v>37</v>
      </c>
      <c r="AA103" t="s">
        <v>48</v>
      </c>
      <c r="AB103" t="s">
        <v>37</v>
      </c>
      <c r="AC103" s="6" t="s">
        <v>37</v>
      </c>
      <c r="AD103" s="6" t="s">
        <v>37</v>
      </c>
      <c r="AE103" t="s">
        <v>37</v>
      </c>
      <c r="AF103" t="s">
        <v>37</v>
      </c>
      <c r="AG103" s="6" t="s">
        <v>37</v>
      </c>
      <c r="AH103" t="s">
        <v>37</v>
      </c>
      <c r="AI103" t="s">
        <v>37</v>
      </c>
      <c r="AJ103" t="str">
        <f t="shared" si="5"/>
        <v>5HGHPU5OB003AUZKYI</v>
      </c>
    </row>
    <row r="104" spans="1:36" ht="15" customHeight="1" x14ac:dyDescent="0.25">
      <c r="A104" t="s">
        <v>67</v>
      </c>
      <c r="B104" t="s">
        <v>37</v>
      </c>
      <c r="C104" t="s">
        <v>37</v>
      </c>
      <c r="D104" t="s">
        <v>38</v>
      </c>
      <c r="E104" s="4">
        <v>32</v>
      </c>
      <c r="F104" s="5">
        <v>561.91999999999996</v>
      </c>
      <c r="G104" s="5" t="s">
        <v>39</v>
      </c>
      <c r="H104" s="5">
        <v>812.8</v>
      </c>
      <c r="I104" s="5" t="s">
        <v>39</v>
      </c>
      <c r="J104" s="5">
        <v>19.10528</v>
      </c>
      <c r="K104" s="5">
        <f t="shared" si="3"/>
        <v>0.59704000000000002</v>
      </c>
      <c r="L104" s="5">
        <f t="shared" si="4"/>
        <v>17.559999999999999</v>
      </c>
      <c r="M104" s="5" t="s">
        <v>39</v>
      </c>
      <c r="N104" s="5">
        <v>19.10528</v>
      </c>
      <c r="O104" s="5" t="s">
        <v>39</v>
      </c>
      <c r="P104" t="s">
        <v>108</v>
      </c>
      <c r="Q104" t="s">
        <v>345</v>
      </c>
      <c r="R104" t="s">
        <v>37</v>
      </c>
      <c r="S104" t="s">
        <v>346</v>
      </c>
      <c r="T104" t="s">
        <v>43</v>
      </c>
      <c r="U104" t="s">
        <v>44</v>
      </c>
      <c r="V104">
        <v>23</v>
      </c>
      <c r="W104" t="s">
        <v>347</v>
      </c>
      <c r="X104" t="s">
        <v>348</v>
      </c>
      <c r="Y104" t="s">
        <v>349</v>
      </c>
      <c r="Z104" t="s">
        <v>37</v>
      </c>
      <c r="AA104" t="s">
        <v>48</v>
      </c>
      <c r="AB104" t="s">
        <v>37</v>
      </c>
      <c r="AC104" s="6" t="s">
        <v>37</v>
      </c>
      <c r="AD104" s="6" t="s">
        <v>37</v>
      </c>
      <c r="AE104" t="s">
        <v>37</v>
      </c>
      <c r="AF104" t="s">
        <v>37</v>
      </c>
      <c r="AG104" s="6" t="s">
        <v>37</v>
      </c>
      <c r="AH104" t="s">
        <v>37</v>
      </c>
      <c r="AI104" t="s">
        <v>37</v>
      </c>
      <c r="AJ104" t="str">
        <f t="shared" si="5"/>
        <v>5HGHPU5OB06W547XN2</v>
      </c>
    </row>
    <row r="105" spans="1:36" ht="15" customHeight="1" x14ac:dyDescent="0.25">
      <c r="A105" t="s">
        <v>36</v>
      </c>
      <c r="B105" t="s">
        <v>37</v>
      </c>
      <c r="C105" t="s">
        <v>37</v>
      </c>
      <c r="D105" t="s">
        <v>38</v>
      </c>
      <c r="E105" s="4">
        <v>0</v>
      </c>
      <c r="F105" s="5">
        <v>0</v>
      </c>
      <c r="G105" s="5" t="s">
        <v>39</v>
      </c>
      <c r="H105" s="5">
        <v>0</v>
      </c>
      <c r="I105" s="5" t="s">
        <v>39</v>
      </c>
      <c r="J105" s="5">
        <v>0</v>
      </c>
      <c r="K105" s="5" t="e">
        <f t="shared" si="3"/>
        <v>#DIV/0!</v>
      </c>
      <c r="L105" s="5" t="e">
        <f t="shared" si="4"/>
        <v>#DIV/0!</v>
      </c>
      <c r="M105" s="5" t="s">
        <v>39</v>
      </c>
      <c r="N105" s="5">
        <v>0</v>
      </c>
      <c r="O105" s="5" t="s">
        <v>39</v>
      </c>
      <c r="P105" t="s">
        <v>241</v>
      </c>
      <c r="Q105" t="s">
        <v>242</v>
      </c>
      <c r="R105" t="s">
        <v>37</v>
      </c>
      <c r="S105" t="s">
        <v>243</v>
      </c>
      <c r="T105" t="s">
        <v>43</v>
      </c>
      <c r="U105" t="s">
        <v>44</v>
      </c>
      <c r="V105">
        <v>147</v>
      </c>
      <c r="W105" t="s">
        <v>45</v>
      </c>
      <c r="X105" t="s">
        <v>53</v>
      </c>
      <c r="Y105" t="s">
        <v>244</v>
      </c>
      <c r="Z105" t="s">
        <v>37</v>
      </c>
      <c r="AA105" t="s">
        <v>48</v>
      </c>
      <c r="AB105" t="s">
        <v>37</v>
      </c>
      <c r="AC105" s="6" t="s">
        <v>37</v>
      </c>
      <c r="AD105" s="6" t="s">
        <v>37</v>
      </c>
      <c r="AE105" t="s">
        <v>37</v>
      </c>
      <c r="AF105" t="s">
        <v>37</v>
      </c>
      <c r="AG105" s="6" t="s">
        <v>37</v>
      </c>
      <c r="AH105" t="s">
        <v>37</v>
      </c>
      <c r="AI105" t="s">
        <v>37</v>
      </c>
      <c r="AJ105" t="str">
        <f t="shared" si="5"/>
        <v>8E4YHFGVB07W6HDNNV</v>
      </c>
    </row>
    <row r="106" spans="1:36" ht="15" customHeight="1" x14ac:dyDescent="0.25">
      <c r="A106" t="s">
        <v>67</v>
      </c>
      <c r="B106" t="s">
        <v>37</v>
      </c>
      <c r="C106" t="s">
        <v>37</v>
      </c>
      <c r="D106" t="s">
        <v>38</v>
      </c>
      <c r="E106" s="4">
        <v>28</v>
      </c>
      <c r="F106" s="5">
        <v>2348.92</v>
      </c>
      <c r="G106" s="5" t="s">
        <v>39</v>
      </c>
      <c r="H106" s="5">
        <v>3786.72</v>
      </c>
      <c r="I106" s="5" t="s">
        <v>39</v>
      </c>
      <c r="J106" s="5">
        <v>79.863280000000003</v>
      </c>
      <c r="K106" s="5">
        <f t="shared" si="3"/>
        <v>2.8522600000000002</v>
      </c>
      <c r="L106" s="5">
        <f t="shared" si="4"/>
        <v>83.89</v>
      </c>
      <c r="M106" s="5" t="s">
        <v>39</v>
      </c>
      <c r="N106" s="5">
        <v>79.863280000000003</v>
      </c>
      <c r="O106" s="5" t="s">
        <v>39</v>
      </c>
      <c r="P106" t="s">
        <v>108</v>
      </c>
      <c r="Q106" t="s">
        <v>350</v>
      </c>
      <c r="R106" t="s">
        <v>37</v>
      </c>
      <c r="S106" t="s">
        <v>351</v>
      </c>
      <c r="T106" t="s">
        <v>43</v>
      </c>
      <c r="U106" t="s">
        <v>44</v>
      </c>
      <c r="V106">
        <v>147</v>
      </c>
      <c r="W106" t="s">
        <v>45</v>
      </c>
      <c r="X106" t="s">
        <v>53</v>
      </c>
      <c r="Y106" t="s">
        <v>352</v>
      </c>
      <c r="Z106" t="s">
        <v>37</v>
      </c>
      <c r="AA106" t="s">
        <v>61</v>
      </c>
      <c r="AB106" t="s">
        <v>37</v>
      </c>
      <c r="AC106" s="6" t="s">
        <v>37</v>
      </c>
      <c r="AD106" s="6" t="s">
        <v>37</v>
      </c>
      <c r="AE106" t="s">
        <v>37</v>
      </c>
      <c r="AF106" t="s">
        <v>37</v>
      </c>
      <c r="AG106" s="6" t="s">
        <v>37</v>
      </c>
      <c r="AH106" t="s">
        <v>37</v>
      </c>
      <c r="AI106" t="s">
        <v>37</v>
      </c>
      <c r="AJ106" t="str">
        <f t="shared" si="5"/>
        <v>5HGHPU5OB07W7MKLNT</v>
      </c>
    </row>
    <row r="107" spans="1:36" ht="15" customHeight="1" x14ac:dyDescent="0.25">
      <c r="A107" t="s">
        <v>36</v>
      </c>
      <c r="B107" t="s">
        <v>37</v>
      </c>
      <c r="C107" t="s">
        <v>37</v>
      </c>
      <c r="D107" t="s">
        <v>38</v>
      </c>
      <c r="E107" s="4">
        <v>28</v>
      </c>
      <c r="F107" s="5">
        <v>983.64</v>
      </c>
      <c r="G107" s="5" t="s">
        <v>39</v>
      </c>
      <c r="H107" s="5">
        <v>1399.72</v>
      </c>
      <c r="I107" s="5" t="s">
        <v>39</v>
      </c>
      <c r="J107" s="5">
        <v>33.443759999999997</v>
      </c>
      <c r="K107" s="5">
        <f t="shared" si="3"/>
        <v>1.1944199999999998</v>
      </c>
      <c r="L107" s="5">
        <f t="shared" si="4"/>
        <v>35.130000000000003</v>
      </c>
      <c r="M107" s="5" t="s">
        <v>39</v>
      </c>
      <c r="N107" s="5">
        <v>33.443759999999997</v>
      </c>
      <c r="O107" s="5" t="s">
        <v>39</v>
      </c>
      <c r="P107" t="s">
        <v>89</v>
      </c>
      <c r="Q107" t="s">
        <v>353</v>
      </c>
      <c r="R107" t="s">
        <v>37</v>
      </c>
      <c r="S107" t="s">
        <v>354</v>
      </c>
      <c r="T107" t="s">
        <v>43</v>
      </c>
      <c r="U107" t="s">
        <v>44</v>
      </c>
      <c r="V107">
        <v>147</v>
      </c>
      <c r="W107" t="s">
        <v>45</v>
      </c>
      <c r="X107" t="s">
        <v>248</v>
      </c>
      <c r="Y107" t="s">
        <v>355</v>
      </c>
      <c r="Z107" t="s">
        <v>37</v>
      </c>
      <c r="AA107" t="s">
        <v>61</v>
      </c>
      <c r="AB107" t="s">
        <v>37</v>
      </c>
      <c r="AC107" s="6" t="s">
        <v>37</v>
      </c>
      <c r="AD107" s="6" t="s">
        <v>37</v>
      </c>
      <c r="AE107" t="s">
        <v>37</v>
      </c>
      <c r="AF107" t="s">
        <v>37</v>
      </c>
      <c r="AG107" s="6" t="s">
        <v>37</v>
      </c>
      <c r="AH107" t="s">
        <v>37</v>
      </c>
      <c r="AI107" t="s">
        <v>37</v>
      </c>
      <c r="AJ107" t="str">
        <f t="shared" si="5"/>
        <v>6D1HFTMSB003LNXT7Y</v>
      </c>
    </row>
    <row r="108" spans="1:36" ht="15" customHeight="1" x14ac:dyDescent="0.25">
      <c r="A108" t="s">
        <v>67</v>
      </c>
      <c r="B108" t="s">
        <v>37</v>
      </c>
      <c r="C108" t="s">
        <v>37</v>
      </c>
      <c r="D108" t="s">
        <v>38</v>
      </c>
      <c r="E108" s="4">
        <v>4</v>
      </c>
      <c r="F108" s="5">
        <v>168.8</v>
      </c>
      <c r="G108" s="5" t="s">
        <v>39</v>
      </c>
      <c r="H108" s="5">
        <v>268.8</v>
      </c>
      <c r="I108" s="5" t="s">
        <v>39</v>
      </c>
      <c r="J108" s="5">
        <v>5.7392000000000003</v>
      </c>
      <c r="K108" s="5">
        <f t="shared" si="3"/>
        <v>1.4348000000000001</v>
      </c>
      <c r="L108" s="5">
        <f t="shared" si="4"/>
        <v>42.2</v>
      </c>
      <c r="M108" s="5" t="s">
        <v>39</v>
      </c>
      <c r="N108" s="5">
        <v>5.7392000000000003</v>
      </c>
      <c r="O108" s="5" t="s">
        <v>39</v>
      </c>
      <c r="P108" t="s">
        <v>245</v>
      </c>
      <c r="Q108" t="s">
        <v>356</v>
      </c>
      <c r="R108" t="s">
        <v>37</v>
      </c>
      <c r="S108" t="s">
        <v>357</v>
      </c>
      <c r="T108" t="s">
        <v>43</v>
      </c>
      <c r="U108" t="s">
        <v>44</v>
      </c>
      <c r="V108">
        <v>147</v>
      </c>
      <c r="W108" t="s">
        <v>45</v>
      </c>
      <c r="X108" t="s">
        <v>46</v>
      </c>
      <c r="Y108" t="s">
        <v>358</v>
      </c>
      <c r="Z108" t="s">
        <v>37</v>
      </c>
      <c r="AA108" t="s">
        <v>48</v>
      </c>
      <c r="AB108" t="s">
        <v>37</v>
      </c>
      <c r="AC108" s="6" t="s">
        <v>37</v>
      </c>
      <c r="AD108" s="6" t="s">
        <v>37</v>
      </c>
      <c r="AE108" t="s">
        <v>37</v>
      </c>
      <c r="AF108" t="s">
        <v>37</v>
      </c>
      <c r="AG108" s="6" t="s">
        <v>37</v>
      </c>
      <c r="AH108" t="s">
        <v>37</v>
      </c>
      <c r="AI108" t="s">
        <v>37</v>
      </c>
      <c r="AJ108" t="str">
        <f t="shared" si="5"/>
        <v>6ZGQP34KB01L6L45ES</v>
      </c>
    </row>
    <row r="109" spans="1:36" ht="15" customHeight="1" x14ac:dyDescent="0.25">
      <c r="A109" t="s">
        <v>264</v>
      </c>
      <c r="B109" t="s">
        <v>37</v>
      </c>
      <c r="C109" t="s">
        <v>37</v>
      </c>
      <c r="D109" t="s">
        <v>38</v>
      </c>
      <c r="E109" s="4">
        <v>10</v>
      </c>
      <c r="F109" s="5">
        <v>99.5</v>
      </c>
      <c r="G109" s="5" t="s">
        <v>39</v>
      </c>
      <c r="H109" s="5">
        <v>138.5</v>
      </c>
      <c r="I109" s="5" t="s">
        <v>39</v>
      </c>
      <c r="J109" s="5">
        <v>3.383</v>
      </c>
      <c r="K109" s="5">
        <f t="shared" si="3"/>
        <v>0.33829999999999999</v>
      </c>
      <c r="L109" s="5">
        <f t="shared" si="4"/>
        <v>9.9499999999999993</v>
      </c>
      <c r="M109" s="5" t="s">
        <v>39</v>
      </c>
      <c r="N109" s="5">
        <v>3.383</v>
      </c>
      <c r="O109" s="5" t="s">
        <v>39</v>
      </c>
      <c r="P109" t="s">
        <v>265</v>
      </c>
      <c r="Q109" t="s">
        <v>164</v>
      </c>
      <c r="R109" t="s">
        <v>37</v>
      </c>
      <c r="S109" t="s">
        <v>165</v>
      </c>
      <c r="T109" t="s">
        <v>43</v>
      </c>
      <c r="U109" t="s">
        <v>44</v>
      </c>
      <c r="V109">
        <v>147</v>
      </c>
      <c r="W109" t="s">
        <v>45</v>
      </c>
      <c r="X109" t="s">
        <v>75</v>
      </c>
      <c r="Y109" t="s">
        <v>166</v>
      </c>
      <c r="Z109" t="s">
        <v>37</v>
      </c>
      <c r="AA109" t="s">
        <v>61</v>
      </c>
      <c r="AB109" t="s">
        <v>37</v>
      </c>
      <c r="AC109" s="6" t="s">
        <v>37</v>
      </c>
      <c r="AD109" s="6" t="s">
        <v>37</v>
      </c>
      <c r="AE109" t="s">
        <v>37</v>
      </c>
      <c r="AF109" t="s">
        <v>37</v>
      </c>
      <c r="AG109" s="6" t="s">
        <v>37</v>
      </c>
      <c r="AH109" t="s">
        <v>37</v>
      </c>
      <c r="AI109" t="s">
        <v>37</v>
      </c>
      <c r="AJ109" t="str">
        <f t="shared" si="5"/>
        <v>3UTU3G8KB003V4A5VG</v>
      </c>
    </row>
    <row r="110" spans="1:36" ht="15" customHeight="1" x14ac:dyDescent="0.25">
      <c r="A110" t="s">
        <v>67</v>
      </c>
      <c r="B110" t="s">
        <v>37</v>
      </c>
      <c r="C110" t="s">
        <v>37</v>
      </c>
      <c r="D110" t="s">
        <v>38</v>
      </c>
      <c r="E110" s="4">
        <v>16</v>
      </c>
      <c r="F110" s="5">
        <v>187.36</v>
      </c>
      <c r="G110" s="5" t="s">
        <v>39</v>
      </c>
      <c r="H110" s="5">
        <v>275.2</v>
      </c>
      <c r="I110" s="5" t="s">
        <v>39</v>
      </c>
      <c r="J110" s="5">
        <v>6.3702399999999999</v>
      </c>
      <c r="K110" s="5">
        <f t="shared" si="3"/>
        <v>0.39813999999999999</v>
      </c>
      <c r="L110" s="5">
        <f t="shared" si="4"/>
        <v>11.71</v>
      </c>
      <c r="M110" s="5" t="s">
        <v>39</v>
      </c>
      <c r="N110" s="5">
        <v>6.3702399999999999</v>
      </c>
      <c r="O110" s="5" t="s">
        <v>39</v>
      </c>
      <c r="P110" t="s">
        <v>63</v>
      </c>
      <c r="Q110" t="s">
        <v>359</v>
      </c>
      <c r="R110" t="s">
        <v>37</v>
      </c>
      <c r="S110" t="s">
        <v>360</v>
      </c>
      <c r="T110" t="s">
        <v>43</v>
      </c>
      <c r="U110" t="s">
        <v>44</v>
      </c>
      <c r="V110">
        <v>147</v>
      </c>
      <c r="W110" t="s">
        <v>45</v>
      </c>
      <c r="X110" t="s">
        <v>177</v>
      </c>
      <c r="Y110" t="s">
        <v>361</v>
      </c>
      <c r="Z110" t="s">
        <v>37</v>
      </c>
      <c r="AA110" t="s">
        <v>145</v>
      </c>
      <c r="AB110" t="s">
        <v>37</v>
      </c>
      <c r="AC110" s="6" t="s">
        <v>37</v>
      </c>
      <c r="AD110" s="6" t="s">
        <v>37</v>
      </c>
      <c r="AE110" t="s">
        <v>37</v>
      </c>
      <c r="AF110" t="s">
        <v>37</v>
      </c>
      <c r="AG110" s="6" t="s">
        <v>37</v>
      </c>
      <c r="AH110" t="s">
        <v>37</v>
      </c>
      <c r="AI110" t="s">
        <v>37</v>
      </c>
      <c r="AJ110" t="str">
        <f t="shared" si="5"/>
        <v>3AWPOPBJB00ZOZZM4U</v>
      </c>
    </row>
    <row r="111" spans="1:36" ht="15" customHeight="1" x14ac:dyDescent="0.25">
      <c r="A111" t="s">
        <v>49</v>
      </c>
      <c r="B111" t="s">
        <v>37</v>
      </c>
      <c r="C111" t="s">
        <v>37</v>
      </c>
      <c r="D111" t="s">
        <v>38</v>
      </c>
      <c r="E111" s="4">
        <v>12</v>
      </c>
      <c r="F111" s="5">
        <v>246</v>
      </c>
      <c r="G111" s="5" t="s">
        <v>39</v>
      </c>
      <c r="H111" s="5">
        <v>246</v>
      </c>
      <c r="I111" s="5" t="s">
        <v>39</v>
      </c>
      <c r="J111" s="5">
        <v>8.3640000000000008</v>
      </c>
      <c r="K111" s="5">
        <f t="shared" si="3"/>
        <v>0.69700000000000006</v>
      </c>
      <c r="L111" s="5">
        <f t="shared" si="4"/>
        <v>20.5</v>
      </c>
      <c r="M111" s="5" t="s">
        <v>39</v>
      </c>
      <c r="N111" s="5">
        <v>8.3640000000000008</v>
      </c>
      <c r="O111" s="5" t="s">
        <v>39</v>
      </c>
      <c r="P111" t="s">
        <v>362</v>
      </c>
      <c r="Q111" t="s">
        <v>363</v>
      </c>
      <c r="R111" t="s">
        <v>37</v>
      </c>
      <c r="S111" t="s">
        <v>364</v>
      </c>
      <c r="T111" t="s">
        <v>43</v>
      </c>
      <c r="U111" t="s">
        <v>44</v>
      </c>
      <c r="V111">
        <v>147</v>
      </c>
      <c r="W111" t="s">
        <v>45</v>
      </c>
      <c r="X111" t="s">
        <v>248</v>
      </c>
      <c r="Y111" t="s">
        <v>365</v>
      </c>
      <c r="Z111" t="s">
        <v>37</v>
      </c>
      <c r="AA111" t="s">
        <v>61</v>
      </c>
      <c r="AB111" t="s">
        <v>37</v>
      </c>
      <c r="AC111" s="6" t="s">
        <v>37</v>
      </c>
      <c r="AD111" s="6" t="s">
        <v>37</v>
      </c>
      <c r="AE111" t="s">
        <v>37</v>
      </c>
      <c r="AF111" t="s">
        <v>37</v>
      </c>
      <c r="AG111" s="6" t="s">
        <v>37</v>
      </c>
      <c r="AH111" t="s">
        <v>37</v>
      </c>
      <c r="AI111" t="s">
        <v>37</v>
      </c>
      <c r="AJ111" t="str">
        <f t="shared" si="5"/>
        <v>3C9KY3UKB00EUUXFFS</v>
      </c>
    </row>
    <row r="112" spans="1:36" ht="15" customHeight="1" x14ac:dyDescent="0.25">
      <c r="A112" t="s">
        <v>127</v>
      </c>
      <c r="B112" t="s">
        <v>37</v>
      </c>
      <c r="C112" t="s">
        <v>37</v>
      </c>
      <c r="D112" t="s">
        <v>38</v>
      </c>
      <c r="E112" s="4">
        <v>10</v>
      </c>
      <c r="F112" s="5">
        <v>99.5</v>
      </c>
      <c r="G112" s="5" t="s">
        <v>39</v>
      </c>
      <c r="H112" s="5">
        <v>138.5</v>
      </c>
      <c r="I112" s="5" t="s">
        <v>39</v>
      </c>
      <c r="J112" s="5">
        <v>3.383</v>
      </c>
      <c r="K112" s="5">
        <f t="shared" si="3"/>
        <v>0.33829999999999999</v>
      </c>
      <c r="L112" s="5">
        <f t="shared" si="4"/>
        <v>9.9499999999999993</v>
      </c>
      <c r="M112" s="5" t="s">
        <v>39</v>
      </c>
      <c r="N112" s="5">
        <v>3.383</v>
      </c>
      <c r="O112" s="5" t="s">
        <v>39</v>
      </c>
      <c r="P112" t="s">
        <v>138</v>
      </c>
      <c r="Q112" t="s">
        <v>366</v>
      </c>
      <c r="R112" t="s">
        <v>37</v>
      </c>
      <c r="S112" t="s">
        <v>367</v>
      </c>
      <c r="T112" t="s">
        <v>43</v>
      </c>
      <c r="U112" t="s">
        <v>44</v>
      </c>
      <c r="V112">
        <v>147</v>
      </c>
      <c r="W112" t="s">
        <v>45</v>
      </c>
      <c r="X112" t="s">
        <v>75</v>
      </c>
      <c r="Y112" t="s">
        <v>368</v>
      </c>
      <c r="Z112" t="s">
        <v>37</v>
      </c>
      <c r="AA112" t="s">
        <v>48</v>
      </c>
      <c r="AB112" t="s">
        <v>37</v>
      </c>
      <c r="AC112" s="6" t="s">
        <v>37</v>
      </c>
      <c r="AD112" s="6" t="s">
        <v>37</v>
      </c>
      <c r="AE112" t="s">
        <v>37</v>
      </c>
      <c r="AF112" t="s">
        <v>37</v>
      </c>
      <c r="AG112" s="6" t="s">
        <v>37</v>
      </c>
      <c r="AH112" t="s">
        <v>37</v>
      </c>
      <c r="AI112" t="s">
        <v>37</v>
      </c>
      <c r="AJ112" t="str">
        <f t="shared" si="5"/>
        <v>1S3VNUKAB008M4RH1G</v>
      </c>
    </row>
    <row r="113" spans="1:36" ht="15" customHeight="1" x14ac:dyDescent="0.25">
      <c r="A113" t="s">
        <v>67</v>
      </c>
      <c r="B113" t="s">
        <v>37</v>
      </c>
      <c r="C113" t="s">
        <v>37</v>
      </c>
      <c r="D113" t="s">
        <v>38</v>
      </c>
      <c r="E113" s="4">
        <v>8</v>
      </c>
      <c r="F113" s="5">
        <v>253.2</v>
      </c>
      <c r="G113" s="5" t="s">
        <v>39</v>
      </c>
      <c r="H113" s="5">
        <v>406.48</v>
      </c>
      <c r="I113" s="5" t="s">
        <v>39</v>
      </c>
      <c r="J113" s="5">
        <v>8.6088000000000005</v>
      </c>
      <c r="K113" s="5">
        <f t="shared" si="3"/>
        <v>1.0761000000000001</v>
      </c>
      <c r="L113" s="5">
        <f t="shared" si="4"/>
        <v>31.65</v>
      </c>
      <c r="M113" s="5" t="s">
        <v>39</v>
      </c>
      <c r="N113" s="5">
        <v>8.6088000000000005</v>
      </c>
      <c r="O113" s="5" t="s">
        <v>39</v>
      </c>
      <c r="P113" t="s">
        <v>63</v>
      </c>
      <c r="Q113" t="s">
        <v>313</v>
      </c>
      <c r="R113" t="s">
        <v>37</v>
      </c>
      <c r="S113" t="s">
        <v>314</v>
      </c>
      <c r="T113" t="s">
        <v>43</v>
      </c>
      <c r="U113" t="s">
        <v>44</v>
      </c>
      <c r="V113">
        <v>147</v>
      </c>
      <c r="W113" t="s">
        <v>45</v>
      </c>
      <c r="X113" t="s">
        <v>177</v>
      </c>
      <c r="Y113" t="s">
        <v>315</v>
      </c>
      <c r="Z113" t="s">
        <v>37</v>
      </c>
      <c r="AA113" t="s">
        <v>145</v>
      </c>
      <c r="AB113" t="s">
        <v>37</v>
      </c>
      <c r="AC113" s="6" t="s">
        <v>37</v>
      </c>
      <c r="AD113" s="6" t="s">
        <v>37</v>
      </c>
      <c r="AE113" t="s">
        <v>37</v>
      </c>
      <c r="AF113" t="s">
        <v>37</v>
      </c>
      <c r="AG113" s="6" t="s">
        <v>37</v>
      </c>
      <c r="AH113" t="s">
        <v>37</v>
      </c>
      <c r="AI113" t="s">
        <v>37</v>
      </c>
      <c r="AJ113" t="str">
        <f t="shared" si="5"/>
        <v>3AWPOPBJB07MTWHWZ1</v>
      </c>
    </row>
    <row r="114" spans="1:36" ht="15" customHeight="1" x14ac:dyDescent="0.25">
      <c r="A114" t="s">
        <v>133</v>
      </c>
      <c r="B114" t="s">
        <v>37</v>
      </c>
      <c r="C114" t="s">
        <v>37</v>
      </c>
      <c r="D114" t="s">
        <v>38</v>
      </c>
      <c r="E114" s="4">
        <v>270</v>
      </c>
      <c r="F114" s="5">
        <v>3952.8</v>
      </c>
      <c r="G114" s="5" t="s">
        <v>39</v>
      </c>
      <c r="H114" s="5">
        <v>5751</v>
      </c>
      <c r="I114" s="5" t="s">
        <v>39</v>
      </c>
      <c r="J114" s="5">
        <v>134.39519999999999</v>
      </c>
      <c r="K114" s="5">
        <f t="shared" si="3"/>
        <v>0.49775999999999998</v>
      </c>
      <c r="L114" s="5">
        <f t="shared" si="4"/>
        <v>14.64</v>
      </c>
      <c r="M114" s="5" t="s">
        <v>39</v>
      </c>
      <c r="N114" s="5">
        <v>134.39519999999999</v>
      </c>
      <c r="O114" s="5" t="s">
        <v>39</v>
      </c>
      <c r="P114" t="s">
        <v>134</v>
      </c>
      <c r="Q114" t="s">
        <v>369</v>
      </c>
      <c r="R114" t="s">
        <v>37</v>
      </c>
      <c r="S114" t="s">
        <v>370</v>
      </c>
      <c r="T114" t="s">
        <v>43</v>
      </c>
      <c r="U114" t="s">
        <v>44</v>
      </c>
      <c r="V114">
        <v>147</v>
      </c>
      <c r="W114" t="s">
        <v>45</v>
      </c>
      <c r="X114" t="s">
        <v>75</v>
      </c>
      <c r="Y114" t="s">
        <v>371</v>
      </c>
      <c r="Z114" t="s">
        <v>37</v>
      </c>
      <c r="AA114" t="s">
        <v>61</v>
      </c>
      <c r="AB114" t="s">
        <v>37</v>
      </c>
      <c r="AC114" s="6" t="s">
        <v>37</v>
      </c>
      <c r="AD114" s="6" t="s">
        <v>37</v>
      </c>
      <c r="AE114" t="s">
        <v>37</v>
      </c>
      <c r="AF114" t="s">
        <v>37</v>
      </c>
      <c r="AG114" s="6" t="s">
        <v>37</v>
      </c>
      <c r="AH114" t="s">
        <v>37</v>
      </c>
      <c r="AI114" t="s">
        <v>37</v>
      </c>
      <c r="AJ114" t="str">
        <f t="shared" si="5"/>
        <v>6VR89N1LB004CM47VU</v>
      </c>
    </row>
    <row r="115" spans="1:36" ht="15" customHeight="1" x14ac:dyDescent="0.25">
      <c r="A115" t="s">
        <v>372</v>
      </c>
      <c r="B115" t="s">
        <v>37</v>
      </c>
      <c r="C115" t="s">
        <v>37</v>
      </c>
      <c r="D115" t="s">
        <v>38</v>
      </c>
      <c r="E115" s="4">
        <v>36</v>
      </c>
      <c r="F115" s="5">
        <v>1329.48</v>
      </c>
      <c r="G115" s="5" t="s">
        <v>39</v>
      </c>
      <c r="H115" s="5">
        <v>2124.36</v>
      </c>
      <c r="I115" s="5" t="s">
        <v>39</v>
      </c>
      <c r="J115" s="5">
        <v>45.20232</v>
      </c>
      <c r="K115" s="5">
        <f t="shared" si="3"/>
        <v>1.25562</v>
      </c>
      <c r="L115" s="5">
        <f t="shared" si="4"/>
        <v>36.93</v>
      </c>
      <c r="M115" s="5" t="s">
        <v>39</v>
      </c>
      <c r="N115" s="5">
        <v>45.20232</v>
      </c>
      <c r="O115" s="5" t="s">
        <v>39</v>
      </c>
      <c r="P115" t="s">
        <v>373</v>
      </c>
      <c r="Q115" t="s">
        <v>374</v>
      </c>
      <c r="R115" t="s">
        <v>37</v>
      </c>
      <c r="S115" t="s">
        <v>375</v>
      </c>
      <c r="T115" t="s">
        <v>43</v>
      </c>
      <c r="U115" t="s">
        <v>44</v>
      </c>
      <c r="V115">
        <v>147</v>
      </c>
      <c r="W115" t="s">
        <v>45</v>
      </c>
      <c r="X115" t="s">
        <v>46</v>
      </c>
      <c r="Y115" t="s">
        <v>376</v>
      </c>
      <c r="Z115" t="s">
        <v>37</v>
      </c>
      <c r="AA115" t="s">
        <v>145</v>
      </c>
      <c r="AB115" t="s">
        <v>37</v>
      </c>
      <c r="AC115" s="6" t="s">
        <v>37</v>
      </c>
      <c r="AD115" s="6" t="s">
        <v>37</v>
      </c>
      <c r="AE115" t="s">
        <v>37</v>
      </c>
      <c r="AF115" t="s">
        <v>37</v>
      </c>
      <c r="AG115" s="6" t="s">
        <v>37</v>
      </c>
      <c r="AH115" t="s">
        <v>37</v>
      </c>
      <c r="AI115" t="s">
        <v>37</v>
      </c>
      <c r="AJ115" t="str">
        <f t="shared" si="5"/>
        <v>34X9Y94JB07W6J6TG5</v>
      </c>
    </row>
    <row r="116" spans="1:36" ht="15" customHeight="1" x14ac:dyDescent="0.25">
      <c r="A116" t="s">
        <v>36</v>
      </c>
      <c r="B116" t="s">
        <v>37</v>
      </c>
      <c r="C116" t="s">
        <v>37</v>
      </c>
      <c r="D116" t="s">
        <v>38</v>
      </c>
      <c r="E116" s="4">
        <v>8</v>
      </c>
      <c r="F116" s="5">
        <v>556.88</v>
      </c>
      <c r="G116" s="5" t="s">
        <v>39</v>
      </c>
      <c r="H116" s="5">
        <v>819.6</v>
      </c>
      <c r="I116" s="5" t="s">
        <v>39</v>
      </c>
      <c r="J116" s="5">
        <v>18.933920000000001</v>
      </c>
      <c r="K116" s="5">
        <f t="shared" si="3"/>
        <v>2.3667400000000001</v>
      </c>
      <c r="L116" s="5">
        <f t="shared" si="4"/>
        <v>69.61</v>
      </c>
      <c r="M116" s="5" t="s">
        <v>39</v>
      </c>
      <c r="N116" s="5">
        <v>18.933920000000001</v>
      </c>
      <c r="O116" s="5" t="s">
        <v>39</v>
      </c>
      <c r="P116" t="s">
        <v>377</v>
      </c>
      <c r="Q116" t="s">
        <v>378</v>
      </c>
      <c r="R116" t="s">
        <v>37</v>
      </c>
      <c r="S116" t="s">
        <v>379</v>
      </c>
      <c r="T116" t="s">
        <v>43</v>
      </c>
      <c r="U116" t="s">
        <v>44</v>
      </c>
      <c r="V116">
        <v>147</v>
      </c>
      <c r="W116" t="s">
        <v>45</v>
      </c>
      <c r="X116" t="s">
        <v>53</v>
      </c>
      <c r="Y116" t="s">
        <v>380</v>
      </c>
      <c r="Z116" t="s">
        <v>37</v>
      </c>
      <c r="AA116" t="s">
        <v>61</v>
      </c>
      <c r="AB116" t="s">
        <v>37</v>
      </c>
      <c r="AC116" s="6" t="s">
        <v>37</v>
      </c>
      <c r="AD116" s="6" t="s">
        <v>37</v>
      </c>
      <c r="AE116" t="s">
        <v>37</v>
      </c>
      <c r="AF116" t="s">
        <v>37</v>
      </c>
      <c r="AG116" s="6" t="s">
        <v>37</v>
      </c>
      <c r="AH116" t="s">
        <v>37</v>
      </c>
      <c r="AI116" t="s">
        <v>37</v>
      </c>
      <c r="AJ116" t="str">
        <f t="shared" si="5"/>
        <v>5IZH76JAB0038NRMKW</v>
      </c>
    </row>
    <row r="117" spans="1:36" ht="15" customHeight="1" x14ac:dyDescent="0.25">
      <c r="A117" t="s">
        <v>36</v>
      </c>
      <c r="B117" t="s">
        <v>37</v>
      </c>
      <c r="C117" t="s">
        <v>37</v>
      </c>
      <c r="D117" t="s">
        <v>38</v>
      </c>
      <c r="E117" s="4">
        <v>36</v>
      </c>
      <c r="F117" s="5">
        <v>2830.32</v>
      </c>
      <c r="G117" s="5" t="s">
        <v>39</v>
      </c>
      <c r="H117" s="5">
        <v>4573.8</v>
      </c>
      <c r="I117" s="5" t="s">
        <v>39</v>
      </c>
      <c r="J117" s="5">
        <v>96.230879999999999</v>
      </c>
      <c r="K117" s="5">
        <f t="shared" si="3"/>
        <v>2.6730800000000001</v>
      </c>
      <c r="L117" s="5">
        <f t="shared" si="4"/>
        <v>78.62</v>
      </c>
      <c r="M117" s="5" t="s">
        <v>39</v>
      </c>
      <c r="N117" s="5">
        <v>96.230879999999999</v>
      </c>
      <c r="O117" s="5" t="s">
        <v>39</v>
      </c>
      <c r="P117" t="s">
        <v>89</v>
      </c>
      <c r="Q117" t="s">
        <v>381</v>
      </c>
      <c r="R117" t="s">
        <v>37</v>
      </c>
      <c r="S117" t="s">
        <v>382</v>
      </c>
      <c r="T117" t="s">
        <v>43</v>
      </c>
      <c r="U117" t="s">
        <v>44</v>
      </c>
      <c r="V117">
        <v>147</v>
      </c>
      <c r="W117" t="s">
        <v>45</v>
      </c>
      <c r="X117" t="s">
        <v>53</v>
      </c>
      <c r="Y117" t="s">
        <v>383</v>
      </c>
      <c r="Z117" t="s">
        <v>37</v>
      </c>
      <c r="AA117" t="s">
        <v>61</v>
      </c>
      <c r="AB117" t="s">
        <v>37</v>
      </c>
      <c r="AC117" s="6" t="s">
        <v>37</v>
      </c>
      <c r="AD117" s="6" t="s">
        <v>37</v>
      </c>
      <c r="AE117" t="s">
        <v>37</v>
      </c>
      <c r="AF117" t="s">
        <v>37</v>
      </c>
      <c r="AG117" s="6" t="s">
        <v>37</v>
      </c>
      <c r="AH117" t="s">
        <v>37</v>
      </c>
      <c r="AI117" t="s">
        <v>37</v>
      </c>
      <c r="AJ117" t="str">
        <f t="shared" si="5"/>
        <v>6D1HFTMSB07SF2F2LV</v>
      </c>
    </row>
    <row r="118" spans="1:36" ht="15" customHeight="1" x14ac:dyDescent="0.25">
      <c r="A118" t="s">
        <v>262</v>
      </c>
      <c r="B118" t="s">
        <v>37</v>
      </c>
      <c r="C118" t="s">
        <v>37</v>
      </c>
      <c r="D118" t="s">
        <v>38</v>
      </c>
      <c r="E118" s="4">
        <v>8</v>
      </c>
      <c r="F118" s="5">
        <v>140.47999999999999</v>
      </c>
      <c r="G118" s="5" t="s">
        <v>39</v>
      </c>
      <c r="H118" s="5">
        <v>203.2</v>
      </c>
      <c r="I118" s="5" t="s">
        <v>39</v>
      </c>
      <c r="J118" s="5">
        <v>4.7763200000000001</v>
      </c>
      <c r="K118" s="5">
        <f t="shared" si="3"/>
        <v>0.59704000000000002</v>
      </c>
      <c r="L118" s="5">
        <f t="shared" si="4"/>
        <v>17.559999999999999</v>
      </c>
      <c r="M118" s="5" t="s">
        <v>39</v>
      </c>
      <c r="N118" s="5">
        <v>4.7763200000000001</v>
      </c>
      <c r="O118" s="5" t="s">
        <v>39</v>
      </c>
      <c r="P118" t="s">
        <v>108</v>
      </c>
      <c r="Q118" t="s">
        <v>345</v>
      </c>
      <c r="R118" t="s">
        <v>37</v>
      </c>
      <c r="S118" t="s">
        <v>346</v>
      </c>
      <c r="T118" t="s">
        <v>43</v>
      </c>
      <c r="U118" t="s">
        <v>44</v>
      </c>
      <c r="V118">
        <v>23</v>
      </c>
      <c r="W118" t="s">
        <v>347</v>
      </c>
      <c r="X118" t="s">
        <v>348</v>
      </c>
      <c r="Y118" t="s">
        <v>349</v>
      </c>
      <c r="Z118" t="s">
        <v>37</v>
      </c>
      <c r="AA118" t="s">
        <v>48</v>
      </c>
      <c r="AB118" t="s">
        <v>37</v>
      </c>
      <c r="AC118" s="6" t="s">
        <v>37</v>
      </c>
      <c r="AD118" s="6" t="s">
        <v>37</v>
      </c>
      <c r="AE118" t="s">
        <v>37</v>
      </c>
      <c r="AF118" t="s">
        <v>37</v>
      </c>
      <c r="AG118" s="6" t="s">
        <v>37</v>
      </c>
      <c r="AH118" t="s">
        <v>37</v>
      </c>
      <c r="AI118" t="s">
        <v>37</v>
      </c>
      <c r="AJ118" t="str">
        <f t="shared" si="5"/>
        <v>5HGHPU5OB06W547XN2</v>
      </c>
    </row>
    <row r="119" spans="1:36" ht="15" customHeight="1" x14ac:dyDescent="0.25">
      <c r="A119" t="s">
        <v>67</v>
      </c>
      <c r="B119" t="s">
        <v>37</v>
      </c>
      <c r="C119" t="s">
        <v>37</v>
      </c>
      <c r="D119" t="s">
        <v>38</v>
      </c>
      <c r="E119" s="4">
        <v>4</v>
      </c>
      <c r="F119" s="5">
        <v>301.64</v>
      </c>
      <c r="G119" s="5" t="s">
        <v>39</v>
      </c>
      <c r="H119" s="5">
        <v>442.6</v>
      </c>
      <c r="I119" s="5" t="s">
        <v>39</v>
      </c>
      <c r="J119" s="5">
        <v>10.25576</v>
      </c>
      <c r="K119" s="5">
        <f t="shared" si="3"/>
        <v>2.5639400000000001</v>
      </c>
      <c r="L119" s="5">
        <f t="shared" si="4"/>
        <v>75.41</v>
      </c>
      <c r="M119" s="5" t="s">
        <v>39</v>
      </c>
      <c r="N119" s="5">
        <v>10.25576</v>
      </c>
      <c r="O119" s="5" t="s">
        <v>39</v>
      </c>
      <c r="P119" t="s">
        <v>245</v>
      </c>
      <c r="Q119" t="s">
        <v>384</v>
      </c>
      <c r="R119" t="s">
        <v>37</v>
      </c>
      <c r="S119" t="s">
        <v>385</v>
      </c>
      <c r="T119" t="s">
        <v>43</v>
      </c>
      <c r="U119" t="s">
        <v>44</v>
      </c>
      <c r="V119">
        <v>147</v>
      </c>
      <c r="W119" t="s">
        <v>45</v>
      </c>
      <c r="X119" t="s">
        <v>154</v>
      </c>
      <c r="Y119" t="s">
        <v>386</v>
      </c>
      <c r="Z119" t="s">
        <v>37</v>
      </c>
      <c r="AA119" t="s">
        <v>48</v>
      </c>
      <c r="AB119" t="s">
        <v>37</v>
      </c>
      <c r="AC119" s="6" t="s">
        <v>37</v>
      </c>
      <c r="AD119" s="6" t="s">
        <v>37</v>
      </c>
      <c r="AE119" t="s">
        <v>37</v>
      </c>
      <c r="AF119" t="s">
        <v>37</v>
      </c>
      <c r="AG119" s="6" t="s">
        <v>37</v>
      </c>
      <c r="AH119" t="s">
        <v>37</v>
      </c>
      <c r="AI119" t="s">
        <v>37</v>
      </c>
      <c r="AJ119" t="str">
        <f t="shared" si="5"/>
        <v>6ZGQP34KB01MT5WMMG</v>
      </c>
    </row>
    <row r="120" spans="1:36" ht="15" customHeight="1" x14ac:dyDescent="0.25">
      <c r="A120" t="s">
        <v>372</v>
      </c>
      <c r="B120" t="s">
        <v>37</v>
      </c>
      <c r="C120" t="s">
        <v>37</v>
      </c>
      <c r="D120" t="s">
        <v>38</v>
      </c>
      <c r="E120" s="4">
        <v>10</v>
      </c>
      <c r="F120" s="5">
        <v>522</v>
      </c>
      <c r="G120" s="5" t="s">
        <v>39</v>
      </c>
      <c r="H120" s="5">
        <v>762.2</v>
      </c>
      <c r="I120" s="5" t="s">
        <v>39</v>
      </c>
      <c r="J120" s="5">
        <v>17.748000000000001</v>
      </c>
      <c r="K120" s="5">
        <f t="shared" si="3"/>
        <v>1.7748000000000002</v>
      </c>
      <c r="L120" s="5">
        <f t="shared" si="4"/>
        <v>52.2</v>
      </c>
      <c r="M120" s="5" t="s">
        <v>39</v>
      </c>
      <c r="N120" s="5">
        <v>17.748000000000001</v>
      </c>
      <c r="O120" s="5" t="s">
        <v>39</v>
      </c>
      <c r="P120" t="s">
        <v>387</v>
      </c>
      <c r="Q120" t="s">
        <v>388</v>
      </c>
      <c r="R120" t="s">
        <v>37</v>
      </c>
      <c r="S120" t="s">
        <v>389</v>
      </c>
      <c r="T120" t="s">
        <v>43</v>
      </c>
      <c r="U120" t="s">
        <v>44</v>
      </c>
      <c r="V120">
        <v>147</v>
      </c>
      <c r="W120" t="s">
        <v>45</v>
      </c>
      <c r="X120" t="s">
        <v>53</v>
      </c>
      <c r="Y120" t="s">
        <v>390</v>
      </c>
      <c r="Z120" t="s">
        <v>37</v>
      </c>
      <c r="AA120" t="s">
        <v>61</v>
      </c>
      <c r="AB120" t="s">
        <v>37</v>
      </c>
      <c r="AC120" s="6" t="s">
        <v>37</v>
      </c>
      <c r="AD120" s="6" t="s">
        <v>37</v>
      </c>
      <c r="AE120" t="s">
        <v>37</v>
      </c>
      <c r="AF120" t="s">
        <v>37</v>
      </c>
      <c r="AG120" s="6" t="s">
        <v>37</v>
      </c>
      <c r="AH120" t="s">
        <v>37</v>
      </c>
      <c r="AI120" t="s">
        <v>37</v>
      </c>
      <c r="AJ120" t="str">
        <f t="shared" si="5"/>
        <v>6PWVSPBOB07W5JJR4H</v>
      </c>
    </row>
    <row r="121" spans="1:36" ht="15" customHeight="1" x14ac:dyDescent="0.25">
      <c r="A121" t="s">
        <v>67</v>
      </c>
      <c r="B121" t="s">
        <v>37</v>
      </c>
      <c r="C121" t="s">
        <v>37</v>
      </c>
      <c r="D121" t="s">
        <v>38</v>
      </c>
      <c r="E121" s="4">
        <v>20</v>
      </c>
      <c r="F121" s="5">
        <v>234.2</v>
      </c>
      <c r="G121" s="5" t="s">
        <v>39</v>
      </c>
      <c r="H121" s="5">
        <v>359.8</v>
      </c>
      <c r="I121" s="5" t="s">
        <v>39</v>
      </c>
      <c r="J121" s="5">
        <v>7.9627999999999997</v>
      </c>
      <c r="K121" s="5">
        <f t="shared" si="3"/>
        <v>0.39813999999999999</v>
      </c>
      <c r="L121" s="5">
        <f t="shared" si="4"/>
        <v>11.709999999999999</v>
      </c>
      <c r="M121" s="5" t="s">
        <v>39</v>
      </c>
      <c r="N121" s="5">
        <v>7.9627999999999997</v>
      </c>
      <c r="O121" s="5" t="s">
        <v>39</v>
      </c>
      <c r="P121" t="s">
        <v>63</v>
      </c>
      <c r="Q121" t="s">
        <v>391</v>
      </c>
      <c r="R121" t="s">
        <v>37</v>
      </c>
      <c r="S121" t="s">
        <v>392</v>
      </c>
      <c r="T121" t="s">
        <v>43</v>
      </c>
      <c r="U121" t="s">
        <v>44</v>
      </c>
      <c r="V121">
        <v>23</v>
      </c>
      <c r="W121" t="s">
        <v>45</v>
      </c>
      <c r="X121" t="s">
        <v>248</v>
      </c>
      <c r="Y121" t="s">
        <v>393</v>
      </c>
      <c r="Z121" t="s">
        <v>37</v>
      </c>
      <c r="AA121" t="s">
        <v>61</v>
      </c>
      <c r="AB121" t="s">
        <v>37</v>
      </c>
      <c r="AC121" s="6" t="s">
        <v>37</v>
      </c>
      <c r="AD121" s="6" t="s">
        <v>37</v>
      </c>
      <c r="AE121" t="s">
        <v>37</v>
      </c>
      <c r="AF121" t="s">
        <v>37</v>
      </c>
      <c r="AG121" s="6" t="s">
        <v>37</v>
      </c>
      <c r="AH121" t="s">
        <v>37</v>
      </c>
      <c r="AI121" t="s">
        <v>37</v>
      </c>
      <c r="AJ121" t="str">
        <f t="shared" si="5"/>
        <v>3AWPOPBJB00544XKK4</v>
      </c>
    </row>
    <row r="122" spans="1:36" ht="15" customHeight="1" x14ac:dyDescent="0.25">
      <c r="A122" t="s">
        <v>36</v>
      </c>
      <c r="B122" t="s">
        <v>37</v>
      </c>
      <c r="C122" t="s">
        <v>37</v>
      </c>
      <c r="D122" t="s">
        <v>38</v>
      </c>
      <c r="E122" s="4">
        <v>32</v>
      </c>
      <c r="F122" s="5">
        <v>337.6</v>
      </c>
      <c r="G122" s="5" t="s">
        <v>39</v>
      </c>
      <c r="H122" s="5">
        <v>550.4</v>
      </c>
      <c r="I122" s="5" t="s">
        <v>39</v>
      </c>
      <c r="J122" s="5">
        <v>11.478400000000001</v>
      </c>
      <c r="K122" s="5">
        <f t="shared" si="3"/>
        <v>0.35870000000000002</v>
      </c>
      <c r="L122" s="5">
        <f t="shared" si="4"/>
        <v>10.55</v>
      </c>
      <c r="M122" s="5" t="s">
        <v>39</v>
      </c>
      <c r="N122" s="5">
        <v>11.478400000000001</v>
      </c>
      <c r="O122" s="5" t="s">
        <v>39</v>
      </c>
      <c r="P122" t="s">
        <v>40</v>
      </c>
      <c r="Q122" t="s">
        <v>287</v>
      </c>
      <c r="R122" t="s">
        <v>37</v>
      </c>
      <c r="S122" t="s">
        <v>288</v>
      </c>
      <c r="T122" t="s">
        <v>43</v>
      </c>
      <c r="U122" t="s">
        <v>44</v>
      </c>
      <c r="V122">
        <v>147</v>
      </c>
      <c r="W122" t="s">
        <v>45</v>
      </c>
      <c r="X122" t="s">
        <v>46</v>
      </c>
      <c r="Y122" t="s">
        <v>289</v>
      </c>
      <c r="Z122" t="s">
        <v>37</v>
      </c>
      <c r="AA122" t="s">
        <v>48</v>
      </c>
      <c r="AB122" t="s">
        <v>37</v>
      </c>
      <c r="AC122" s="6" t="s">
        <v>37</v>
      </c>
      <c r="AD122" s="6" t="s">
        <v>37</v>
      </c>
      <c r="AE122" t="s">
        <v>37</v>
      </c>
      <c r="AF122" t="s">
        <v>37</v>
      </c>
      <c r="AG122" s="6" t="s">
        <v>37</v>
      </c>
      <c r="AH122" t="s">
        <v>37</v>
      </c>
      <c r="AI122" t="s">
        <v>37</v>
      </c>
      <c r="AJ122" t="str">
        <f t="shared" si="5"/>
        <v>8IC45Q9KB01DKTP3X6</v>
      </c>
    </row>
    <row r="123" spans="1:36" ht="15" customHeight="1" x14ac:dyDescent="0.25">
      <c r="A123" t="s">
        <v>133</v>
      </c>
      <c r="B123" t="s">
        <v>37</v>
      </c>
      <c r="C123" t="s">
        <v>37</v>
      </c>
      <c r="D123" t="s">
        <v>38</v>
      </c>
      <c r="E123" s="4">
        <v>4</v>
      </c>
      <c r="F123" s="5">
        <v>335.56</v>
      </c>
      <c r="G123" s="5" t="s">
        <v>39</v>
      </c>
      <c r="H123" s="5">
        <v>540.96</v>
      </c>
      <c r="I123" s="5" t="s">
        <v>39</v>
      </c>
      <c r="J123" s="5">
        <v>11.409039999999999</v>
      </c>
      <c r="K123" s="5">
        <f t="shared" si="3"/>
        <v>2.8522599999999998</v>
      </c>
      <c r="L123" s="5">
        <f t="shared" si="4"/>
        <v>83.89</v>
      </c>
      <c r="M123" s="5" t="s">
        <v>39</v>
      </c>
      <c r="N123" s="5">
        <v>11.409039999999999</v>
      </c>
      <c r="O123" s="5" t="s">
        <v>39</v>
      </c>
      <c r="P123" t="s">
        <v>189</v>
      </c>
      <c r="Q123" t="s">
        <v>394</v>
      </c>
      <c r="R123" t="s">
        <v>37</v>
      </c>
      <c r="S123" t="s">
        <v>395</v>
      </c>
      <c r="T123" t="s">
        <v>43</v>
      </c>
      <c r="U123" t="s">
        <v>44</v>
      </c>
      <c r="V123">
        <v>147</v>
      </c>
      <c r="W123" t="s">
        <v>45</v>
      </c>
      <c r="X123" t="s">
        <v>53</v>
      </c>
      <c r="Y123" t="s">
        <v>396</v>
      </c>
      <c r="Z123" t="s">
        <v>37</v>
      </c>
      <c r="AA123" t="s">
        <v>61</v>
      </c>
      <c r="AB123" t="s">
        <v>37</v>
      </c>
      <c r="AC123" s="6" t="s">
        <v>37</v>
      </c>
      <c r="AD123" s="6" t="s">
        <v>37</v>
      </c>
      <c r="AE123" t="s">
        <v>37</v>
      </c>
      <c r="AF123" t="s">
        <v>37</v>
      </c>
      <c r="AG123" s="6" t="s">
        <v>37</v>
      </c>
      <c r="AH123" t="s">
        <v>37</v>
      </c>
      <c r="AI123" t="s">
        <v>37</v>
      </c>
      <c r="AJ123" t="str">
        <f t="shared" si="5"/>
        <v>6DPU2MKPB07W5JJ1WM</v>
      </c>
    </row>
    <row r="124" spans="1:36" ht="15" customHeight="1" x14ac:dyDescent="0.25">
      <c r="A124" t="s">
        <v>133</v>
      </c>
      <c r="B124" t="s">
        <v>37</v>
      </c>
      <c r="C124" t="s">
        <v>37</v>
      </c>
      <c r="D124" t="s">
        <v>38</v>
      </c>
      <c r="E124" s="4">
        <v>100</v>
      </c>
      <c r="F124" s="5">
        <v>585</v>
      </c>
      <c r="G124" s="5" t="s">
        <v>39</v>
      </c>
      <c r="H124" s="5">
        <v>811</v>
      </c>
      <c r="I124" s="5" t="s">
        <v>39</v>
      </c>
      <c r="J124" s="5">
        <v>19.89</v>
      </c>
      <c r="K124" s="5">
        <f t="shared" si="3"/>
        <v>0.19889999999999999</v>
      </c>
      <c r="L124" s="5">
        <f t="shared" si="4"/>
        <v>5.85</v>
      </c>
      <c r="M124" s="5" t="s">
        <v>39</v>
      </c>
      <c r="N124" s="5">
        <v>19.89</v>
      </c>
      <c r="O124" s="5" t="s">
        <v>39</v>
      </c>
      <c r="P124" t="s">
        <v>397</v>
      </c>
      <c r="Q124" t="s">
        <v>205</v>
      </c>
      <c r="R124" t="s">
        <v>37</v>
      </c>
      <c r="S124" t="s">
        <v>206</v>
      </c>
      <c r="T124" t="s">
        <v>43</v>
      </c>
      <c r="U124" t="s">
        <v>44</v>
      </c>
      <c r="V124">
        <v>147</v>
      </c>
      <c r="W124" t="s">
        <v>45</v>
      </c>
      <c r="X124" t="s">
        <v>53</v>
      </c>
      <c r="Y124" t="s">
        <v>207</v>
      </c>
      <c r="Z124" t="s">
        <v>37</v>
      </c>
      <c r="AA124" t="s">
        <v>61</v>
      </c>
      <c r="AB124" t="s">
        <v>37</v>
      </c>
      <c r="AC124" s="6" t="s">
        <v>37</v>
      </c>
      <c r="AD124" s="6" t="s">
        <v>37</v>
      </c>
      <c r="AE124" t="s">
        <v>37</v>
      </c>
      <c r="AF124" t="s">
        <v>37</v>
      </c>
      <c r="AG124" s="6" t="s">
        <v>37</v>
      </c>
      <c r="AH124" t="s">
        <v>37</v>
      </c>
      <c r="AI124" t="s">
        <v>37</v>
      </c>
      <c r="AJ124" t="str">
        <f t="shared" si="5"/>
        <v>7M2QCA5KB07H3HGS9R</v>
      </c>
    </row>
    <row r="125" spans="1:36" ht="15" customHeight="1" x14ac:dyDescent="0.25">
      <c r="A125" t="s">
        <v>67</v>
      </c>
      <c r="B125" t="s">
        <v>37</v>
      </c>
      <c r="C125" t="s">
        <v>37</v>
      </c>
      <c r="D125" t="s">
        <v>38</v>
      </c>
      <c r="E125" s="4">
        <v>10</v>
      </c>
      <c r="F125" s="5">
        <v>146.4</v>
      </c>
      <c r="G125" s="5" t="s">
        <v>39</v>
      </c>
      <c r="H125" s="5">
        <v>204.1</v>
      </c>
      <c r="I125" s="5" t="s">
        <v>39</v>
      </c>
      <c r="J125" s="5">
        <v>4.9775999999999998</v>
      </c>
      <c r="K125" s="5">
        <f t="shared" si="3"/>
        <v>0.49775999999999998</v>
      </c>
      <c r="L125" s="5">
        <f t="shared" si="4"/>
        <v>14.64</v>
      </c>
      <c r="M125" s="5" t="s">
        <v>39</v>
      </c>
      <c r="N125" s="5">
        <v>4.9775999999999998</v>
      </c>
      <c r="O125" s="5" t="s">
        <v>39</v>
      </c>
      <c r="P125" t="s">
        <v>323</v>
      </c>
      <c r="Q125" t="s">
        <v>193</v>
      </c>
      <c r="R125" t="s">
        <v>37</v>
      </c>
      <c r="S125" t="s">
        <v>194</v>
      </c>
      <c r="T125" t="s">
        <v>43</v>
      </c>
      <c r="U125" t="s">
        <v>44</v>
      </c>
      <c r="V125">
        <v>147</v>
      </c>
      <c r="W125" t="s">
        <v>45</v>
      </c>
      <c r="X125" t="s">
        <v>75</v>
      </c>
      <c r="Y125" t="s">
        <v>195</v>
      </c>
      <c r="Z125" t="s">
        <v>37</v>
      </c>
      <c r="AA125" t="s">
        <v>61</v>
      </c>
      <c r="AB125" t="s">
        <v>37</v>
      </c>
      <c r="AC125" s="6" t="s">
        <v>37</v>
      </c>
      <c r="AD125" s="6" t="s">
        <v>37</v>
      </c>
      <c r="AE125" t="s">
        <v>37</v>
      </c>
      <c r="AF125" t="s">
        <v>37</v>
      </c>
      <c r="AG125" s="6" t="s">
        <v>37</v>
      </c>
      <c r="AH125" t="s">
        <v>37</v>
      </c>
      <c r="AI125" t="s">
        <v>37</v>
      </c>
      <c r="AJ125" t="str">
        <f t="shared" si="5"/>
        <v>11CZAECYB003V4A5UW</v>
      </c>
    </row>
    <row r="126" spans="1:36" ht="15" customHeight="1" x14ac:dyDescent="0.25">
      <c r="A126" t="s">
        <v>36</v>
      </c>
      <c r="B126" t="s">
        <v>37</v>
      </c>
      <c r="C126" t="s">
        <v>37</v>
      </c>
      <c r="D126" t="s">
        <v>38</v>
      </c>
      <c r="E126" s="4">
        <v>4</v>
      </c>
      <c r="F126" s="5">
        <v>126.6</v>
      </c>
      <c r="G126" s="5" t="s">
        <v>39</v>
      </c>
      <c r="H126" s="5">
        <v>203.24</v>
      </c>
      <c r="I126" s="5" t="s">
        <v>39</v>
      </c>
      <c r="J126" s="5">
        <v>4.3044000000000002</v>
      </c>
      <c r="K126" s="5">
        <f t="shared" si="3"/>
        <v>1.0761000000000001</v>
      </c>
      <c r="L126" s="5">
        <f t="shared" si="4"/>
        <v>31.65</v>
      </c>
      <c r="M126" s="5" t="s">
        <v>39</v>
      </c>
      <c r="N126" s="5">
        <v>4.3044000000000002</v>
      </c>
      <c r="O126" s="5" t="s">
        <v>39</v>
      </c>
      <c r="P126" t="s">
        <v>89</v>
      </c>
      <c r="Q126" t="s">
        <v>398</v>
      </c>
      <c r="R126" t="s">
        <v>37</v>
      </c>
      <c r="S126" t="s">
        <v>399</v>
      </c>
      <c r="T126" t="s">
        <v>43</v>
      </c>
      <c r="U126" t="s">
        <v>44</v>
      </c>
      <c r="V126">
        <v>147</v>
      </c>
      <c r="W126" t="s">
        <v>45</v>
      </c>
      <c r="X126" t="s">
        <v>53</v>
      </c>
      <c r="Y126" t="s">
        <v>261</v>
      </c>
      <c r="Z126" t="s">
        <v>37</v>
      </c>
      <c r="AA126" t="s">
        <v>61</v>
      </c>
      <c r="AB126" t="s">
        <v>37</v>
      </c>
      <c r="AC126" s="6" t="s">
        <v>37</v>
      </c>
      <c r="AD126" s="6" t="s">
        <v>37</v>
      </c>
      <c r="AE126" t="s">
        <v>37</v>
      </c>
      <c r="AF126" t="s">
        <v>37</v>
      </c>
      <c r="AG126" s="6" t="s">
        <v>37</v>
      </c>
      <c r="AH126" t="s">
        <v>37</v>
      </c>
      <c r="AI126" t="s">
        <v>37</v>
      </c>
      <c r="AJ126" t="str">
        <f t="shared" si="5"/>
        <v>6D1HFTMSB07W4DHMXL</v>
      </c>
    </row>
    <row r="127" spans="1:36" ht="15" customHeight="1" x14ac:dyDescent="0.25">
      <c r="A127" t="s">
        <v>400</v>
      </c>
      <c r="B127" t="s">
        <v>37</v>
      </c>
      <c r="C127" t="s">
        <v>37</v>
      </c>
      <c r="D127" t="s">
        <v>38</v>
      </c>
      <c r="E127" s="4">
        <v>300</v>
      </c>
      <c r="F127" s="5">
        <v>8784</v>
      </c>
      <c r="G127" s="5" t="s">
        <v>39</v>
      </c>
      <c r="H127" s="5">
        <v>11310</v>
      </c>
      <c r="I127" s="5" t="s">
        <v>39</v>
      </c>
      <c r="J127" s="5">
        <v>298.65600000000001</v>
      </c>
      <c r="K127" s="5">
        <f t="shared" si="3"/>
        <v>0.99552000000000007</v>
      </c>
      <c r="L127" s="5">
        <f t="shared" si="4"/>
        <v>29.28</v>
      </c>
      <c r="M127" s="5" t="s">
        <v>39</v>
      </c>
      <c r="N127" s="5">
        <v>298.65600000000001</v>
      </c>
      <c r="O127" s="5" t="s">
        <v>39</v>
      </c>
      <c r="P127" t="s">
        <v>401</v>
      </c>
      <c r="Q127" t="s">
        <v>402</v>
      </c>
      <c r="R127" t="s">
        <v>37</v>
      </c>
      <c r="S127" t="s">
        <v>403</v>
      </c>
      <c r="T127" t="s">
        <v>43</v>
      </c>
      <c r="U127" t="s">
        <v>44</v>
      </c>
      <c r="V127">
        <v>147</v>
      </c>
      <c r="W127" t="s">
        <v>45</v>
      </c>
      <c r="X127" t="s">
        <v>75</v>
      </c>
      <c r="Y127" t="s">
        <v>404</v>
      </c>
      <c r="Z127" t="s">
        <v>37</v>
      </c>
      <c r="AA127" t="s">
        <v>61</v>
      </c>
      <c r="AB127" t="s">
        <v>37</v>
      </c>
      <c r="AC127" s="6" t="s">
        <v>37</v>
      </c>
      <c r="AD127" s="6" t="s">
        <v>37</v>
      </c>
      <c r="AE127" t="s">
        <v>37</v>
      </c>
      <c r="AF127" t="s">
        <v>37</v>
      </c>
      <c r="AG127" s="6" t="s">
        <v>37</v>
      </c>
      <c r="AH127" t="s">
        <v>37</v>
      </c>
      <c r="AI127" t="s">
        <v>37</v>
      </c>
      <c r="AJ127" t="str">
        <f t="shared" si="5"/>
        <v>7PFJO9VPB00Y0G2L9I</v>
      </c>
    </row>
    <row r="128" spans="1:36" ht="15" customHeight="1" x14ac:dyDescent="0.25">
      <c r="A128" t="s">
        <v>36</v>
      </c>
      <c r="B128" t="s">
        <v>37</v>
      </c>
      <c r="C128" t="s">
        <v>37</v>
      </c>
      <c r="D128" t="s">
        <v>38</v>
      </c>
      <c r="E128" s="4">
        <v>40</v>
      </c>
      <c r="F128" s="5">
        <v>585.6</v>
      </c>
      <c r="G128" s="5" t="s">
        <v>39</v>
      </c>
      <c r="H128" s="5">
        <v>585.6</v>
      </c>
      <c r="I128" s="5" t="s">
        <v>39</v>
      </c>
      <c r="J128" s="5">
        <v>19.910399999999999</v>
      </c>
      <c r="K128" s="5">
        <f t="shared" si="3"/>
        <v>0.49775999999999998</v>
      </c>
      <c r="L128" s="5">
        <f t="shared" si="4"/>
        <v>14.64</v>
      </c>
      <c r="M128" s="5" t="s">
        <v>39</v>
      </c>
      <c r="N128" s="5">
        <v>19.910399999999999</v>
      </c>
      <c r="O128" s="5" t="s">
        <v>39</v>
      </c>
      <c r="P128" t="s">
        <v>89</v>
      </c>
      <c r="Q128" t="s">
        <v>149</v>
      </c>
      <c r="R128" t="s">
        <v>37</v>
      </c>
      <c r="S128" t="s">
        <v>150</v>
      </c>
      <c r="T128" t="s">
        <v>43</v>
      </c>
      <c r="U128" t="s">
        <v>44</v>
      </c>
      <c r="V128">
        <v>147</v>
      </c>
      <c r="W128" t="s">
        <v>45</v>
      </c>
      <c r="X128" t="s">
        <v>53</v>
      </c>
      <c r="Y128" t="s">
        <v>151</v>
      </c>
      <c r="Z128" t="s">
        <v>37</v>
      </c>
      <c r="AA128" t="s">
        <v>61</v>
      </c>
      <c r="AB128" t="s">
        <v>37</v>
      </c>
      <c r="AC128" s="6" t="s">
        <v>37</v>
      </c>
      <c r="AD128" s="6" t="s">
        <v>37</v>
      </c>
      <c r="AE128" t="s">
        <v>37</v>
      </c>
      <c r="AF128" t="s">
        <v>37</v>
      </c>
      <c r="AG128" s="6" t="s">
        <v>37</v>
      </c>
      <c r="AH128" t="s">
        <v>37</v>
      </c>
      <c r="AI128" t="s">
        <v>37</v>
      </c>
      <c r="AJ128" t="str">
        <f t="shared" si="5"/>
        <v>6D1HFTMSB004IO5BMQ</v>
      </c>
    </row>
    <row r="129" spans="1:36" ht="15" customHeight="1" x14ac:dyDescent="0.25">
      <c r="A129" t="s">
        <v>36</v>
      </c>
      <c r="B129" t="s">
        <v>37</v>
      </c>
      <c r="C129" t="s">
        <v>37</v>
      </c>
      <c r="D129" t="s">
        <v>38</v>
      </c>
      <c r="E129" s="4">
        <v>4</v>
      </c>
      <c r="F129" s="5">
        <v>272.24</v>
      </c>
      <c r="G129" s="5" t="s">
        <v>39</v>
      </c>
      <c r="H129" s="5">
        <v>508.16</v>
      </c>
      <c r="I129" s="5" t="s">
        <v>39</v>
      </c>
      <c r="J129" s="5">
        <v>9.2561599999999995</v>
      </c>
      <c r="K129" s="5">
        <f t="shared" si="3"/>
        <v>2.3140399999999999</v>
      </c>
      <c r="L129" s="5">
        <f t="shared" si="4"/>
        <v>68.06</v>
      </c>
      <c r="M129" s="5" t="s">
        <v>39</v>
      </c>
      <c r="N129" s="5">
        <v>9.2561599999999995</v>
      </c>
      <c r="O129" s="5" t="s">
        <v>39</v>
      </c>
      <c r="P129" t="s">
        <v>89</v>
      </c>
      <c r="Q129" t="s">
        <v>405</v>
      </c>
      <c r="R129" t="s">
        <v>37</v>
      </c>
      <c r="S129" t="s">
        <v>406</v>
      </c>
      <c r="T129" t="s">
        <v>43</v>
      </c>
      <c r="U129" t="s">
        <v>44</v>
      </c>
      <c r="V129">
        <v>147</v>
      </c>
      <c r="W129" t="s">
        <v>45</v>
      </c>
      <c r="X129" t="s">
        <v>46</v>
      </c>
      <c r="Y129" t="s">
        <v>407</v>
      </c>
      <c r="Z129" t="s">
        <v>37</v>
      </c>
      <c r="AA129" t="s">
        <v>61</v>
      </c>
      <c r="AB129" t="s">
        <v>37</v>
      </c>
      <c r="AC129" s="6" t="s">
        <v>37</v>
      </c>
      <c r="AD129" s="6" t="s">
        <v>37</v>
      </c>
      <c r="AE129" t="s">
        <v>37</v>
      </c>
      <c r="AF129" t="s">
        <v>37</v>
      </c>
      <c r="AG129" s="6" t="s">
        <v>37</v>
      </c>
      <c r="AH129" t="s">
        <v>37</v>
      </c>
      <c r="AI129" t="s">
        <v>37</v>
      </c>
      <c r="AJ129" t="str">
        <f t="shared" si="5"/>
        <v>6D1HFTMSB07G5XJLWK</v>
      </c>
    </row>
    <row r="130" spans="1:36" ht="15" customHeight="1" x14ac:dyDescent="0.25">
      <c r="A130" t="s">
        <v>36</v>
      </c>
      <c r="B130" t="s">
        <v>37</v>
      </c>
      <c r="C130" t="s">
        <v>37</v>
      </c>
      <c r="D130" t="s">
        <v>38</v>
      </c>
      <c r="E130" s="4">
        <v>8</v>
      </c>
      <c r="F130" s="5">
        <v>295.44</v>
      </c>
      <c r="G130" s="5" t="s">
        <v>39</v>
      </c>
      <c r="H130" s="5">
        <v>513.44000000000005</v>
      </c>
      <c r="I130" s="5" t="s">
        <v>39</v>
      </c>
      <c r="J130" s="5">
        <v>10.04496</v>
      </c>
      <c r="K130" s="5">
        <f t="shared" si="3"/>
        <v>1.25562</v>
      </c>
      <c r="L130" s="5">
        <f t="shared" si="4"/>
        <v>36.93</v>
      </c>
      <c r="M130" s="5" t="s">
        <v>39</v>
      </c>
      <c r="N130" s="5">
        <v>10.04496</v>
      </c>
      <c r="O130" s="5" t="s">
        <v>39</v>
      </c>
      <c r="P130" t="s">
        <v>89</v>
      </c>
      <c r="Q130" t="s">
        <v>408</v>
      </c>
      <c r="R130" t="s">
        <v>37</v>
      </c>
      <c r="S130" t="s">
        <v>409</v>
      </c>
      <c r="T130" t="s">
        <v>43</v>
      </c>
      <c r="U130" t="s">
        <v>44</v>
      </c>
      <c r="V130">
        <v>147</v>
      </c>
      <c r="W130" t="s">
        <v>45</v>
      </c>
      <c r="X130" t="s">
        <v>53</v>
      </c>
      <c r="Y130" t="s">
        <v>410</v>
      </c>
      <c r="Z130" t="s">
        <v>37</v>
      </c>
      <c r="AA130" t="s">
        <v>61</v>
      </c>
      <c r="AB130" t="s">
        <v>37</v>
      </c>
      <c r="AC130" s="6" t="s">
        <v>37</v>
      </c>
      <c r="AD130" s="6" t="s">
        <v>37</v>
      </c>
      <c r="AE130" t="s">
        <v>37</v>
      </c>
      <c r="AF130" t="s">
        <v>37</v>
      </c>
      <c r="AG130" s="6" t="s">
        <v>37</v>
      </c>
      <c r="AH130" t="s">
        <v>37</v>
      </c>
      <c r="AI130" t="s">
        <v>37</v>
      </c>
      <c r="AJ130" t="str">
        <f t="shared" si="5"/>
        <v>6D1HFTMSB00L8VNQ88</v>
      </c>
    </row>
    <row r="131" spans="1:36" ht="15" customHeight="1" x14ac:dyDescent="0.25">
      <c r="A131" t="s">
        <v>133</v>
      </c>
      <c r="B131" t="s">
        <v>37</v>
      </c>
      <c r="C131" t="s">
        <v>37</v>
      </c>
      <c r="D131" t="s">
        <v>38</v>
      </c>
      <c r="E131" s="4">
        <v>30</v>
      </c>
      <c r="F131" s="5">
        <v>702.6</v>
      </c>
      <c r="G131" s="5" t="s">
        <v>39</v>
      </c>
      <c r="H131" s="5">
        <v>1008</v>
      </c>
      <c r="I131" s="5" t="s">
        <v>39</v>
      </c>
      <c r="J131" s="5">
        <v>23.888400000000001</v>
      </c>
      <c r="K131" s="5">
        <f t="shared" ref="K131:K194" si="6">J131/E131</f>
        <v>0.79627999999999999</v>
      </c>
      <c r="L131" s="5">
        <f t="shared" ref="L131:L194" si="7">F131/E131</f>
        <v>23.42</v>
      </c>
      <c r="M131" s="5" t="s">
        <v>39</v>
      </c>
      <c r="N131" s="5">
        <v>23.888400000000001</v>
      </c>
      <c r="O131" s="5" t="s">
        <v>39</v>
      </c>
      <c r="P131" t="s">
        <v>128</v>
      </c>
      <c r="Q131" t="s">
        <v>411</v>
      </c>
      <c r="R131" t="s">
        <v>37</v>
      </c>
      <c r="S131" t="s">
        <v>412</v>
      </c>
      <c r="T131" t="s">
        <v>43</v>
      </c>
      <c r="U131" t="s">
        <v>44</v>
      </c>
      <c r="V131">
        <v>147</v>
      </c>
      <c r="W131" t="s">
        <v>45</v>
      </c>
      <c r="X131" t="s">
        <v>75</v>
      </c>
      <c r="Y131" t="s">
        <v>413</v>
      </c>
      <c r="Z131" t="s">
        <v>37</v>
      </c>
      <c r="AA131" t="s">
        <v>61</v>
      </c>
      <c r="AB131" t="s">
        <v>37</v>
      </c>
      <c r="AC131" s="6" t="s">
        <v>37</v>
      </c>
      <c r="AD131" s="6" t="s">
        <v>37</v>
      </c>
      <c r="AE131" t="s">
        <v>37</v>
      </c>
      <c r="AF131" t="s">
        <v>37</v>
      </c>
      <c r="AG131" s="6" t="s">
        <v>37</v>
      </c>
      <c r="AH131" t="s">
        <v>37</v>
      </c>
      <c r="AI131" t="s">
        <v>37</v>
      </c>
      <c r="AJ131" t="str">
        <f t="shared" ref="AJ131:AJ194" si="8">P131&amp;Q131</f>
        <v>5DN5PI5YB00BEFY1W8</v>
      </c>
    </row>
    <row r="132" spans="1:36" ht="15" customHeight="1" x14ac:dyDescent="0.25">
      <c r="A132" t="s">
        <v>115</v>
      </c>
      <c r="B132" t="s">
        <v>37</v>
      </c>
      <c r="C132" t="s">
        <v>37</v>
      </c>
      <c r="D132" t="s">
        <v>38</v>
      </c>
      <c r="E132" s="4">
        <v>76</v>
      </c>
      <c r="F132" s="5">
        <v>3207.2</v>
      </c>
      <c r="G132" s="5" t="s">
        <v>39</v>
      </c>
      <c r="H132" s="5">
        <v>5107.2</v>
      </c>
      <c r="I132" s="5" t="s">
        <v>39</v>
      </c>
      <c r="J132" s="5">
        <v>109.0448</v>
      </c>
      <c r="K132" s="5">
        <f t="shared" si="6"/>
        <v>1.4347999999999999</v>
      </c>
      <c r="L132" s="5">
        <f t="shared" si="7"/>
        <v>42.199999999999996</v>
      </c>
      <c r="M132" s="5" t="s">
        <v>39</v>
      </c>
      <c r="N132" s="5">
        <v>109.0448</v>
      </c>
      <c r="O132" s="5" t="s">
        <v>39</v>
      </c>
      <c r="P132" t="s">
        <v>116</v>
      </c>
      <c r="Q132" t="s">
        <v>414</v>
      </c>
      <c r="R132" t="s">
        <v>37</v>
      </c>
      <c r="S132" t="s">
        <v>415</v>
      </c>
      <c r="T132" t="s">
        <v>43</v>
      </c>
      <c r="U132" t="s">
        <v>44</v>
      </c>
      <c r="V132">
        <v>147</v>
      </c>
      <c r="W132" t="s">
        <v>45</v>
      </c>
      <c r="X132" t="s">
        <v>46</v>
      </c>
      <c r="Y132" t="s">
        <v>416</v>
      </c>
      <c r="Z132" t="s">
        <v>37</v>
      </c>
      <c r="AA132" t="s">
        <v>145</v>
      </c>
      <c r="AB132" t="s">
        <v>37</v>
      </c>
      <c r="AC132" s="6" t="s">
        <v>37</v>
      </c>
      <c r="AD132" s="6" t="s">
        <v>37</v>
      </c>
      <c r="AE132" t="s">
        <v>37</v>
      </c>
      <c r="AF132" t="s">
        <v>37</v>
      </c>
      <c r="AG132" s="6" t="s">
        <v>37</v>
      </c>
      <c r="AH132" t="s">
        <v>37</v>
      </c>
      <c r="AI132" t="s">
        <v>37</v>
      </c>
      <c r="AJ132" t="str">
        <f t="shared" si="8"/>
        <v>3S7Y1OIVB07MTXLFXV</v>
      </c>
    </row>
    <row r="133" spans="1:36" ht="15" customHeight="1" x14ac:dyDescent="0.25">
      <c r="A133" t="s">
        <v>67</v>
      </c>
      <c r="B133" t="s">
        <v>37</v>
      </c>
      <c r="C133" t="s">
        <v>37</v>
      </c>
      <c r="D133" t="s">
        <v>38</v>
      </c>
      <c r="E133" s="4">
        <v>4</v>
      </c>
      <c r="F133" s="5">
        <v>278.44</v>
      </c>
      <c r="G133" s="5" t="s">
        <v>39</v>
      </c>
      <c r="H133" s="5">
        <v>409.8</v>
      </c>
      <c r="I133" s="5" t="s">
        <v>39</v>
      </c>
      <c r="J133" s="5">
        <v>9.4669600000000003</v>
      </c>
      <c r="K133" s="5">
        <f t="shared" si="6"/>
        <v>2.3667400000000001</v>
      </c>
      <c r="L133" s="5">
        <f t="shared" si="7"/>
        <v>69.61</v>
      </c>
      <c r="M133" s="5" t="s">
        <v>39</v>
      </c>
      <c r="N133" s="5">
        <v>9.4669600000000003</v>
      </c>
      <c r="O133" s="5" t="s">
        <v>39</v>
      </c>
      <c r="P133" t="s">
        <v>245</v>
      </c>
      <c r="Q133" t="s">
        <v>417</v>
      </c>
      <c r="R133" t="s">
        <v>37</v>
      </c>
      <c r="S133" t="s">
        <v>418</v>
      </c>
      <c r="T133" t="s">
        <v>43</v>
      </c>
      <c r="U133" t="s">
        <v>44</v>
      </c>
      <c r="V133">
        <v>147</v>
      </c>
      <c r="W133" t="s">
        <v>45</v>
      </c>
      <c r="X133" t="s">
        <v>75</v>
      </c>
      <c r="Y133" t="s">
        <v>419</v>
      </c>
      <c r="Z133" t="s">
        <v>37</v>
      </c>
      <c r="AA133" t="s">
        <v>61</v>
      </c>
      <c r="AB133" t="s">
        <v>37</v>
      </c>
      <c r="AC133" s="6" t="s">
        <v>37</v>
      </c>
      <c r="AD133" s="6" t="s">
        <v>37</v>
      </c>
      <c r="AE133" t="s">
        <v>37</v>
      </c>
      <c r="AF133" t="s">
        <v>37</v>
      </c>
      <c r="AG133" s="6" t="s">
        <v>37</v>
      </c>
      <c r="AH133" t="s">
        <v>37</v>
      </c>
      <c r="AI133" t="s">
        <v>37</v>
      </c>
      <c r="AJ133" t="str">
        <f t="shared" si="8"/>
        <v>6ZGQP34KB0032W4158</v>
      </c>
    </row>
    <row r="134" spans="1:36" ht="15" customHeight="1" x14ac:dyDescent="0.25">
      <c r="A134" t="s">
        <v>67</v>
      </c>
      <c r="B134" t="s">
        <v>37</v>
      </c>
      <c r="C134" t="s">
        <v>37</v>
      </c>
      <c r="D134" t="s">
        <v>38</v>
      </c>
      <c r="E134" s="4">
        <v>10</v>
      </c>
      <c r="F134" s="5">
        <v>146.4</v>
      </c>
      <c r="G134" s="5" t="s">
        <v>39</v>
      </c>
      <c r="H134" s="5">
        <v>213</v>
      </c>
      <c r="I134" s="5" t="s">
        <v>39</v>
      </c>
      <c r="J134" s="5">
        <v>4.9775999999999998</v>
      </c>
      <c r="K134" s="5">
        <f t="shared" si="6"/>
        <v>0.49775999999999998</v>
      </c>
      <c r="L134" s="5">
        <f t="shared" si="7"/>
        <v>14.64</v>
      </c>
      <c r="M134" s="5" t="s">
        <v>39</v>
      </c>
      <c r="N134" s="5">
        <v>4.9775999999999998</v>
      </c>
      <c r="O134" s="5" t="s">
        <v>39</v>
      </c>
      <c r="P134" t="s">
        <v>108</v>
      </c>
      <c r="Q134" t="s">
        <v>90</v>
      </c>
      <c r="R134" t="s">
        <v>37</v>
      </c>
      <c r="S134" t="s">
        <v>91</v>
      </c>
      <c r="T134" t="s">
        <v>43</v>
      </c>
      <c r="U134" t="s">
        <v>44</v>
      </c>
      <c r="V134">
        <v>147</v>
      </c>
      <c r="W134" t="s">
        <v>45</v>
      </c>
      <c r="X134" t="s">
        <v>53</v>
      </c>
      <c r="Y134" t="s">
        <v>92</v>
      </c>
      <c r="Z134" t="s">
        <v>37</v>
      </c>
      <c r="AA134" t="s">
        <v>48</v>
      </c>
      <c r="AB134" t="s">
        <v>37</v>
      </c>
      <c r="AC134" s="6" t="s">
        <v>37</v>
      </c>
      <c r="AD134" s="6" t="s">
        <v>37</v>
      </c>
      <c r="AE134" t="s">
        <v>37</v>
      </c>
      <c r="AF134" t="s">
        <v>37</v>
      </c>
      <c r="AG134" s="6" t="s">
        <v>37</v>
      </c>
      <c r="AH134" t="s">
        <v>37</v>
      </c>
      <c r="AI134" t="s">
        <v>37</v>
      </c>
      <c r="AJ134" t="str">
        <f t="shared" si="8"/>
        <v>5HGHPU5OB01K7GEAF2</v>
      </c>
    </row>
    <row r="135" spans="1:36" ht="15" customHeight="1" x14ac:dyDescent="0.25">
      <c r="A135" t="s">
        <v>420</v>
      </c>
      <c r="B135" t="s">
        <v>37</v>
      </c>
      <c r="C135" t="s">
        <v>37</v>
      </c>
      <c r="D135" t="s">
        <v>38</v>
      </c>
      <c r="E135" s="4">
        <v>0</v>
      </c>
      <c r="F135" s="5">
        <v>0</v>
      </c>
      <c r="G135" s="5" t="s">
        <v>39</v>
      </c>
      <c r="H135" s="5">
        <v>0</v>
      </c>
      <c r="I135" s="5" t="s">
        <v>39</v>
      </c>
      <c r="J135" s="5">
        <v>0</v>
      </c>
      <c r="K135" s="5" t="e">
        <f t="shared" si="6"/>
        <v>#DIV/0!</v>
      </c>
      <c r="L135" s="5" t="e">
        <f t="shared" si="7"/>
        <v>#DIV/0!</v>
      </c>
      <c r="M135" s="5" t="s">
        <v>39</v>
      </c>
      <c r="N135" s="5">
        <v>0</v>
      </c>
      <c r="O135" s="5" t="s">
        <v>39</v>
      </c>
      <c r="P135" t="s">
        <v>421</v>
      </c>
      <c r="Q135" t="s">
        <v>124</v>
      </c>
      <c r="R135" t="s">
        <v>37</v>
      </c>
      <c r="S135" t="s">
        <v>125</v>
      </c>
      <c r="T135" t="s">
        <v>43</v>
      </c>
      <c r="U135" t="s">
        <v>44</v>
      </c>
      <c r="V135">
        <v>147</v>
      </c>
      <c r="W135" t="s">
        <v>45</v>
      </c>
      <c r="X135" t="s">
        <v>53</v>
      </c>
      <c r="Y135" t="s">
        <v>126</v>
      </c>
      <c r="Z135" t="s">
        <v>37</v>
      </c>
      <c r="AA135" t="s">
        <v>48</v>
      </c>
      <c r="AB135" t="s">
        <v>37</v>
      </c>
      <c r="AC135" s="6" t="s">
        <v>37</v>
      </c>
      <c r="AD135" s="6" t="s">
        <v>37</v>
      </c>
      <c r="AE135" t="s">
        <v>37</v>
      </c>
      <c r="AF135" t="s">
        <v>37</v>
      </c>
      <c r="AG135" s="6" t="s">
        <v>37</v>
      </c>
      <c r="AH135" t="s">
        <v>37</v>
      </c>
      <c r="AI135" t="s">
        <v>37</v>
      </c>
      <c r="AJ135" t="str">
        <f t="shared" si="8"/>
        <v>1QCXHA1RB07W6JG6Z7</v>
      </c>
    </row>
    <row r="136" spans="1:36" ht="15" customHeight="1" x14ac:dyDescent="0.25">
      <c r="A136" t="s">
        <v>422</v>
      </c>
      <c r="B136" t="s">
        <v>37</v>
      </c>
      <c r="C136" t="s">
        <v>37</v>
      </c>
      <c r="D136" t="s">
        <v>38</v>
      </c>
      <c r="E136" s="4">
        <v>354</v>
      </c>
      <c r="F136" s="5">
        <v>7186.2</v>
      </c>
      <c r="G136" s="5" t="s">
        <v>39</v>
      </c>
      <c r="H136" s="5">
        <v>10443</v>
      </c>
      <c r="I136" s="5" t="s">
        <v>39</v>
      </c>
      <c r="J136" s="5">
        <v>244.33080000000001</v>
      </c>
      <c r="K136" s="5">
        <f t="shared" si="6"/>
        <v>0.69020000000000004</v>
      </c>
      <c r="L136" s="5">
        <f t="shared" si="7"/>
        <v>20.3</v>
      </c>
      <c r="M136" s="5" t="s">
        <v>39</v>
      </c>
      <c r="N136" s="5">
        <v>244.33080000000001</v>
      </c>
      <c r="O136" s="5" t="s">
        <v>39</v>
      </c>
      <c r="P136" t="s">
        <v>377</v>
      </c>
      <c r="Q136" t="s">
        <v>135</v>
      </c>
      <c r="R136" t="s">
        <v>37</v>
      </c>
      <c r="S136" t="s">
        <v>136</v>
      </c>
      <c r="T136" t="s">
        <v>43</v>
      </c>
      <c r="U136" t="s">
        <v>44</v>
      </c>
      <c r="V136">
        <v>147</v>
      </c>
      <c r="W136" t="s">
        <v>45</v>
      </c>
      <c r="X136" t="s">
        <v>75</v>
      </c>
      <c r="Y136" t="s">
        <v>137</v>
      </c>
      <c r="Z136" t="s">
        <v>37</v>
      </c>
      <c r="AA136" t="s">
        <v>61</v>
      </c>
      <c r="AB136" t="s">
        <v>37</v>
      </c>
      <c r="AC136" s="6" t="s">
        <v>37</v>
      </c>
      <c r="AD136" s="6" t="s">
        <v>37</v>
      </c>
      <c r="AE136" t="s">
        <v>37</v>
      </c>
      <c r="AF136" t="s">
        <v>37</v>
      </c>
      <c r="AG136" s="6" t="s">
        <v>37</v>
      </c>
      <c r="AH136" t="s">
        <v>37</v>
      </c>
      <c r="AI136" t="s">
        <v>37</v>
      </c>
      <c r="AJ136" t="str">
        <f t="shared" si="8"/>
        <v>5IZH76JAB07W5JK4LF</v>
      </c>
    </row>
    <row r="137" spans="1:36" ht="15" customHeight="1" x14ac:dyDescent="0.25">
      <c r="A137" t="s">
        <v>115</v>
      </c>
      <c r="B137" t="s">
        <v>37</v>
      </c>
      <c r="C137" t="s">
        <v>37</v>
      </c>
      <c r="D137" t="s">
        <v>38</v>
      </c>
      <c r="E137" s="4">
        <v>56</v>
      </c>
      <c r="F137" s="5">
        <v>4222.96</v>
      </c>
      <c r="G137" s="5" t="s">
        <v>39</v>
      </c>
      <c r="H137" s="5">
        <v>6196.4</v>
      </c>
      <c r="I137" s="5" t="s">
        <v>39</v>
      </c>
      <c r="J137" s="5">
        <v>143.58063999999999</v>
      </c>
      <c r="K137" s="5">
        <f t="shared" si="6"/>
        <v>2.5639399999999997</v>
      </c>
      <c r="L137" s="5">
        <f t="shared" si="7"/>
        <v>75.41</v>
      </c>
      <c r="M137" s="5" t="s">
        <v>39</v>
      </c>
      <c r="N137" s="5">
        <v>143.58063999999999</v>
      </c>
      <c r="O137" s="5" t="s">
        <v>39</v>
      </c>
      <c r="P137" t="s">
        <v>189</v>
      </c>
      <c r="Q137" t="s">
        <v>423</v>
      </c>
      <c r="R137" t="s">
        <v>37</v>
      </c>
      <c r="S137" t="s">
        <v>424</v>
      </c>
      <c r="T137" t="s">
        <v>43</v>
      </c>
      <c r="U137" t="s">
        <v>44</v>
      </c>
      <c r="V137">
        <v>147</v>
      </c>
      <c r="W137" t="s">
        <v>45</v>
      </c>
      <c r="X137" t="s">
        <v>75</v>
      </c>
      <c r="Y137" t="s">
        <v>425</v>
      </c>
      <c r="Z137" t="s">
        <v>37</v>
      </c>
      <c r="AA137" t="s">
        <v>61</v>
      </c>
      <c r="AB137" t="s">
        <v>37</v>
      </c>
      <c r="AC137" s="6" t="s">
        <v>37</v>
      </c>
      <c r="AD137" s="6" t="s">
        <v>37</v>
      </c>
      <c r="AE137" t="s">
        <v>37</v>
      </c>
      <c r="AF137" t="s">
        <v>37</v>
      </c>
      <c r="AG137" s="6" t="s">
        <v>37</v>
      </c>
      <c r="AH137" t="s">
        <v>37</v>
      </c>
      <c r="AI137" t="s">
        <v>37</v>
      </c>
      <c r="AJ137" t="str">
        <f t="shared" si="8"/>
        <v>6DPU2MKPB07W5JJ1WH</v>
      </c>
    </row>
    <row r="138" spans="1:36" ht="15" customHeight="1" x14ac:dyDescent="0.25">
      <c r="A138" t="s">
        <v>67</v>
      </c>
      <c r="B138" t="s">
        <v>37</v>
      </c>
      <c r="C138" t="s">
        <v>37</v>
      </c>
      <c r="D138" t="s">
        <v>38</v>
      </c>
      <c r="E138" s="4">
        <v>8</v>
      </c>
      <c r="F138" s="5">
        <v>147.68</v>
      </c>
      <c r="G138" s="5" t="s">
        <v>39</v>
      </c>
      <c r="H138" s="5">
        <v>256.39999999999998</v>
      </c>
      <c r="I138" s="5" t="s">
        <v>39</v>
      </c>
      <c r="J138" s="5">
        <v>5.0211199999999998</v>
      </c>
      <c r="K138" s="5">
        <f t="shared" si="6"/>
        <v>0.62763999999999998</v>
      </c>
      <c r="L138" s="5">
        <f t="shared" si="7"/>
        <v>18.46</v>
      </c>
      <c r="M138" s="5" t="s">
        <v>39</v>
      </c>
      <c r="N138" s="5">
        <v>5.0211199999999998</v>
      </c>
      <c r="O138" s="5" t="s">
        <v>39</v>
      </c>
      <c r="P138" t="s">
        <v>63</v>
      </c>
      <c r="Q138" t="s">
        <v>426</v>
      </c>
      <c r="R138" t="s">
        <v>37</v>
      </c>
      <c r="S138" t="s">
        <v>427</v>
      </c>
      <c r="T138" t="s">
        <v>43</v>
      </c>
      <c r="U138" t="s">
        <v>44</v>
      </c>
      <c r="V138">
        <v>147</v>
      </c>
      <c r="W138" t="s">
        <v>45</v>
      </c>
      <c r="X138" t="s">
        <v>46</v>
      </c>
      <c r="Y138" t="s">
        <v>428</v>
      </c>
      <c r="Z138" t="s">
        <v>37</v>
      </c>
      <c r="AA138" t="s">
        <v>48</v>
      </c>
      <c r="AB138" t="s">
        <v>37</v>
      </c>
      <c r="AC138" s="6" t="s">
        <v>37</v>
      </c>
      <c r="AD138" s="6" t="s">
        <v>37</v>
      </c>
      <c r="AE138" t="s">
        <v>37</v>
      </c>
      <c r="AF138" t="s">
        <v>37</v>
      </c>
      <c r="AG138" s="6" t="s">
        <v>37</v>
      </c>
      <c r="AH138" t="s">
        <v>37</v>
      </c>
      <c r="AI138" t="s">
        <v>37</v>
      </c>
      <c r="AJ138" t="str">
        <f t="shared" si="8"/>
        <v>3AWPOPBJB00CJ5FP04</v>
      </c>
    </row>
    <row r="139" spans="1:36" ht="15" customHeight="1" x14ac:dyDescent="0.25">
      <c r="A139" t="s">
        <v>127</v>
      </c>
      <c r="B139" t="s">
        <v>37</v>
      </c>
      <c r="C139" t="s">
        <v>37</v>
      </c>
      <c r="D139" t="s">
        <v>38</v>
      </c>
      <c r="E139" s="4">
        <v>16</v>
      </c>
      <c r="F139" s="5">
        <v>1030.72</v>
      </c>
      <c r="G139" s="5" t="s">
        <v>39</v>
      </c>
      <c r="H139" s="5">
        <v>1508</v>
      </c>
      <c r="I139" s="5" t="s">
        <v>39</v>
      </c>
      <c r="J139" s="5">
        <v>35.04448</v>
      </c>
      <c r="K139" s="5">
        <f t="shared" si="6"/>
        <v>2.19028</v>
      </c>
      <c r="L139" s="5">
        <f t="shared" si="7"/>
        <v>64.42</v>
      </c>
      <c r="M139" s="5" t="s">
        <v>39</v>
      </c>
      <c r="N139" s="5">
        <v>35.04448</v>
      </c>
      <c r="O139" s="5" t="s">
        <v>39</v>
      </c>
      <c r="P139" t="s">
        <v>208</v>
      </c>
      <c r="Q139" t="s">
        <v>429</v>
      </c>
      <c r="R139" t="s">
        <v>37</v>
      </c>
      <c r="S139" t="s">
        <v>430</v>
      </c>
      <c r="T139" t="s">
        <v>43</v>
      </c>
      <c r="U139" t="s">
        <v>44</v>
      </c>
      <c r="V139">
        <v>147</v>
      </c>
      <c r="W139" t="s">
        <v>45</v>
      </c>
      <c r="X139" t="s">
        <v>75</v>
      </c>
      <c r="Y139" t="s">
        <v>431</v>
      </c>
      <c r="Z139" t="s">
        <v>37</v>
      </c>
      <c r="AA139" t="s">
        <v>61</v>
      </c>
      <c r="AB139" t="s">
        <v>37</v>
      </c>
      <c r="AC139" s="6" t="s">
        <v>37</v>
      </c>
      <c r="AD139" s="6" t="s">
        <v>37</v>
      </c>
      <c r="AE139" t="s">
        <v>37</v>
      </c>
      <c r="AF139" t="s">
        <v>37</v>
      </c>
      <c r="AG139" s="6" t="s">
        <v>37</v>
      </c>
      <c r="AH139" t="s">
        <v>37</v>
      </c>
      <c r="AI139" t="s">
        <v>37</v>
      </c>
      <c r="AJ139" t="str">
        <f t="shared" si="8"/>
        <v>2WFUPSOGB0055ZWOZ4</v>
      </c>
    </row>
    <row r="140" spans="1:36" ht="15" customHeight="1" x14ac:dyDescent="0.25">
      <c r="A140" t="s">
        <v>67</v>
      </c>
      <c r="B140" t="s">
        <v>37</v>
      </c>
      <c r="C140" t="s">
        <v>37</v>
      </c>
      <c r="D140" t="s">
        <v>38</v>
      </c>
      <c r="E140" s="4">
        <v>100</v>
      </c>
      <c r="F140" s="5">
        <v>7541</v>
      </c>
      <c r="G140" s="5" t="s">
        <v>39</v>
      </c>
      <c r="H140" s="5">
        <v>9425</v>
      </c>
      <c r="I140" s="5" t="s">
        <v>39</v>
      </c>
      <c r="J140" s="5">
        <v>256.39400000000001</v>
      </c>
      <c r="K140" s="5">
        <f t="shared" si="6"/>
        <v>2.5639400000000001</v>
      </c>
      <c r="L140" s="5">
        <f t="shared" si="7"/>
        <v>75.41</v>
      </c>
      <c r="M140" s="5" t="s">
        <v>39</v>
      </c>
      <c r="N140" s="5">
        <v>256.39400000000001</v>
      </c>
      <c r="O140" s="5" t="s">
        <v>39</v>
      </c>
      <c r="P140" t="s">
        <v>421</v>
      </c>
      <c r="Q140" t="s">
        <v>124</v>
      </c>
      <c r="R140" t="s">
        <v>37</v>
      </c>
      <c r="S140" t="s">
        <v>125</v>
      </c>
      <c r="T140" t="s">
        <v>43</v>
      </c>
      <c r="U140" t="s">
        <v>44</v>
      </c>
      <c r="V140">
        <v>147</v>
      </c>
      <c r="W140" t="s">
        <v>45</v>
      </c>
      <c r="X140" t="s">
        <v>53</v>
      </c>
      <c r="Y140" t="s">
        <v>126</v>
      </c>
      <c r="Z140" t="s">
        <v>37</v>
      </c>
      <c r="AA140" t="s">
        <v>48</v>
      </c>
      <c r="AB140" t="s">
        <v>37</v>
      </c>
      <c r="AC140" s="6" t="s">
        <v>37</v>
      </c>
      <c r="AD140" s="6" t="s">
        <v>37</v>
      </c>
      <c r="AE140" t="s">
        <v>37</v>
      </c>
      <c r="AF140" t="s">
        <v>37</v>
      </c>
      <c r="AG140" s="6" t="s">
        <v>37</v>
      </c>
      <c r="AH140" t="s">
        <v>37</v>
      </c>
      <c r="AI140" t="s">
        <v>37</v>
      </c>
      <c r="AJ140" t="str">
        <f t="shared" si="8"/>
        <v>1QCXHA1RB07W6JG6Z7</v>
      </c>
    </row>
    <row r="141" spans="1:36" ht="15" customHeight="1" x14ac:dyDescent="0.25">
      <c r="A141" t="s">
        <v>400</v>
      </c>
      <c r="B141" t="s">
        <v>37</v>
      </c>
      <c r="C141" t="s">
        <v>37</v>
      </c>
      <c r="D141" t="s">
        <v>38</v>
      </c>
      <c r="E141" s="4">
        <v>4</v>
      </c>
      <c r="F141" s="5">
        <v>211.04</v>
      </c>
      <c r="G141" s="5" t="s">
        <v>39</v>
      </c>
      <c r="H141" s="5">
        <v>340.96</v>
      </c>
      <c r="I141" s="5" t="s">
        <v>39</v>
      </c>
      <c r="J141" s="5">
        <v>7.1753600000000004</v>
      </c>
      <c r="K141" s="5">
        <f t="shared" si="6"/>
        <v>1.7938400000000001</v>
      </c>
      <c r="L141" s="5">
        <f t="shared" si="7"/>
        <v>52.76</v>
      </c>
      <c r="M141" s="5" t="s">
        <v>39</v>
      </c>
      <c r="N141" s="5">
        <v>7.1753600000000004</v>
      </c>
      <c r="O141" s="5" t="s">
        <v>39</v>
      </c>
      <c r="P141" t="s">
        <v>263</v>
      </c>
      <c r="Q141" t="s">
        <v>432</v>
      </c>
      <c r="R141" t="s">
        <v>37</v>
      </c>
      <c r="S141" t="s">
        <v>433</v>
      </c>
      <c r="T141" t="s">
        <v>43</v>
      </c>
      <c r="U141" t="s">
        <v>44</v>
      </c>
      <c r="V141">
        <v>147</v>
      </c>
      <c r="W141" t="s">
        <v>45</v>
      </c>
      <c r="X141" t="s">
        <v>46</v>
      </c>
      <c r="Y141" t="s">
        <v>434</v>
      </c>
      <c r="Z141" t="s">
        <v>37</v>
      </c>
      <c r="AA141" t="s">
        <v>48</v>
      </c>
      <c r="AB141" t="s">
        <v>37</v>
      </c>
      <c r="AC141" s="6" t="s">
        <v>37</v>
      </c>
      <c r="AD141" s="6" t="s">
        <v>37</v>
      </c>
      <c r="AE141" t="s">
        <v>37</v>
      </c>
      <c r="AF141" t="s">
        <v>37</v>
      </c>
      <c r="AG141" s="6" t="s">
        <v>37</v>
      </c>
      <c r="AH141" t="s">
        <v>37</v>
      </c>
      <c r="AI141" t="s">
        <v>37</v>
      </c>
      <c r="AJ141" t="str">
        <f t="shared" si="8"/>
        <v>3B2Q175VB071XW5FW8</v>
      </c>
    </row>
    <row r="142" spans="1:36" ht="15" customHeight="1" x14ac:dyDescent="0.25">
      <c r="A142" t="s">
        <v>67</v>
      </c>
      <c r="B142" t="s">
        <v>37</v>
      </c>
      <c r="C142" t="s">
        <v>37</v>
      </c>
      <c r="D142" t="s">
        <v>38</v>
      </c>
      <c r="E142" s="4">
        <v>32</v>
      </c>
      <c r="F142" s="5">
        <v>936.96</v>
      </c>
      <c r="G142" s="5" t="s">
        <v>39</v>
      </c>
      <c r="H142" s="5">
        <v>1363.52</v>
      </c>
      <c r="I142" s="5" t="s">
        <v>39</v>
      </c>
      <c r="J142" s="5">
        <v>31.856639999999999</v>
      </c>
      <c r="K142" s="5">
        <f t="shared" si="6"/>
        <v>0.99551999999999996</v>
      </c>
      <c r="L142" s="5">
        <f t="shared" si="7"/>
        <v>29.28</v>
      </c>
      <c r="M142" s="5" t="s">
        <v>39</v>
      </c>
      <c r="N142" s="5">
        <v>31.856639999999999</v>
      </c>
      <c r="O142" s="5" t="s">
        <v>39</v>
      </c>
      <c r="P142" t="s">
        <v>108</v>
      </c>
      <c r="Q142" t="s">
        <v>251</v>
      </c>
      <c r="R142" t="s">
        <v>37</v>
      </c>
      <c r="S142" t="s">
        <v>252</v>
      </c>
      <c r="T142" t="s">
        <v>43</v>
      </c>
      <c r="U142" t="s">
        <v>44</v>
      </c>
      <c r="V142">
        <v>147</v>
      </c>
      <c r="W142" t="s">
        <v>45</v>
      </c>
      <c r="X142" t="s">
        <v>75</v>
      </c>
      <c r="Y142" t="s">
        <v>253</v>
      </c>
      <c r="Z142" t="s">
        <v>37</v>
      </c>
      <c r="AA142" t="s">
        <v>61</v>
      </c>
      <c r="AB142" t="s">
        <v>37</v>
      </c>
      <c r="AC142" s="6" t="s">
        <v>37</v>
      </c>
      <c r="AD142" s="6" t="s">
        <v>37</v>
      </c>
      <c r="AE142" t="s">
        <v>37</v>
      </c>
      <c r="AF142" t="s">
        <v>37</v>
      </c>
      <c r="AG142" s="6" t="s">
        <v>37</v>
      </c>
      <c r="AH142" t="s">
        <v>37</v>
      </c>
      <c r="AI142" t="s">
        <v>37</v>
      </c>
      <c r="AJ142" t="str">
        <f t="shared" si="8"/>
        <v>5HGHPU5OB07W5JHXF8</v>
      </c>
    </row>
    <row r="143" spans="1:36" ht="15" customHeight="1" x14ac:dyDescent="0.25">
      <c r="A143" t="s">
        <v>372</v>
      </c>
      <c r="B143" t="s">
        <v>37</v>
      </c>
      <c r="C143" t="s">
        <v>37</v>
      </c>
      <c r="D143" t="s">
        <v>38</v>
      </c>
      <c r="E143" s="4">
        <v>20</v>
      </c>
      <c r="F143" s="5">
        <v>585.6</v>
      </c>
      <c r="G143" s="5" t="s">
        <v>39</v>
      </c>
      <c r="H143" s="5">
        <v>754</v>
      </c>
      <c r="I143" s="5" t="s">
        <v>39</v>
      </c>
      <c r="J143" s="5">
        <v>19.910399999999999</v>
      </c>
      <c r="K143" s="5">
        <f t="shared" si="6"/>
        <v>0.99551999999999996</v>
      </c>
      <c r="L143" s="5">
        <f t="shared" si="7"/>
        <v>29.28</v>
      </c>
      <c r="M143" s="5" t="s">
        <v>39</v>
      </c>
      <c r="N143" s="5">
        <v>19.910399999999999</v>
      </c>
      <c r="O143" s="5" t="s">
        <v>39</v>
      </c>
      <c r="P143" t="s">
        <v>123</v>
      </c>
      <c r="Q143" t="s">
        <v>402</v>
      </c>
      <c r="R143" t="s">
        <v>37</v>
      </c>
      <c r="S143" t="s">
        <v>403</v>
      </c>
      <c r="T143" t="s">
        <v>43</v>
      </c>
      <c r="U143" t="s">
        <v>44</v>
      </c>
      <c r="V143">
        <v>147</v>
      </c>
      <c r="W143" t="s">
        <v>45</v>
      </c>
      <c r="X143" t="s">
        <v>75</v>
      </c>
      <c r="Y143" t="s">
        <v>404</v>
      </c>
      <c r="Z143" t="s">
        <v>37</v>
      </c>
      <c r="AA143" t="s">
        <v>61</v>
      </c>
      <c r="AB143" t="s">
        <v>37</v>
      </c>
      <c r="AC143" s="6" t="s">
        <v>37</v>
      </c>
      <c r="AD143" s="6" t="s">
        <v>37</v>
      </c>
      <c r="AE143" t="s">
        <v>37</v>
      </c>
      <c r="AF143" t="s">
        <v>37</v>
      </c>
      <c r="AG143" s="6" t="s">
        <v>37</v>
      </c>
      <c r="AH143" t="s">
        <v>37</v>
      </c>
      <c r="AI143" t="s">
        <v>37</v>
      </c>
      <c r="AJ143" t="str">
        <f t="shared" si="8"/>
        <v>81V4YVNTB00Y0G2L9I</v>
      </c>
    </row>
    <row r="144" spans="1:36" ht="15" customHeight="1" x14ac:dyDescent="0.25">
      <c r="A144" t="s">
        <v>133</v>
      </c>
      <c r="B144" t="s">
        <v>37</v>
      </c>
      <c r="C144" t="s">
        <v>37</v>
      </c>
      <c r="D144" t="s">
        <v>38</v>
      </c>
      <c r="E144" s="4">
        <v>800</v>
      </c>
      <c r="F144" s="5">
        <v>4208</v>
      </c>
      <c r="G144" s="5" t="s">
        <v>39</v>
      </c>
      <c r="H144" s="5">
        <v>5896</v>
      </c>
      <c r="I144" s="5" t="s">
        <v>39</v>
      </c>
      <c r="J144" s="5">
        <v>143.072</v>
      </c>
      <c r="K144" s="5">
        <f t="shared" si="6"/>
        <v>0.17884</v>
      </c>
      <c r="L144" s="5">
        <f t="shared" si="7"/>
        <v>5.26</v>
      </c>
      <c r="M144" s="5" t="s">
        <v>39</v>
      </c>
      <c r="N144" s="5">
        <v>143.072</v>
      </c>
      <c r="O144" s="5" t="s">
        <v>39</v>
      </c>
      <c r="P144" t="s">
        <v>435</v>
      </c>
      <c r="Q144" t="s">
        <v>291</v>
      </c>
      <c r="R144" t="s">
        <v>37</v>
      </c>
      <c r="S144" t="s">
        <v>292</v>
      </c>
      <c r="T144" t="s">
        <v>43</v>
      </c>
      <c r="U144" t="s">
        <v>44</v>
      </c>
      <c r="V144">
        <v>147</v>
      </c>
      <c r="W144" t="s">
        <v>45</v>
      </c>
      <c r="X144" t="s">
        <v>53</v>
      </c>
      <c r="Y144" t="s">
        <v>293</v>
      </c>
      <c r="Z144" t="s">
        <v>37</v>
      </c>
      <c r="AA144" t="s">
        <v>61</v>
      </c>
      <c r="AB144" t="s">
        <v>37</v>
      </c>
      <c r="AC144" s="6" t="s">
        <v>37</v>
      </c>
      <c r="AD144" s="6" t="s">
        <v>37</v>
      </c>
      <c r="AE144" t="s">
        <v>37</v>
      </c>
      <c r="AF144" t="s">
        <v>37</v>
      </c>
      <c r="AG144" s="6" t="s">
        <v>37</v>
      </c>
      <c r="AH144" t="s">
        <v>37</v>
      </c>
      <c r="AI144" t="s">
        <v>37</v>
      </c>
      <c r="AJ144" t="str">
        <f t="shared" si="8"/>
        <v>7PQWY35CB00AZKNPZC</v>
      </c>
    </row>
    <row r="145" spans="1:36" ht="15" customHeight="1" x14ac:dyDescent="0.25">
      <c r="A145" t="s">
        <v>133</v>
      </c>
      <c r="B145" t="s">
        <v>37</v>
      </c>
      <c r="C145" t="s">
        <v>37</v>
      </c>
      <c r="D145" t="s">
        <v>38</v>
      </c>
      <c r="E145" s="4">
        <v>80</v>
      </c>
      <c r="F145" s="5">
        <v>2108</v>
      </c>
      <c r="G145" s="5" t="s">
        <v>39</v>
      </c>
      <c r="H145" s="5">
        <v>2108</v>
      </c>
      <c r="I145" s="5" t="s">
        <v>39</v>
      </c>
      <c r="J145" s="5">
        <v>71.671999999999997</v>
      </c>
      <c r="K145" s="5">
        <f t="shared" si="6"/>
        <v>0.89589999999999992</v>
      </c>
      <c r="L145" s="5">
        <f t="shared" si="7"/>
        <v>26.35</v>
      </c>
      <c r="M145" s="5" t="s">
        <v>39</v>
      </c>
      <c r="N145" s="5">
        <v>71.671999999999997</v>
      </c>
      <c r="O145" s="5" t="s">
        <v>39</v>
      </c>
      <c r="P145" t="s">
        <v>116</v>
      </c>
      <c r="Q145" t="s">
        <v>436</v>
      </c>
      <c r="R145" t="s">
        <v>37</v>
      </c>
      <c r="S145" t="s">
        <v>437</v>
      </c>
      <c r="T145" t="s">
        <v>43</v>
      </c>
      <c r="U145" t="s">
        <v>44</v>
      </c>
      <c r="V145">
        <v>147</v>
      </c>
      <c r="W145" t="s">
        <v>45</v>
      </c>
      <c r="X145" t="s">
        <v>177</v>
      </c>
      <c r="Y145" t="s">
        <v>438</v>
      </c>
      <c r="Z145" t="s">
        <v>37</v>
      </c>
      <c r="AA145" t="s">
        <v>48</v>
      </c>
      <c r="AB145" t="s">
        <v>37</v>
      </c>
      <c r="AC145" s="6" t="s">
        <v>37</v>
      </c>
      <c r="AD145" s="6" t="s">
        <v>37</v>
      </c>
      <c r="AE145" t="s">
        <v>37</v>
      </c>
      <c r="AF145" t="s">
        <v>37</v>
      </c>
      <c r="AG145" s="6" t="s">
        <v>37</v>
      </c>
      <c r="AH145" t="s">
        <v>37</v>
      </c>
      <c r="AI145" t="s">
        <v>37</v>
      </c>
      <c r="AJ145" t="str">
        <f t="shared" si="8"/>
        <v>3S7Y1OIVB005BFCNYU</v>
      </c>
    </row>
    <row r="146" spans="1:36" ht="15" customHeight="1" x14ac:dyDescent="0.25">
      <c r="A146" t="s">
        <v>133</v>
      </c>
      <c r="B146" t="s">
        <v>37</v>
      </c>
      <c r="C146" t="s">
        <v>37</v>
      </c>
      <c r="D146" t="s">
        <v>38</v>
      </c>
      <c r="E146" s="4">
        <v>5</v>
      </c>
      <c r="F146" s="5">
        <v>577.20000000000005</v>
      </c>
      <c r="G146" s="5" t="s">
        <v>39</v>
      </c>
      <c r="H146" s="5">
        <v>733.6</v>
      </c>
      <c r="I146" s="5" t="s">
        <v>39</v>
      </c>
      <c r="J146" s="5">
        <v>19.6248</v>
      </c>
      <c r="K146" s="5">
        <f t="shared" si="6"/>
        <v>3.92496</v>
      </c>
      <c r="L146" s="5">
        <f t="shared" si="7"/>
        <v>115.44000000000001</v>
      </c>
      <c r="M146" s="5" t="s">
        <v>39</v>
      </c>
      <c r="N146" s="5">
        <v>19.6248</v>
      </c>
      <c r="O146" s="5" t="s">
        <v>39</v>
      </c>
      <c r="P146" t="s">
        <v>208</v>
      </c>
      <c r="Q146" t="s">
        <v>439</v>
      </c>
      <c r="R146" t="s">
        <v>37</v>
      </c>
      <c r="S146" t="s">
        <v>440</v>
      </c>
      <c r="T146" t="s">
        <v>43</v>
      </c>
      <c r="U146" t="s">
        <v>44</v>
      </c>
      <c r="V146">
        <v>147</v>
      </c>
      <c r="W146" t="s">
        <v>45</v>
      </c>
      <c r="X146" t="s">
        <v>248</v>
      </c>
      <c r="Y146" t="s">
        <v>441</v>
      </c>
      <c r="Z146" t="s">
        <v>37</v>
      </c>
      <c r="AA146" t="s">
        <v>145</v>
      </c>
      <c r="AB146" t="s">
        <v>37</v>
      </c>
      <c r="AC146" s="6" t="s">
        <v>37</v>
      </c>
      <c r="AD146" s="6" t="s">
        <v>37</v>
      </c>
      <c r="AE146" t="s">
        <v>37</v>
      </c>
      <c r="AF146" t="s">
        <v>37</v>
      </c>
      <c r="AG146" s="6" t="s">
        <v>37</v>
      </c>
      <c r="AH146" t="s">
        <v>37</v>
      </c>
      <c r="AI146" t="s">
        <v>37</v>
      </c>
      <c r="AJ146" t="str">
        <f t="shared" si="8"/>
        <v>2WFUPSOGB003UPJXIC</v>
      </c>
    </row>
    <row r="147" spans="1:36" ht="15" customHeight="1" x14ac:dyDescent="0.25">
      <c r="A147" t="s">
        <v>133</v>
      </c>
      <c r="B147" t="s">
        <v>37</v>
      </c>
      <c r="C147" t="s">
        <v>37</v>
      </c>
      <c r="D147" t="s">
        <v>38</v>
      </c>
      <c r="E147" s="4">
        <v>24</v>
      </c>
      <c r="F147" s="5">
        <v>960.72</v>
      </c>
      <c r="G147" s="5" t="s">
        <v>39</v>
      </c>
      <c r="H147" s="5">
        <v>1357.44</v>
      </c>
      <c r="I147" s="5" t="s">
        <v>39</v>
      </c>
      <c r="J147" s="5">
        <v>32.664479999999998</v>
      </c>
      <c r="K147" s="5">
        <f t="shared" si="6"/>
        <v>1.3610199999999999</v>
      </c>
      <c r="L147" s="5">
        <f t="shared" si="7"/>
        <v>40.03</v>
      </c>
      <c r="M147" s="5" t="s">
        <v>39</v>
      </c>
      <c r="N147" s="5">
        <v>32.664479999999998</v>
      </c>
      <c r="O147" s="5" t="s">
        <v>39</v>
      </c>
      <c r="P147" t="s">
        <v>189</v>
      </c>
      <c r="Q147" t="s">
        <v>442</v>
      </c>
      <c r="R147" t="s">
        <v>37</v>
      </c>
      <c r="S147" t="s">
        <v>443</v>
      </c>
      <c r="T147" t="s">
        <v>43</v>
      </c>
      <c r="U147" t="s">
        <v>44</v>
      </c>
      <c r="V147">
        <v>421</v>
      </c>
      <c r="W147" t="s">
        <v>45</v>
      </c>
      <c r="X147" t="s">
        <v>177</v>
      </c>
      <c r="Y147" t="s">
        <v>444</v>
      </c>
      <c r="Z147" t="s">
        <v>37</v>
      </c>
      <c r="AA147" t="s">
        <v>145</v>
      </c>
      <c r="AB147" t="s">
        <v>37</v>
      </c>
      <c r="AC147" s="6" t="s">
        <v>37</v>
      </c>
      <c r="AD147" s="6" t="s">
        <v>37</v>
      </c>
      <c r="AE147" t="s">
        <v>37</v>
      </c>
      <c r="AF147" t="s">
        <v>37</v>
      </c>
      <c r="AG147" s="6" t="s">
        <v>37</v>
      </c>
      <c r="AH147" t="s">
        <v>37</v>
      </c>
      <c r="AI147" t="s">
        <v>37</v>
      </c>
      <c r="AJ147" t="str">
        <f t="shared" si="8"/>
        <v>6DPU2MKPB07W4DHXC8</v>
      </c>
    </row>
    <row r="148" spans="1:36" ht="15" customHeight="1" x14ac:dyDescent="0.25">
      <c r="A148" t="s">
        <v>36</v>
      </c>
      <c r="B148" t="s">
        <v>37</v>
      </c>
      <c r="C148" t="s">
        <v>37</v>
      </c>
      <c r="D148" t="s">
        <v>38</v>
      </c>
      <c r="E148" s="4">
        <v>32</v>
      </c>
      <c r="F148" s="5">
        <v>656</v>
      </c>
      <c r="G148" s="5" t="s">
        <v>39</v>
      </c>
      <c r="H148" s="5">
        <v>944</v>
      </c>
      <c r="I148" s="5" t="s">
        <v>39</v>
      </c>
      <c r="J148" s="5">
        <v>22.303999999999998</v>
      </c>
      <c r="K148" s="5">
        <f t="shared" si="6"/>
        <v>0.69699999999999995</v>
      </c>
      <c r="L148" s="5">
        <f t="shared" si="7"/>
        <v>20.5</v>
      </c>
      <c r="M148" s="5" t="s">
        <v>39</v>
      </c>
      <c r="N148" s="5">
        <v>22.303999999999998</v>
      </c>
      <c r="O148" s="5" t="s">
        <v>39</v>
      </c>
      <c r="P148" t="s">
        <v>377</v>
      </c>
      <c r="Q148" t="s">
        <v>226</v>
      </c>
      <c r="R148" t="s">
        <v>37</v>
      </c>
      <c r="S148" t="s">
        <v>227</v>
      </c>
      <c r="T148" t="s">
        <v>43</v>
      </c>
      <c r="U148" t="s">
        <v>44</v>
      </c>
      <c r="V148">
        <v>147</v>
      </c>
      <c r="W148" t="s">
        <v>45</v>
      </c>
      <c r="X148" t="s">
        <v>75</v>
      </c>
      <c r="Y148" t="s">
        <v>228</v>
      </c>
      <c r="Z148" t="s">
        <v>37</v>
      </c>
      <c r="AA148" t="s">
        <v>48</v>
      </c>
      <c r="AB148" t="s">
        <v>37</v>
      </c>
      <c r="AC148" s="6" t="s">
        <v>37</v>
      </c>
      <c r="AD148" s="6" t="s">
        <v>37</v>
      </c>
      <c r="AE148" t="s">
        <v>37</v>
      </c>
      <c r="AF148" t="s">
        <v>37</v>
      </c>
      <c r="AG148" s="6" t="s">
        <v>37</v>
      </c>
      <c r="AH148" t="s">
        <v>37</v>
      </c>
      <c r="AI148" t="s">
        <v>37</v>
      </c>
      <c r="AJ148" t="str">
        <f t="shared" si="8"/>
        <v>5IZH76JAB01C47ZFLK</v>
      </c>
    </row>
    <row r="149" spans="1:36" ht="15" customHeight="1" x14ac:dyDescent="0.25">
      <c r="A149" t="s">
        <v>133</v>
      </c>
      <c r="B149" t="s">
        <v>37</v>
      </c>
      <c r="C149" t="s">
        <v>37</v>
      </c>
      <c r="D149" t="s">
        <v>38</v>
      </c>
      <c r="E149" s="4">
        <v>36</v>
      </c>
      <c r="F149" s="5">
        <v>2714.76</v>
      </c>
      <c r="G149" s="5" t="s">
        <v>39</v>
      </c>
      <c r="H149" s="5">
        <v>3983.4</v>
      </c>
      <c r="I149" s="5" t="s">
        <v>39</v>
      </c>
      <c r="J149" s="5">
        <v>92.301839999999999</v>
      </c>
      <c r="K149" s="5">
        <f t="shared" si="6"/>
        <v>2.5639400000000001</v>
      </c>
      <c r="L149" s="5">
        <f t="shared" si="7"/>
        <v>75.410000000000011</v>
      </c>
      <c r="M149" s="5" t="s">
        <v>39</v>
      </c>
      <c r="N149" s="5">
        <v>92.301839999999999</v>
      </c>
      <c r="O149" s="5" t="s">
        <v>39</v>
      </c>
      <c r="P149" t="s">
        <v>208</v>
      </c>
      <c r="Q149" t="s">
        <v>384</v>
      </c>
      <c r="R149" t="s">
        <v>37</v>
      </c>
      <c r="S149" t="s">
        <v>385</v>
      </c>
      <c r="T149" t="s">
        <v>43</v>
      </c>
      <c r="U149" t="s">
        <v>44</v>
      </c>
      <c r="V149">
        <v>147</v>
      </c>
      <c r="W149" t="s">
        <v>45</v>
      </c>
      <c r="X149" t="s">
        <v>154</v>
      </c>
      <c r="Y149" t="s">
        <v>386</v>
      </c>
      <c r="Z149" t="s">
        <v>37</v>
      </c>
      <c r="AA149" t="s">
        <v>48</v>
      </c>
      <c r="AB149" t="s">
        <v>37</v>
      </c>
      <c r="AC149" s="6" t="s">
        <v>37</v>
      </c>
      <c r="AD149" s="6" t="s">
        <v>37</v>
      </c>
      <c r="AE149" t="s">
        <v>37</v>
      </c>
      <c r="AF149" t="s">
        <v>37</v>
      </c>
      <c r="AG149" s="6" t="s">
        <v>37</v>
      </c>
      <c r="AH149" t="s">
        <v>37</v>
      </c>
      <c r="AI149" t="s">
        <v>37</v>
      </c>
      <c r="AJ149" t="str">
        <f t="shared" si="8"/>
        <v>2WFUPSOGB01MT5WMMG</v>
      </c>
    </row>
    <row r="150" spans="1:36" ht="15" customHeight="1" x14ac:dyDescent="0.25">
      <c r="A150" t="s">
        <v>133</v>
      </c>
      <c r="B150" t="s">
        <v>37</v>
      </c>
      <c r="C150" t="s">
        <v>37</v>
      </c>
      <c r="D150" t="s">
        <v>38</v>
      </c>
      <c r="E150" s="4">
        <v>8</v>
      </c>
      <c r="F150" s="5">
        <v>371.2</v>
      </c>
      <c r="G150" s="5" t="s">
        <v>39</v>
      </c>
      <c r="H150" s="5">
        <v>537.6</v>
      </c>
      <c r="I150" s="5" t="s">
        <v>39</v>
      </c>
      <c r="J150" s="5">
        <v>12.620799999999999</v>
      </c>
      <c r="K150" s="5">
        <f t="shared" si="6"/>
        <v>1.5775999999999999</v>
      </c>
      <c r="L150" s="5">
        <f t="shared" si="7"/>
        <v>46.4</v>
      </c>
      <c r="M150" s="5" t="s">
        <v>39</v>
      </c>
      <c r="N150" s="5">
        <v>12.620799999999999</v>
      </c>
      <c r="O150" s="5" t="s">
        <v>39</v>
      </c>
      <c r="P150" t="s">
        <v>189</v>
      </c>
      <c r="Q150" t="s">
        <v>445</v>
      </c>
      <c r="R150" t="s">
        <v>37</v>
      </c>
      <c r="S150" t="s">
        <v>446</v>
      </c>
      <c r="T150" t="s">
        <v>43</v>
      </c>
      <c r="U150" t="s">
        <v>44</v>
      </c>
      <c r="V150">
        <v>147</v>
      </c>
      <c r="W150" t="s">
        <v>45</v>
      </c>
      <c r="X150" t="s">
        <v>53</v>
      </c>
      <c r="Y150" t="s">
        <v>447</v>
      </c>
      <c r="Z150" t="s">
        <v>37</v>
      </c>
      <c r="AA150" t="s">
        <v>61</v>
      </c>
      <c r="AB150" t="s">
        <v>37</v>
      </c>
      <c r="AC150" s="6" t="s">
        <v>37</v>
      </c>
      <c r="AD150" s="6" t="s">
        <v>37</v>
      </c>
      <c r="AE150" t="s">
        <v>37</v>
      </c>
      <c r="AF150" t="s">
        <v>37</v>
      </c>
      <c r="AG150" s="6" t="s">
        <v>37</v>
      </c>
      <c r="AH150" t="s">
        <v>37</v>
      </c>
      <c r="AI150" t="s">
        <v>37</v>
      </c>
      <c r="AJ150" t="str">
        <f t="shared" si="8"/>
        <v>6DPU2MKPB07W6JLFZ7</v>
      </c>
    </row>
    <row r="151" spans="1:36" ht="15" customHeight="1" x14ac:dyDescent="0.25">
      <c r="A151" t="s">
        <v>133</v>
      </c>
      <c r="B151" t="s">
        <v>37</v>
      </c>
      <c r="C151" t="s">
        <v>37</v>
      </c>
      <c r="D151" t="s">
        <v>38</v>
      </c>
      <c r="E151" s="4">
        <v>24</v>
      </c>
      <c r="F151" s="5">
        <v>702.72</v>
      </c>
      <c r="G151" s="5" t="s">
        <v>39</v>
      </c>
      <c r="H151" s="5">
        <v>1022.64</v>
      </c>
      <c r="I151" s="5" t="s">
        <v>39</v>
      </c>
      <c r="J151" s="5">
        <v>23.892479999999999</v>
      </c>
      <c r="K151" s="5">
        <f t="shared" si="6"/>
        <v>0.99551999999999996</v>
      </c>
      <c r="L151" s="5">
        <f t="shared" si="7"/>
        <v>29.28</v>
      </c>
      <c r="M151" s="5" t="s">
        <v>39</v>
      </c>
      <c r="N151" s="5">
        <v>23.892479999999999</v>
      </c>
      <c r="O151" s="5" t="s">
        <v>39</v>
      </c>
      <c r="P151" t="s">
        <v>189</v>
      </c>
      <c r="Q151" t="s">
        <v>220</v>
      </c>
      <c r="R151" t="s">
        <v>37</v>
      </c>
      <c r="S151" t="s">
        <v>221</v>
      </c>
      <c r="T151" t="s">
        <v>43</v>
      </c>
      <c r="U151" t="s">
        <v>44</v>
      </c>
      <c r="V151">
        <v>147</v>
      </c>
      <c r="W151" t="s">
        <v>45</v>
      </c>
      <c r="X151" t="s">
        <v>75</v>
      </c>
      <c r="Y151" t="s">
        <v>222</v>
      </c>
      <c r="Z151" t="s">
        <v>37</v>
      </c>
      <c r="AA151" t="s">
        <v>48</v>
      </c>
      <c r="AB151" t="s">
        <v>37</v>
      </c>
      <c r="AC151" s="6" t="s">
        <v>37</v>
      </c>
      <c r="AD151" s="6" t="s">
        <v>37</v>
      </c>
      <c r="AE151" t="s">
        <v>37</v>
      </c>
      <c r="AF151" t="s">
        <v>37</v>
      </c>
      <c r="AG151" s="6" t="s">
        <v>37</v>
      </c>
      <c r="AH151" t="s">
        <v>37</v>
      </c>
      <c r="AI151" t="s">
        <v>37</v>
      </c>
      <c r="AJ151" t="str">
        <f t="shared" si="8"/>
        <v>6DPU2MKPB013SL2050</v>
      </c>
    </row>
    <row r="152" spans="1:36" ht="15" customHeight="1" x14ac:dyDescent="0.25">
      <c r="A152" t="s">
        <v>49</v>
      </c>
      <c r="B152" t="s">
        <v>37</v>
      </c>
      <c r="C152" t="s">
        <v>37</v>
      </c>
      <c r="D152" t="s">
        <v>38</v>
      </c>
      <c r="E152" s="4">
        <v>8</v>
      </c>
      <c r="F152" s="5">
        <v>637.84</v>
      </c>
      <c r="G152" s="5" t="s">
        <v>39</v>
      </c>
      <c r="H152" s="5">
        <v>982.96</v>
      </c>
      <c r="I152" s="5" t="s">
        <v>39</v>
      </c>
      <c r="J152" s="5">
        <v>21.68656</v>
      </c>
      <c r="K152" s="5">
        <f t="shared" si="6"/>
        <v>2.71082</v>
      </c>
      <c r="L152" s="5">
        <f t="shared" si="7"/>
        <v>79.73</v>
      </c>
      <c r="M152" s="5" t="s">
        <v>39</v>
      </c>
      <c r="N152" s="5">
        <v>21.68656</v>
      </c>
      <c r="O152" s="5" t="s">
        <v>39</v>
      </c>
      <c r="P152" t="s">
        <v>50</v>
      </c>
      <c r="Q152" t="s">
        <v>448</v>
      </c>
      <c r="R152" t="s">
        <v>37</v>
      </c>
      <c r="S152" t="s">
        <v>449</v>
      </c>
      <c r="T152" t="s">
        <v>43</v>
      </c>
      <c r="U152" t="s">
        <v>44</v>
      </c>
      <c r="V152">
        <v>23</v>
      </c>
      <c r="W152" t="s">
        <v>58</v>
      </c>
      <c r="X152" t="s">
        <v>59</v>
      </c>
      <c r="Y152" t="s">
        <v>450</v>
      </c>
      <c r="Z152" t="s">
        <v>37</v>
      </c>
      <c r="AA152" t="s">
        <v>145</v>
      </c>
      <c r="AB152" t="s">
        <v>37</v>
      </c>
      <c r="AC152" s="6" t="s">
        <v>37</v>
      </c>
      <c r="AD152" s="6" t="s">
        <v>37</v>
      </c>
      <c r="AE152" t="s">
        <v>37</v>
      </c>
      <c r="AF152" t="s">
        <v>37</v>
      </c>
      <c r="AG152" s="6" t="s">
        <v>37</v>
      </c>
      <c r="AH152" t="s">
        <v>37</v>
      </c>
      <c r="AI152" t="s">
        <v>37</v>
      </c>
      <c r="AJ152" t="str">
        <f t="shared" si="8"/>
        <v>54U7COBYB07G6DKDY8</v>
      </c>
    </row>
    <row r="153" spans="1:36" ht="15" customHeight="1" x14ac:dyDescent="0.25">
      <c r="A153" t="s">
        <v>36</v>
      </c>
      <c r="B153" t="s">
        <v>37</v>
      </c>
      <c r="C153" t="s">
        <v>37</v>
      </c>
      <c r="D153" t="s">
        <v>38</v>
      </c>
      <c r="E153" s="4">
        <v>4</v>
      </c>
      <c r="F153" s="5">
        <v>211.04</v>
      </c>
      <c r="G153" s="5" t="s">
        <v>39</v>
      </c>
      <c r="H153" s="5">
        <v>340.96</v>
      </c>
      <c r="I153" s="5" t="s">
        <v>39</v>
      </c>
      <c r="J153" s="5">
        <v>7.1753600000000004</v>
      </c>
      <c r="K153" s="5">
        <f t="shared" si="6"/>
        <v>1.7938400000000001</v>
      </c>
      <c r="L153" s="5">
        <f t="shared" si="7"/>
        <v>52.76</v>
      </c>
      <c r="M153" s="5" t="s">
        <v>39</v>
      </c>
      <c r="N153" s="5">
        <v>7.1753600000000004</v>
      </c>
      <c r="O153" s="5" t="s">
        <v>39</v>
      </c>
      <c r="P153" t="s">
        <v>167</v>
      </c>
      <c r="Q153" t="s">
        <v>451</v>
      </c>
      <c r="R153" t="s">
        <v>37</v>
      </c>
      <c r="S153" t="s">
        <v>452</v>
      </c>
      <c r="T153" t="s">
        <v>43</v>
      </c>
      <c r="U153" t="s">
        <v>44</v>
      </c>
      <c r="V153">
        <v>147</v>
      </c>
      <c r="W153" t="s">
        <v>45</v>
      </c>
      <c r="X153" t="s">
        <v>75</v>
      </c>
      <c r="Y153" t="s">
        <v>453</v>
      </c>
      <c r="Z153" t="s">
        <v>37</v>
      </c>
      <c r="AA153" t="s">
        <v>48</v>
      </c>
      <c r="AB153" t="s">
        <v>37</v>
      </c>
      <c r="AC153" s="6" t="s">
        <v>37</v>
      </c>
      <c r="AD153" s="6" t="s">
        <v>37</v>
      </c>
      <c r="AE153" t="s">
        <v>37</v>
      </c>
      <c r="AF153" t="s">
        <v>37</v>
      </c>
      <c r="AG153" s="6" t="s">
        <v>37</v>
      </c>
      <c r="AH153" t="s">
        <v>37</v>
      </c>
      <c r="AI153" t="s">
        <v>37</v>
      </c>
      <c r="AJ153" t="str">
        <f t="shared" si="8"/>
        <v>4FFLHW5MB06XQ3V8G7</v>
      </c>
    </row>
    <row r="154" spans="1:36" ht="15" customHeight="1" x14ac:dyDescent="0.25">
      <c r="A154" t="s">
        <v>36</v>
      </c>
      <c r="B154" t="s">
        <v>37</v>
      </c>
      <c r="C154" t="s">
        <v>37</v>
      </c>
      <c r="D154" t="s">
        <v>38</v>
      </c>
      <c r="E154" s="4">
        <v>8</v>
      </c>
      <c r="F154" s="5">
        <v>234.24</v>
      </c>
      <c r="G154" s="5" t="s">
        <v>39</v>
      </c>
      <c r="H154" s="5">
        <v>340.88</v>
      </c>
      <c r="I154" s="5" t="s">
        <v>39</v>
      </c>
      <c r="J154" s="5">
        <v>7.9641599999999997</v>
      </c>
      <c r="K154" s="5">
        <f t="shared" si="6"/>
        <v>0.99551999999999996</v>
      </c>
      <c r="L154" s="5">
        <f t="shared" si="7"/>
        <v>29.28</v>
      </c>
      <c r="M154" s="5" t="s">
        <v>39</v>
      </c>
      <c r="N154" s="5">
        <v>7.9641599999999997</v>
      </c>
      <c r="O154" s="5" t="s">
        <v>39</v>
      </c>
      <c r="P154" t="s">
        <v>89</v>
      </c>
      <c r="Q154" t="s">
        <v>454</v>
      </c>
      <c r="R154" t="s">
        <v>37</v>
      </c>
      <c r="S154" t="s">
        <v>455</v>
      </c>
      <c r="T154" t="s">
        <v>43</v>
      </c>
      <c r="U154" t="s">
        <v>44</v>
      </c>
      <c r="V154">
        <v>147</v>
      </c>
      <c r="W154" t="s">
        <v>45</v>
      </c>
      <c r="X154" t="s">
        <v>456</v>
      </c>
      <c r="Y154" t="s">
        <v>457</v>
      </c>
      <c r="Z154" t="s">
        <v>37</v>
      </c>
      <c r="AA154" t="s">
        <v>61</v>
      </c>
      <c r="AB154" t="s">
        <v>37</v>
      </c>
      <c r="AC154" s="6" t="s">
        <v>37</v>
      </c>
      <c r="AD154" s="6" t="s">
        <v>37</v>
      </c>
      <c r="AE154" t="s">
        <v>37</v>
      </c>
      <c r="AF154" t="s">
        <v>37</v>
      </c>
      <c r="AG154" s="6" t="s">
        <v>37</v>
      </c>
      <c r="AH154" t="s">
        <v>37</v>
      </c>
      <c r="AI154" t="s">
        <v>37</v>
      </c>
      <c r="AJ154" t="str">
        <f t="shared" si="8"/>
        <v>6D1HFTMSB07W5JK27G</v>
      </c>
    </row>
    <row r="155" spans="1:36" ht="15" customHeight="1" x14ac:dyDescent="0.25">
      <c r="A155" t="s">
        <v>36</v>
      </c>
      <c r="B155" t="s">
        <v>37</v>
      </c>
      <c r="C155" t="s">
        <v>37</v>
      </c>
      <c r="D155" t="s">
        <v>38</v>
      </c>
      <c r="E155" s="4">
        <v>16</v>
      </c>
      <c r="F155" s="5">
        <v>468.48</v>
      </c>
      <c r="G155" s="5" t="s">
        <v>39</v>
      </c>
      <c r="H155" s="5">
        <v>681.76</v>
      </c>
      <c r="I155" s="5" t="s">
        <v>39</v>
      </c>
      <c r="J155" s="5">
        <v>15.928319999999999</v>
      </c>
      <c r="K155" s="5">
        <f t="shared" si="6"/>
        <v>0.99551999999999996</v>
      </c>
      <c r="L155" s="5">
        <f t="shared" si="7"/>
        <v>29.28</v>
      </c>
      <c r="M155" s="5" t="s">
        <v>39</v>
      </c>
      <c r="N155" s="5">
        <v>15.928319999999999</v>
      </c>
      <c r="O155" s="5" t="s">
        <v>39</v>
      </c>
      <c r="P155" t="s">
        <v>89</v>
      </c>
      <c r="Q155" t="s">
        <v>458</v>
      </c>
      <c r="R155" t="s">
        <v>37</v>
      </c>
      <c r="S155" t="s">
        <v>459</v>
      </c>
      <c r="T155" t="s">
        <v>43</v>
      </c>
      <c r="U155" t="s">
        <v>44</v>
      </c>
      <c r="V155">
        <v>147</v>
      </c>
      <c r="W155" t="s">
        <v>45</v>
      </c>
      <c r="X155" t="s">
        <v>248</v>
      </c>
      <c r="Y155" t="s">
        <v>460</v>
      </c>
      <c r="Z155" t="s">
        <v>37</v>
      </c>
      <c r="AA155" t="s">
        <v>145</v>
      </c>
      <c r="AB155" t="s">
        <v>37</v>
      </c>
      <c r="AC155" s="6" t="s">
        <v>37</v>
      </c>
      <c r="AD155" s="6" t="s">
        <v>37</v>
      </c>
      <c r="AE155" t="s">
        <v>37</v>
      </c>
      <c r="AF155" t="s">
        <v>37</v>
      </c>
      <c r="AG155" s="6" t="s">
        <v>37</v>
      </c>
      <c r="AH155" t="s">
        <v>37</v>
      </c>
      <c r="AI155" t="s">
        <v>37</v>
      </c>
      <c r="AJ155" t="str">
        <f t="shared" si="8"/>
        <v>6D1HFTMSB00EUUX59O</v>
      </c>
    </row>
    <row r="156" spans="1:36" ht="15" customHeight="1" x14ac:dyDescent="0.25">
      <c r="A156" t="s">
        <v>372</v>
      </c>
      <c r="B156" t="s">
        <v>37</v>
      </c>
      <c r="C156" t="s">
        <v>37</v>
      </c>
      <c r="D156" t="s">
        <v>38</v>
      </c>
      <c r="E156" s="4">
        <v>8</v>
      </c>
      <c r="F156" s="5">
        <v>774.64</v>
      </c>
      <c r="G156" s="5" t="s">
        <v>39</v>
      </c>
      <c r="H156" s="5">
        <v>918</v>
      </c>
      <c r="I156" s="5" t="s">
        <v>39</v>
      </c>
      <c r="J156" s="5">
        <v>26.337759999999999</v>
      </c>
      <c r="K156" s="5">
        <f t="shared" si="6"/>
        <v>3.2922199999999999</v>
      </c>
      <c r="L156" s="5">
        <f t="shared" si="7"/>
        <v>96.83</v>
      </c>
      <c r="M156" s="5" t="s">
        <v>39</v>
      </c>
      <c r="N156" s="5">
        <v>26.337759999999999</v>
      </c>
      <c r="O156" s="5" t="s">
        <v>39</v>
      </c>
      <c r="P156" t="s">
        <v>461</v>
      </c>
      <c r="Q156" t="s">
        <v>229</v>
      </c>
      <c r="R156" t="s">
        <v>37</v>
      </c>
      <c r="S156" t="s">
        <v>230</v>
      </c>
      <c r="T156" t="s">
        <v>43</v>
      </c>
      <c r="U156" t="s">
        <v>44</v>
      </c>
      <c r="V156">
        <v>267</v>
      </c>
      <c r="W156" t="s">
        <v>231</v>
      </c>
      <c r="X156" t="s">
        <v>232</v>
      </c>
      <c r="Y156" t="s">
        <v>233</v>
      </c>
      <c r="Z156" t="s">
        <v>37</v>
      </c>
      <c r="AA156" t="s">
        <v>145</v>
      </c>
      <c r="AB156" t="s">
        <v>37</v>
      </c>
      <c r="AC156" s="6" t="s">
        <v>37</v>
      </c>
      <c r="AD156" s="6" t="s">
        <v>37</v>
      </c>
      <c r="AE156" t="s">
        <v>37</v>
      </c>
      <c r="AF156" t="s">
        <v>37</v>
      </c>
      <c r="AG156" s="6" t="s">
        <v>37</v>
      </c>
      <c r="AH156" t="s">
        <v>37</v>
      </c>
      <c r="AI156" t="s">
        <v>37</v>
      </c>
      <c r="AJ156" t="str">
        <f t="shared" si="8"/>
        <v>83YYT1WXB002VA464S</v>
      </c>
    </row>
    <row r="157" spans="1:36" ht="15" customHeight="1" x14ac:dyDescent="0.25">
      <c r="A157" t="s">
        <v>36</v>
      </c>
      <c r="B157" t="s">
        <v>37</v>
      </c>
      <c r="C157" t="s">
        <v>37</v>
      </c>
      <c r="D157" t="s">
        <v>38</v>
      </c>
      <c r="E157" s="4">
        <v>24</v>
      </c>
      <c r="F157" s="5">
        <v>421.44</v>
      </c>
      <c r="G157" s="5" t="s">
        <v>39</v>
      </c>
      <c r="H157" s="5">
        <v>609.6</v>
      </c>
      <c r="I157" s="5" t="s">
        <v>39</v>
      </c>
      <c r="J157" s="5">
        <v>14.32896</v>
      </c>
      <c r="K157" s="5">
        <f t="shared" si="6"/>
        <v>0.59704000000000002</v>
      </c>
      <c r="L157" s="5">
        <f t="shared" si="7"/>
        <v>17.559999999999999</v>
      </c>
      <c r="M157" s="5" t="s">
        <v>39</v>
      </c>
      <c r="N157" s="5">
        <v>14.32896</v>
      </c>
      <c r="O157" s="5" t="s">
        <v>39</v>
      </c>
      <c r="P157" t="s">
        <v>89</v>
      </c>
      <c r="Q157" t="s">
        <v>345</v>
      </c>
      <c r="R157" t="s">
        <v>37</v>
      </c>
      <c r="S157" t="s">
        <v>346</v>
      </c>
      <c r="T157" t="s">
        <v>43</v>
      </c>
      <c r="U157" t="s">
        <v>44</v>
      </c>
      <c r="V157">
        <v>23</v>
      </c>
      <c r="W157" t="s">
        <v>347</v>
      </c>
      <c r="X157" t="s">
        <v>348</v>
      </c>
      <c r="Y157" t="s">
        <v>349</v>
      </c>
      <c r="Z157" t="s">
        <v>37</v>
      </c>
      <c r="AA157" t="s">
        <v>48</v>
      </c>
      <c r="AB157" t="s">
        <v>37</v>
      </c>
      <c r="AC157" s="6" t="s">
        <v>37</v>
      </c>
      <c r="AD157" s="6" t="s">
        <v>37</v>
      </c>
      <c r="AE157" t="s">
        <v>37</v>
      </c>
      <c r="AF157" t="s">
        <v>37</v>
      </c>
      <c r="AG157" s="6" t="s">
        <v>37</v>
      </c>
      <c r="AH157" t="s">
        <v>37</v>
      </c>
      <c r="AI157" t="s">
        <v>37</v>
      </c>
      <c r="AJ157" t="str">
        <f t="shared" si="8"/>
        <v>6D1HFTMSB06W547XN2</v>
      </c>
    </row>
    <row r="158" spans="1:36" ht="15" customHeight="1" x14ac:dyDescent="0.25">
      <c r="A158" t="s">
        <v>67</v>
      </c>
      <c r="B158" t="s">
        <v>37</v>
      </c>
      <c r="C158" t="s">
        <v>37</v>
      </c>
      <c r="D158" t="s">
        <v>38</v>
      </c>
      <c r="E158" s="4">
        <v>4</v>
      </c>
      <c r="F158" s="5">
        <v>525.52</v>
      </c>
      <c r="G158" s="5" t="s">
        <v>39</v>
      </c>
      <c r="H158" s="5">
        <v>849.16</v>
      </c>
      <c r="I158" s="5" t="s">
        <v>39</v>
      </c>
      <c r="J158" s="5">
        <v>17.86768</v>
      </c>
      <c r="K158" s="5">
        <f t="shared" si="6"/>
        <v>4.46692</v>
      </c>
      <c r="L158" s="5">
        <f t="shared" si="7"/>
        <v>131.38</v>
      </c>
      <c r="M158" s="5" t="s">
        <v>39</v>
      </c>
      <c r="N158" s="5">
        <v>17.86768</v>
      </c>
      <c r="O158" s="5" t="s">
        <v>39</v>
      </c>
      <c r="P158" t="s">
        <v>245</v>
      </c>
      <c r="Q158" t="s">
        <v>462</v>
      </c>
      <c r="R158" t="s">
        <v>37</v>
      </c>
      <c r="S158" t="s">
        <v>463</v>
      </c>
      <c r="T158" t="s">
        <v>43</v>
      </c>
      <c r="U158" t="s">
        <v>44</v>
      </c>
      <c r="V158">
        <v>147</v>
      </c>
      <c r="W158" t="s">
        <v>45</v>
      </c>
      <c r="X158" t="s">
        <v>75</v>
      </c>
      <c r="Y158" t="s">
        <v>464</v>
      </c>
      <c r="Z158" t="s">
        <v>37</v>
      </c>
      <c r="AA158" t="s">
        <v>145</v>
      </c>
      <c r="AB158" t="s">
        <v>37</v>
      </c>
      <c r="AC158" s="6" t="s">
        <v>37</v>
      </c>
      <c r="AD158" s="6" t="s">
        <v>37</v>
      </c>
      <c r="AE158" t="s">
        <v>37</v>
      </c>
      <c r="AF158" t="s">
        <v>37</v>
      </c>
      <c r="AG158" s="6" t="s">
        <v>37</v>
      </c>
      <c r="AH158" t="s">
        <v>37</v>
      </c>
      <c r="AI158" t="s">
        <v>37</v>
      </c>
      <c r="AJ158" t="str">
        <f t="shared" si="8"/>
        <v>6ZGQP34KB07VTTBDSV</v>
      </c>
    </row>
    <row r="159" spans="1:36" ht="15" customHeight="1" x14ac:dyDescent="0.25">
      <c r="A159" t="s">
        <v>67</v>
      </c>
      <c r="B159" t="s">
        <v>37</v>
      </c>
      <c r="C159" t="s">
        <v>37</v>
      </c>
      <c r="D159" t="s">
        <v>38</v>
      </c>
      <c r="E159" s="4">
        <v>20</v>
      </c>
      <c r="F159" s="5">
        <v>585.6</v>
      </c>
      <c r="G159" s="5" t="s">
        <v>39</v>
      </c>
      <c r="H159" s="5">
        <v>826.2</v>
      </c>
      <c r="I159" s="5" t="s">
        <v>39</v>
      </c>
      <c r="J159" s="5">
        <v>19.910399999999999</v>
      </c>
      <c r="K159" s="5">
        <f t="shared" si="6"/>
        <v>0.99551999999999996</v>
      </c>
      <c r="L159" s="5">
        <f t="shared" si="7"/>
        <v>29.28</v>
      </c>
      <c r="M159" s="5" t="s">
        <v>39</v>
      </c>
      <c r="N159" s="5">
        <v>19.910399999999999</v>
      </c>
      <c r="O159" s="5" t="s">
        <v>39</v>
      </c>
      <c r="P159" t="s">
        <v>108</v>
      </c>
      <c r="Q159" t="s">
        <v>465</v>
      </c>
      <c r="R159" t="s">
        <v>37</v>
      </c>
      <c r="S159" t="s">
        <v>466</v>
      </c>
      <c r="T159" t="s">
        <v>43</v>
      </c>
      <c r="U159" t="s">
        <v>44</v>
      </c>
      <c r="V159">
        <v>147</v>
      </c>
      <c r="W159" t="s">
        <v>45</v>
      </c>
      <c r="X159" t="s">
        <v>53</v>
      </c>
      <c r="Y159" t="s">
        <v>467</v>
      </c>
      <c r="Z159" t="s">
        <v>37</v>
      </c>
      <c r="AA159" t="s">
        <v>61</v>
      </c>
      <c r="AB159" t="s">
        <v>37</v>
      </c>
      <c r="AC159" s="6" t="s">
        <v>37</v>
      </c>
      <c r="AD159" s="6" t="s">
        <v>37</v>
      </c>
      <c r="AE159" t="s">
        <v>37</v>
      </c>
      <c r="AF159" t="s">
        <v>37</v>
      </c>
      <c r="AG159" s="6" t="s">
        <v>37</v>
      </c>
      <c r="AH159" t="s">
        <v>37</v>
      </c>
      <c r="AI159" t="s">
        <v>37</v>
      </c>
      <c r="AJ159" t="str">
        <f t="shared" si="8"/>
        <v>5HGHPU5OB003STDR1E</v>
      </c>
    </row>
    <row r="160" spans="1:36" ht="15" customHeight="1" x14ac:dyDescent="0.25">
      <c r="A160" t="s">
        <v>372</v>
      </c>
      <c r="B160" t="s">
        <v>37</v>
      </c>
      <c r="C160" t="s">
        <v>37</v>
      </c>
      <c r="D160" t="s">
        <v>38</v>
      </c>
      <c r="E160" s="4">
        <v>10</v>
      </c>
      <c r="F160" s="5">
        <v>761.3</v>
      </c>
      <c r="G160" s="5" t="s">
        <v>39</v>
      </c>
      <c r="H160" s="5">
        <v>1106.5</v>
      </c>
      <c r="I160" s="5" t="s">
        <v>39</v>
      </c>
      <c r="J160" s="5">
        <v>25.8842</v>
      </c>
      <c r="K160" s="5">
        <f t="shared" si="6"/>
        <v>2.5884200000000002</v>
      </c>
      <c r="L160" s="5">
        <f t="shared" si="7"/>
        <v>76.13</v>
      </c>
      <c r="M160" s="5" t="s">
        <v>39</v>
      </c>
      <c r="N160" s="5">
        <v>25.8842</v>
      </c>
      <c r="O160" s="5" t="s">
        <v>39</v>
      </c>
      <c r="P160" t="s">
        <v>468</v>
      </c>
      <c r="Q160" t="s">
        <v>469</v>
      </c>
      <c r="R160" t="s">
        <v>37</v>
      </c>
      <c r="S160" t="s">
        <v>470</v>
      </c>
      <c r="T160" t="s">
        <v>43</v>
      </c>
      <c r="U160" t="s">
        <v>44</v>
      </c>
      <c r="V160">
        <v>147</v>
      </c>
      <c r="W160" t="s">
        <v>45</v>
      </c>
      <c r="X160" t="s">
        <v>248</v>
      </c>
      <c r="Y160" t="s">
        <v>471</v>
      </c>
      <c r="Z160" t="s">
        <v>37</v>
      </c>
      <c r="AA160" t="s">
        <v>145</v>
      </c>
      <c r="AB160" t="s">
        <v>37</v>
      </c>
      <c r="AC160" s="6" t="s">
        <v>37</v>
      </c>
      <c r="AD160" s="6" t="s">
        <v>37</v>
      </c>
      <c r="AE160" t="s">
        <v>37</v>
      </c>
      <c r="AF160" t="s">
        <v>37</v>
      </c>
      <c r="AG160" s="6" t="s">
        <v>37</v>
      </c>
      <c r="AH160" t="s">
        <v>37</v>
      </c>
      <c r="AI160" t="s">
        <v>37</v>
      </c>
      <c r="AJ160" t="str">
        <f t="shared" si="8"/>
        <v>3ED4D7ZNB0100055LI</v>
      </c>
    </row>
    <row r="161" spans="1:36" ht="15" customHeight="1" x14ac:dyDescent="0.25">
      <c r="A161" t="s">
        <v>472</v>
      </c>
      <c r="B161" t="s">
        <v>37</v>
      </c>
      <c r="C161" t="s">
        <v>37</v>
      </c>
      <c r="D161" t="s">
        <v>38</v>
      </c>
      <c r="E161" s="4">
        <v>0</v>
      </c>
      <c r="F161" s="5">
        <v>0</v>
      </c>
      <c r="G161" s="5" t="s">
        <v>39</v>
      </c>
      <c r="H161" s="5">
        <v>0</v>
      </c>
      <c r="I161" s="5" t="s">
        <v>39</v>
      </c>
      <c r="J161" s="5">
        <v>0</v>
      </c>
      <c r="K161" s="5" t="e">
        <f t="shared" si="6"/>
        <v>#DIV/0!</v>
      </c>
      <c r="L161" s="5" t="e">
        <f t="shared" si="7"/>
        <v>#DIV/0!</v>
      </c>
      <c r="M161" s="5" t="s">
        <v>39</v>
      </c>
      <c r="N161" s="5">
        <v>0</v>
      </c>
      <c r="O161" s="5" t="s">
        <v>39</v>
      </c>
      <c r="P161" t="s">
        <v>473</v>
      </c>
      <c r="Q161" t="s">
        <v>474</v>
      </c>
      <c r="R161" t="s">
        <v>37</v>
      </c>
      <c r="S161" t="s">
        <v>475</v>
      </c>
      <c r="T161" t="s">
        <v>43</v>
      </c>
      <c r="U161" t="s">
        <v>44</v>
      </c>
      <c r="V161">
        <v>147</v>
      </c>
      <c r="W161" t="s">
        <v>45</v>
      </c>
      <c r="X161" t="s">
        <v>53</v>
      </c>
      <c r="Y161" t="s">
        <v>476</v>
      </c>
      <c r="Z161" t="s">
        <v>37</v>
      </c>
      <c r="AA161" t="s">
        <v>48</v>
      </c>
      <c r="AB161" t="s">
        <v>37</v>
      </c>
      <c r="AC161" s="6" t="s">
        <v>37</v>
      </c>
      <c r="AD161" s="6" t="s">
        <v>37</v>
      </c>
      <c r="AE161" t="s">
        <v>37</v>
      </c>
      <c r="AF161" t="s">
        <v>37</v>
      </c>
      <c r="AG161" s="6" t="s">
        <v>37</v>
      </c>
      <c r="AH161" t="s">
        <v>37</v>
      </c>
      <c r="AI161" t="s">
        <v>37</v>
      </c>
      <c r="AJ161" t="str">
        <f t="shared" si="8"/>
        <v>6NU6YJHWB01A9GXEOI</v>
      </c>
    </row>
    <row r="162" spans="1:36" ht="15" customHeight="1" x14ac:dyDescent="0.25">
      <c r="A162" t="s">
        <v>36</v>
      </c>
      <c r="B162" t="s">
        <v>37</v>
      </c>
      <c r="C162" t="s">
        <v>37</v>
      </c>
      <c r="D162" t="s">
        <v>38</v>
      </c>
      <c r="E162" s="4">
        <v>8</v>
      </c>
      <c r="F162" s="5">
        <v>422.08</v>
      </c>
      <c r="G162" s="5" t="s">
        <v>39</v>
      </c>
      <c r="H162" s="5">
        <v>422.08</v>
      </c>
      <c r="I162" s="5" t="s">
        <v>39</v>
      </c>
      <c r="J162" s="5">
        <v>14.350720000000001</v>
      </c>
      <c r="K162" s="5">
        <f t="shared" si="6"/>
        <v>1.7938400000000001</v>
      </c>
      <c r="L162" s="5">
        <f t="shared" si="7"/>
        <v>52.76</v>
      </c>
      <c r="M162" s="5" t="s">
        <v>39</v>
      </c>
      <c r="N162" s="5">
        <v>14.350720000000001</v>
      </c>
      <c r="O162" s="5" t="s">
        <v>39</v>
      </c>
      <c r="P162" t="s">
        <v>167</v>
      </c>
      <c r="Q162" t="s">
        <v>477</v>
      </c>
      <c r="R162" t="s">
        <v>37</v>
      </c>
      <c r="S162" t="s">
        <v>478</v>
      </c>
      <c r="T162" t="s">
        <v>479</v>
      </c>
      <c r="U162" t="s">
        <v>44</v>
      </c>
      <c r="V162">
        <v>107</v>
      </c>
      <c r="W162" t="s">
        <v>45</v>
      </c>
      <c r="X162" t="s">
        <v>46</v>
      </c>
      <c r="Y162" t="s">
        <v>480</v>
      </c>
      <c r="Z162" t="s">
        <v>37</v>
      </c>
      <c r="AA162" t="s">
        <v>48</v>
      </c>
      <c r="AB162" t="s">
        <v>37</v>
      </c>
      <c r="AC162" s="6" t="s">
        <v>37</v>
      </c>
      <c r="AD162" s="6" t="s">
        <v>37</v>
      </c>
      <c r="AE162" t="s">
        <v>37</v>
      </c>
      <c r="AF162" t="s">
        <v>37</v>
      </c>
      <c r="AG162" s="6" t="s">
        <v>37</v>
      </c>
      <c r="AH162" t="s">
        <v>37</v>
      </c>
      <c r="AI162" t="s">
        <v>37</v>
      </c>
      <c r="AJ162" t="str">
        <f t="shared" si="8"/>
        <v>4FFLHW5MB06XPXRN4K</v>
      </c>
    </row>
    <row r="163" spans="1:36" ht="15" customHeight="1" x14ac:dyDescent="0.25">
      <c r="A163" t="s">
        <v>67</v>
      </c>
      <c r="B163" t="s">
        <v>37</v>
      </c>
      <c r="C163" t="s">
        <v>37</v>
      </c>
      <c r="D163" t="s">
        <v>38</v>
      </c>
      <c r="E163" s="4">
        <v>60</v>
      </c>
      <c r="F163" s="5">
        <v>1230</v>
      </c>
      <c r="G163" s="5" t="s">
        <v>39</v>
      </c>
      <c r="H163" s="5">
        <v>1515.6</v>
      </c>
      <c r="I163" s="5" t="s">
        <v>39</v>
      </c>
      <c r="J163" s="5">
        <v>41.82</v>
      </c>
      <c r="K163" s="5">
        <f t="shared" si="6"/>
        <v>0.69699999999999995</v>
      </c>
      <c r="L163" s="5">
        <f t="shared" si="7"/>
        <v>20.5</v>
      </c>
      <c r="M163" s="5" t="s">
        <v>39</v>
      </c>
      <c r="N163" s="5">
        <v>41.82</v>
      </c>
      <c r="O163" s="5" t="s">
        <v>39</v>
      </c>
      <c r="P163" t="s">
        <v>108</v>
      </c>
      <c r="Q163" t="s">
        <v>481</v>
      </c>
      <c r="R163" t="s">
        <v>37</v>
      </c>
      <c r="S163" t="s">
        <v>482</v>
      </c>
      <c r="T163" t="s">
        <v>43</v>
      </c>
      <c r="U163" t="s">
        <v>44</v>
      </c>
      <c r="V163">
        <v>23</v>
      </c>
      <c r="W163" t="s">
        <v>95</v>
      </c>
      <c r="X163" t="s">
        <v>96</v>
      </c>
      <c r="Y163" t="s">
        <v>483</v>
      </c>
      <c r="Z163" t="s">
        <v>37</v>
      </c>
      <c r="AA163" t="s">
        <v>48</v>
      </c>
      <c r="AB163" t="s">
        <v>37</v>
      </c>
      <c r="AC163" s="6" t="s">
        <v>37</v>
      </c>
      <c r="AD163" s="6" t="s">
        <v>37</v>
      </c>
      <c r="AE163" t="s">
        <v>37</v>
      </c>
      <c r="AF163" t="s">
        <v>37</v>
      </c>
      <c r="AG163" s="6" t="s">
        <v>37</v>
      </c>
      <c r="AH163" t="s">
        <v>37</v>
      </c>
      <c r="AI163" t="s">
        <v>37</v>
      </c>
      <c r="AJ163" t="str">
        <f t="shared" si="8"/>
        <v>5HGHPU5OB008S1IOCY</v>
      </c>
    </row>
    <row r="164" spans="1:36" ht="15" customHeight="1" x14ac:dyDescent="0.25">
      <c r="A164" t="s">
        <v>36</v>
      </c>
      <c r="B164" t="s">
        <v>37</v>
      </c>
      <c r="C164" t="s">
        <v>37</v>
      </c>
      <c r="D164" t="s">
        <v>38</v>
      </c>
      <c r="E164" s="4">
        <v>8</v>
      </c>
      <c r="F164" s="5">
        <v>422.08</v>
      </c>
      <c r="G164" s="5" t="s">
        <v>39</v>
      </c>
      <c r="H164" s="5">
        <v>681.92</v>
      </c>
      <c r="I164" s="5" t="s">
        <v>39</v>
      </c>
      <c r="J164" s="5">
        <v>14.350720000000001</v>
      </c>
      <c r="K164" s="5">
        <f t="shared" si="6"/>
        <v>1.7938400000000001</v>
      </c>
      <c r="L164" s="5">
        <f t="shared" si="7"/>
        <v>52.76</v>
      </c>
      <c r="M164" s="5" t="s">
        <v>39</v>
      </c>
      <c r="N164" s="5">
        <v>14.350720000000001</v>
      </c>
      <c r="O164" s="5" t="s">
        <v>39</v>
      </c>
      <c r="P164" t="s">
        <v>89</v>
      </c>
      <c r="Q164" t="s">
        <v>183</v>
      </c>
      <c r="R164" t="s">
        <v>37</v>
      </c>
      <c r="S164" t="s">
        <v>184</v>
      </c>
      <c r="T164" t="s">
        <v>43</v>
      </c>
      <c r="U164" t="s">
        <v>44</v>
      </c>
      <c r="V164">
        <v>147</v>
      </c>
      <c r="W164" t="s">
        <v>45</v>
      </c>
      <c r="X164" t="s">
        <v>177</v>
      </c>
      <c r="Y164" t="s">
        <v>185</v>
      </c>
      <c r="Z164" t="s">
        <v>37</v>
      </c>
      <c r="AA164" t="s">
        <v>61</v>
      </c>
      <c r="AB164" t="s">
        <v>37</v>
      </c>
      <c r="AC164" s="6" t="s">
        <v>37</v>
      </c>
      <c r="AD164" s="6" t="s">
        <v>37</v>
      </c>
      <c r="AE164" t="s">
        <v>37</v>
      </c>
      <c r="AF164" t="s">
        <v>37</v>
      </c>
      <c r="AG164" s="6" t="s">
        <v>37</v>
      </c>
      <c r="AH164" t="s">
        <v>37</v>
      </c>
      <c r="AI164" t="s">
        <v>37</v>
      </c>
      <c r="AJ164" t="str">
        <f t="shared" si="8"/>
        <v>6D1HFTMSB07TQ6G276</v>
      </c>
    </row>
    <row r="165" spans="1:36" ht="15" customHeight="1" x14ac:dyDescent="0.25">
      <c r="A165" t="s">
        <v>133</v>
      </c>
      <c r="B165" t="s">
        <v>37</v>
      </c>
      <c r="C165" t="s">
        <v>37</v>
      </c>
      <c r="D165" t="s">
        <v>38</v>
      </c>
      <c r="E165" s="4">
        <v>1520</v>
      </c>
      <c r="F165" s="5">
        <v>7995.2</v>
      </c>
      <c r="G165" s="5" t="s">
        <v>39</v>
      </c>
      <c r="H165" s="5">
        <v>11202.4</v>
      </c>
      <c r="I165" s="5" t="s">
        <v>39</v>
      </c>
      <c r="J165" s="5">
        <v>271.83679999999998</v>
      </c>
      <c r="K165" s="5">
        <f t="shared" si="6"/>
        <v>0.17884</v>
      </c>
      <c r="L165" s="5">
        <f t="shared" si="7"/>
        <v>5.26</v>
      </c>
      <c r="M165" s="5" t="s">
        <v>39</v>
      </c>
      <c r="N165" s="5">
        <v>271.83679999999998</v>
      </c>
      <c r="O165" s="5" t="s">
        <v>39</v>
      </c>
      <c r="P165" t="s">
        <v>484</v>
      </c>
      <c r="Q165" t="s">
        <v>291</v>
      </c>
      <c r="R165" t="s">
        <v>37</v>
      </c>
      <c r="S165" t="s">
        <v>292</v>
      </c>
      <c r="T165" t="s">
        <v>43</v>
      </c>
      <c r="U165" t="s">
        <v>44</v>
      </c>
      <c r="V165">
        <v>147</v>
      </c>
      <c r="W165" t="s">
        <v>45</v>
      </c>
      <c r="X165" t="s">
        <v>53</v>
      </c>
      <c r="Y165" t="s">
        <v>293</v>
      </c>
      <c r="Z165" t="s">
        <v>37</v>
      </c>
      <c r="AA165" t="s">
        <v>61</v>
      </c>
      <c r="AB165" t="s">
        <v>37</v>
      </c>
      <c r="AC165" s="6" t="s">
        <v>37</v>
      </c>
      <c r="AD165" s="6" t="s">
        <v>37</v>
      </c>
      <c r="AE165" t="s">
        <v>37</v>
      </c>
      <c r="AF165" t="s">
        <v>37</v>
      </c>
      <c r="AG165" s="6" t="s">
        <v>37</v>
      </c>
      <c r="AH165" t="s">
        <v>37</v>
      </c>
      <c r="AI165" t="s">
        <v>37</v>
      </c>
      <c r="AJ165" t="str">
        <f t="shared" si="8"/>
        <v>5JTB5LYOB00AZKNPZC</v>
      </c>
    </row>
    <row r="166" spans="1:36" ht="15" customHeight="1" x14ac:dyDescent="0.25">
      <c r="A166" t="s">
        <v>127</v>
      </c>
      <c r="B166" t="s">
        <v>37</v>
      </c>
      <c r="C166" t="s">
        <v>37</v>
      </c>
      <c r="D166" t="s">
        <v>38</v>
      </c>
      <c r="E166" s="4">
        <v>2</v>
      </c>
      <c r="F166" s="5">
        <v>167.78</v>
      </c>
      <c r="G166" s="5" t="s">
        <v>39</v>
      </c>
      <c r="H166" s="5">
        <v>270.48</v>
      </c>
      <c r="I166" s="5" t="s">
        <v>39</v>
      </c>
      <c r="J166" s="5">
        <v>5.7045199999999996</v>
      </c>
      <c r="K166" s="5">
        <f t="shared" si="6"/>
        <v>2.8522599999999998</v>
      </c>
      <c r="L166" s="5">
        <f t="shared" si="7"/>
        <v>83.89</v>
      </c>
      <c r="M166" s="5" t="s">
        <v>39</v>
      </c>
      <c r="N166" s="5">
        <v>5.7045199999999996</v>
      </c>
      <c r="O166" s="5" t="s">
        <v>39</v>
      </c>
      <c r="P166" t="s">
        <v>138</v>
      </c>
      <c r="Q166" t="s">
        <v>485</v>
      </c>
      <c r="R166" t="s">
        <v>37</v>
      </c>
      <c r="S166" t="s">
        <v>486</v>
      </c>
      <c r="T166" t="s">
        <v>43</v>
      </c>
      <c r="U166" t="s">
        <v>44</v>
      </c>
      <c r="V166">
        <v>147</v>
      </c>
      <c r="W166" t="s">
        <v>45</v>
      </c>
      <c r="X166" t="s">
        <v>46</v>
      </c>
      <c r="Y166" t="s">
        <v>487</v>
      </c>
      <c r="Z166" t="s">
        <v>37</v>
      </c>
      <c r="AA166" t="s">
        <v>48</v>
      </c>
      <c r="AB166" t="s">
        <v>37</v>
      </c>
      <c r="AC166" s="6" t="s">
        <v>37</v>
      </c>
      <c r="AD166" s="6" t="s">
        <v>37</v>
      </c>
      <c r="AE166" t="s">
        <v>37</v>
      </c>
      <c r="AF166" t="s">
        <v>37</v>
      </c>
      <c r="AG166" s="6" t="s">
        <v>37</v>
      </c>
      <c r="AH166" t="s">
        <v>37</v>
      </c>
      <c r="AI166" t="s">
        <v>37</v>
      </c>
      <c r="AJ166" t="str">
        <f t="shared" si="8"/>
        <v>1S3VNUKAB01MCXJWD1</v>
      </c>
    </row>
    <row r="167" spans="1:36" ht="15" customHeight="1" x14ac:dyDescent="0.25">
      <c r="A167" t="s">
        <v>36</v>
      </c>
      <c r="B167" t="s">
        <v>37</v>
      </c>
      <c r="C167" t="s">
        <v>37</v>
      </c>
      <c r="D167" t="s">
        <v>38</v>
      </c>
      <c r="E167" s="4">
        <v>10</v>
      </c>
      <c r="F167" s="5">
        <v>234.2</v>
      </c>
      <c r="G167" s="5" t="s">
        <v>39</v>
      </c>
      <c r="H167" s="5">
        <v>286.8</v>
      </c>
      <c r="I167" s="5" t="s">
        <v>39</v>
      </c>
      <c r="J167" s="5">
        <v>7.9627999999999997</v>
      </c>
      <c r="K167" s="5">
        <f t="shared" si="6"/>
        <v>0.79627999999999999</v>
      </c>
      <c r="L167" s="5">
        <f t="shared" si="7"/>
        <v>23.419999999999998</v>
      </c>
      <c r="M167" s="5" t="s">
        <v>39</v>
      </c>
      <c r="N167" s="5">
        <v>7.9627999999999997</v>
      </c>
      <c r="O167" s="5" t="s">
        <v>39</v>
      </c>
      <c r="P167" t="s">
        <v>212</v>
      </c>
      <c r="Q167" t="s">
        <v>324</v>
      </c>
      <c r="R167" t="s">
        <v>37</v>
      </c>
      <c r="S167" t="s">
        <v>325</v>
      </c>
      <c r="T167" t="s">
        <v>43</v>
      </c>
      <c r="U167" t="s">
        <v>44</v>
      </c>
      <c r="V167">
        <v>147</v>
      </c>
      <c r="W167" t="s">
        <v>45</v>
      </c>
      <c r="X167" t="s">
        <v>53</v>
      </c>
      <c r="Y167" t="s">
        <v>326</v>
      </c>
      <c r="Z167" t="s">
        <v>37</v>
      </c>
      <c r="AA167" t="s">
        <v>61</v>
      </c>
      <c r="AB167" t="s">
        <v>37</v>
      </c>
      <c r="AC167" s="6" t="s">
        <v>37</v>
      </c>
      <c r="AD167" s="6" t="s">
        <v>37</v>
      </c>
      <c r="AE167" t="s">
        <v>37</v>
      </c>
      <c r="AF167" t="s">
        <v>37</v>
      </c>
      <c r="AG167" s="6" t="s">
        <v>37</v>
      </c>
      <c r="AH167" t="s">
        <v>37</v>
      </c>
      <c r="AI167" t="s">
        <v>37</v>
      </c>
      <c r="AJ167" t="str">
        <f t="shared" si="8"/>
        <v>4AY3K18CB004VPLVI0</v>
      </c>
    </row>
    <row r="168" spans="1:36" ht="15" customHeight="1" x14ac:dyDescent="0.25">
      <c r="A168" t="s">
        <v>127</v>
      </c>
      <c r="B168" t="s">
        <v>37</v>
      </c>
      <c r="C168" t="s">
        <v>37</v>
      </c>
      <c r="D168" t="s">
        <v>38</v>
      </c>
      <c r="E168" s="4">
        <v>40</v>
      </c>
      <c r="F168" s="5">
        <v>328</v>
      </c>
      <c r="G168" s="5" t="s">
        <v>39</v>
      </c>
      <c r="H168" s="5">
        <v>475.2</v>
      </c>
      <c r="I168" s="5" t="s">
        <v>39</v>
      </c>
      <c r="J168" s="5">
        <v>11.151999999999999</v>
      </c>
      <c r="K168" s="5">
        <f t="shared" si="6"/>
        <v>0.27879999999999999</v>
      </c>
      <c r="L168" s="5">
        <f t="shared" si="7"/>
        <v>8.1999999999999993</v>
      </c>
      <c r="M168" s="5" t="s">
        <v>39</v>
      </c>
      <c r="N168" s="5">
        <v>11.151999999999999</v>
      </c>
      <c r="O168" s="5" t="s">
        <v>39</v>
      </c>
      <c r="P168" t="s">
        <v>128</v>
      </c>
      <c r="Q168" t="s">
        <v>488</v>
      </c>
      <c r="R168" t="s">
        <v>37</v>
      </c>
      <c r="S168" t="s">
        <v>489</v>
      </c>
      <c r="T168" t="s">
        <v>43</v>
      </c>
      <c r="U168" t="s">
        <v>44</v>
      </c>
      <c r="V168">
        <v>147</v>
      </c>
      <c r="W168" t="s">
        <v>45</v>
      </c>
      <c r="X168" t="s">
        <v>75</v>
      </c>
      <c r="Y168" t="s">
        <v>490</v>
      </c>
      <c r="Z168" t="s">
        <v>37</v>
      </c>
      <c r="AA168" t="s">
        <v>61</v>
      </c>
      <c r="AB168" t="s">
        <v>37</v>
      </c>
      <c r="AC168" s="6" t="s">
        <v>37</v>
      </c>
      <c r="AD168" s="6" t="s">
        <v>37</v>
      </c>
      <c r="AE168" t="s">
        <v>37</v>
      </c>
      <c r="AF168" t="s">
        <v>37</v>
      </c>
      <c r="AG168" s="6" t="s">
        <v>37</v>
      </c>
      <c r="AH168" t="s">
        <v>37</v>
      </c>
      <c r="AI168" t="s">
        <v>37</v>
      </c>
      <c r="AJ168" t="str">
        <f t="shared" si="8"/>
        <v>5DN5PI5YB00BT8QIJ4</v>
      </c>
    </row>
    <row r="169" spans="1:36" ht="15" customHeight="1" x14ac:dyDescent="0.25">
      <c r="A169" t="s">
        <v>49</v>
      </c>
      <c r="B169" t="s">
        <v>37</v>
      </c>
      <c r="C169" t="s">
        <v>37</v>
      </c>
      <c r="D169" t="s">
        <v>38</v>
      </c>
      <c r="E169" s="4">
        <v>0</v>
      </c>
      <c r="F169" s="5">
        <v>0</v>
      </c>
      <c r="G169" s="5" t="s">
        <v>39</v>
      </c>
      <c r="H169" s="5">
        <v>0</v>
      </c>
      <c r="I169" s="5" t="s">
        <v>39</v>
      </c>
      <c r="J169" s="5">
        <v>0</v>
      </c>
      <c r="K169" s="5" t="e">
        <f t="shared" si="6"/>
        <v>#DIV/0!</v>
      </c>
      <c r="L169" s="5" t="e">
        <f t="shared" si="7"/>
        <v>#DIV/0!</v>
      </c>
      <c r="M169" s="5" t="s">
        <v>39</v>
      </c>
      <c r="N169" s="5">
        <v>0</v>
      </c>
      <c r="O169" s="5" t="s">
        <v>39</v>
      </c>
      <c r="P169" t="s">
        <v>491</v>
      </c>
      <c r="Q169" t="s">
        <v>492</v>
      </c>
      <c r="R169" t="s">
        <v>37</v>
      </c>
      <c r="S169" t="s">
        <v>493</v>
      </c>
      <c r="T169" t="s">
        <v>43</v>
      </c>
      <c r="U169" t="s">
        <v>44</v>
      </c>
      <c r="V169">
        <v>147</v>
      </c>
      <c r="W169" t="s">
        <v>45</v>
      </c>
      <c r="X169" t="s">
        <v>75</v>
      </c>
      <c r="Y169" t="s">
        <v>494</v>
      </c>
      <c r="Z169" t="s">
        <v>37</v>
      </c>
      <c r="AA169" t="s">
        <v>61</v>
      </c>
      <c r="AB169" t="s">
        <v>37</v>
      </c>
      <c r="AC169" s="6" t="s">
        <v>37</v>
      </c>
      <c r="AD169" s="6" t="s">
        <v>37</v>
      </c>
      <c r="AE169" t="s">
        <v>37</v>
      </c>
      <c r="AF169" t="s">
        <v>37</v>
      </c>
      <c r="AG169" s="6" t="s">
        <v>37</v>
      </c>
      <c r="AH169" t="s">
        <v>37</v>
      </c>
      <c r="AI169" t="s">
        <v>37</v>
      </c>
      <c r="AJ169" t="str">
        <f t="shared" si="8"/>
        <v>2BH1M1WRB010EPT2X6</v>
      </c>
    </row>
    <row r="170" spans="1:36" ht="15" customHeight="1" x14ac:dyDescent="0.25">
      <c r="A170" t="s">
        <v>67</v>
      </c>
      <c r="B170" t="s">
        <v>37</v>
      </c>
      <c r="C170" t="s">
        <v>37</v>
      </c>
      <c r="D170" t="s">
        <v>38</v>
      </c>
      <c r="E170" s="4">
        <v>18</v>
      </c>
      <c r="F170" s="5">
        <v>2077.92</v>
      </c>
      <c r="G170" s="5" t="s">
        <v>39</v>
      </c>
      <c r="H170" s="5">
        <v>2640.96</v>
      </c>
      <c r="I170" s="5" t="s">
        <v>39</v>
      </c>
      <c r="J170" s="5">
        <v>70.649280000000005</v>
      </c>
      <c r="K170" s="5">
        <f t="shared" si="6"/>
        <v>3.9249600000000004</v>
      </c>
      <c r="L170" s="5">
        <f t="shared" si="7"/>
        <v>115.44</v>
      </c>
      <c r="M170" s="5" t="s">
        <v>39</v>
      </c>
      <c r="N170" s="5">
        <v>70.649280000000005</v>
      </c>
      <c r="O170" s="5" t="s">
        <v>39</v>
      </c>
      <c r="P170" t="s">
        <v>245</v>
      </c>
      <c r="Q170" t="s">
        <v>439</v>
      </c>
      <c r="R170" t="s">
        <v>37</v>
      </c>
      <c r="S170" t="s">
        <v>440</v>
      </c>
      <c r="T170" t="s">
        <v>43</v>
      </c>
      <c r="U170" t="s">
        <v>44</v>
      </c>
      <c r="V170">
        <v>147</v>
      </c>
      <c r="W170" t="s">
        <v>45</v>
      </c>
      <c r="X170" t="s">
        <v>248</v>
      </c>
      <c r="Y170" t="s">
        <v>441</v>
      </c>
      <c r="Z170" t="s">
        <v>37</v>
      </c>
      <c r="AA170" t="s">
        <v>145</v>
      </c>
      <c r="AB170" t="s">
        <v>37</v>
      </c>
      <c r="AC170" s="6" t="s">
        <v>37</v>
      </c>
      <c r="AD170" s="6" t="s">
        <v>37</v>
      </c>
      <c r="AE170" t="s">
        <v>37</v>
      </c>
      <c r="AF170" t="s">
        <v>37</v>
      </c>
      <c r="AG170" s="6" t="s">
        <v>37</v>
      </c>
      <c r="AH170" t="s">
        <v>37</v>
      </c>
      <c r="AI170" t="s">
        <v>37</v>
      </c>
      <c r="AJ170" t="str">
        <f t="shared" si="8"/>
        <v>6ZGQP34KB003UPJXIC</v>
      </c>
    </row>
    <row r="171" spans="1:36" ht="15" customHeight="1" x14ac:dyDescent="0.25">
      <c r="A171" t="s">
        <v>127</v>
      </c>
      <c r="B171" t="s">
        <v>37</v>
      </c>
      <c r="C171" t="s">
        <v>37</v>
      </c>
      <c r="D171" t="s">
        <v>38</v>
      </c>
      <c r="E171" s="4">
        <v>10</v>
      </c>
      <c r="F171" s="5">
        <v>146.4</v>
      </c>
      <c r="G171" s="5" t="s">
        <v>39</v>
      </c>
      <c r="H171" s="5">
        <v>213</v>
      </c>
      <c r="I171" s="5" t="s">
        <v>39</v>
      </c>
      <c r="J171" s="5">
        <v>4.9775999999999998</v>
      </c>
      <c r="K171" s="5">
        <f t="shared" si="6"/>
        <v>0.49775999999999998</v>
      </c>
      <c r="L171" s="5">
        <f t="shared" si="7"/>
        <v>14.64</v>
      </c>
      <c r="M171" s="5" t="s">
        <v>39</v>
      </c>
      <c r="N171" s="5">
        <v>4.9775999999999998</v>
      </c>
      <c r="O171" s="5" t="s">
        <v>39</v>
      </c>
      <c r="P171" t="s">
        <v>128</v>
      </c>
      <c r="Q171" t="s">
        <v>495</v>
      </c>
      <c r="R171" t="s">
        <v>37</v>
      </c>
      <c r="S171" t="s">
        <v>496</v>
      </c>
      <c r="T171" t="s">
        <v>43</v>
      </c>
      <c r="U171" t="s">
        <v>44</v>
      </c>
      <c r="V171">
        <v>147</v>
      </c>
      <c r="W171" t="s">
        <v>45</v>
      </c>
      <c r="X171" t="s">
        <v>75</v>
      </c>
      <c r="Y171" t="s">
        <v>497</v>
      </c>
      <c r="Z171" t="s">
        <v>37</v>
      </c>
      <c r="AA171" t="s">
        <v>61</v>
      </c>
      <c r="AB171" t="s">
        <v>37</v>
      </c>
      <c r="AC171" s="6" t="s">
        <v>37</v>
      </c>
      <c r="AD171" s="6" t="s">
        <v>37</v>
      </c>
      <c r="AE171" t="s">
        <v>37</v>
      </c>
      <c r="AF171" t="s">
        <v>37</v>
      </c>
      <c r="AG171" s="6" t="s">
        <v>37</v>
      </c>
      <c r="AH171" t="s">
        <v>37</v>
      </c>
      <c r="AI171" t="s">
        <v>37</v>
      </c>
      <c r="AJ171" t="str">
        <f t="shared" si="8"/>
        <v>5DN5PI5YB007C0YQLA</v>
      </c>
    </row>
    <row r="172" spans="1:36" ht="15" customHeight="1" x14ac:dyDescent="0.25">
      <c r="A172" t="s">
        <v>36</v>
      </c>
      <c r="B172" t="s">
        <v>37</v>
      </c>
      <c r="C172" t="s">
        <v>37</v>
      </c>
      <c r="D172" t="s">
        <v>38</v>
      </c>
      <c r="E172" s="4">
        <v>4</v>
      </c>
      <c r="F172" s="5">
        <v>168.8</v>
      </c>
      <c r="G172" s="5" t="s">
        <v>39</v>
      </c>
      <c r="H172" s="5">
        <v>268.8</v>
      </c>
      <c r="I172" s="5" t="s">
        <v>39</v>
      </c>
      <c r="J172" s="5">
        <v>5.7392000000000003</v>
      </c>
      <c r="K172" s="5">
        <f t="shared" si="6"/>
        <v>1.4348000000000001</v>
      </c>
      <c r="L172" s="5">
        <f t="shared" si="7"/>
        <v>42.2</v>
      </c>
      <c r="M172" s="5" t="s">
        <v>39</v>
      </c>
      <c r="N172" s="5">
        <v>5.7392000000000003</v>
      </c>
      <c r="O172" s="5" t="s">
        <v>39</v>
      </c>
      <c r="P172" t="s">
        <v>167</v>
      </c>
      <c r="Q172" t="s">
        <v>498</v>
      </c>
      <c r="R172" t="s">
        <v>37</v>
      </c>
      <c r="S172" t="s">
        <v>499</v>
      </c>
      <c r="T172" t="s">
        <v>43</v>
      </c>
      <c r="U172" t="s">
        <v>44</v>
      </c>
      <c r="V172">
        <v>147</v>
      </c>
      <c r="W172" t="s">
        <v>45</v>
      </c>
      <c r="X172" t="s">
        <v>75</v>
      </c>
      <c r="Y172" t="s">
        <v>500</v>
      </c>
      <c r="Z172" t="s">
        <v>37</v>
      </c>
      <c r="AA172" t="s">
        <v>61</v>
      </c>
      <c r="AB172" t="s">
        <v>37</v>
      </c>
      <c r="AC172" s="6" t="s">
        <v>37</v>
      </c>
      <c r="AD172" s="6" t="s">
        <v>37</v>
      </c>
      <c r="AE172" t="s">
        <v>37</v>
      </c>
      <c r="AF172" t="s">
        <v>37</v>
      </c>
      <c r="AG172" s="6" t="s">
        <v>37</v>
      </c>
      <c r="AH172" t="s">
        <v>37</v>
      </c>
      <c r="AI172" t="s">
        <v>37</v>
      </c>
      <c r="AJ172" t="str">
        <f t="shared" si="8"/>
        <v>4FFLHW5MB07W6GVS5C</v>
      </c>
    </row>
    <row r="173" spans="1:36" ht="15" customHeight="1" x14ac:dyDescent="0.25">
      <c r="A173" t="s">
        <v>67</v>
      </c>
      <c r="B173" t="s">
        <v>37</v>
      </c>
      <c r="C173" t="s">
        <v>37</v>
      </c>
      <c r="D173" t="s">
        <v>38</v>
      </c>
      <c r="E173" s="4">
        <v>10</v>
      </c>
      <c r="F173" s="5">
        <v>205</v>
      </c>
      <c r="G173" s="5" t="s">
        <v>39</v>
      </c>
      <c r="H173" s="5">
        <v>245.8</v>
      </c>
      <c r="I173" s="5" t="s">
        <v>39</v>
      </c>
      <c r="J173" s="5">
        <v>6.97</v>
      </c>
      <c r="K173" s="5">
        <f t="shared" si="6"/>
        <v>0.69699999999999995</v>
      </c>
      <c r="L173" s="5">
        <f t="shared" si="7"/>
        <v>20.5</v>
      </c>
      <c r="M173" s="5" t="s">
        <v>39</v>
      </c>
      <c r="N173" s="5">
        <v>6.97</v>
      </c>
      <c r="O173" s="5" t="s">
        <v>39</v>
      </c>
      <c r="P173" t="s">
        <v>108</v>
      </c>
      <c r="Q173" t="s">
        <v>501</v>
      </c>
      <c r="R173" t="s">
        <v>37</v>
      </c>
      <c r="S173" t="s">
        <v>502</v>
      </c>
      <c r="T173" t="s">
        <v>43</v>
      </c>
      <c r="U173" t="s">
        <v>44</v>
      </c>
      <c r="V173">
        <v>147</v>
      </c>
      <c r="W173" t="s">
        <v>45</v>
      </c>
      <c r="X173" t="s">
        <v>53</v>
      </c>
      <c r="Y173" t="s">
        <v>503</v>
      </c>
      <c r="Z173" t="s">
        <v>37</v>
      </c>
      <c r="AA173" t="s">
        <v>48</v>
      </c>
      <c r="AB173" t="s">
        <v>37</v>
      </c>
      <c r="AC173" s="6" t="s">
        <v>37</v>
      </c>
      <c r="AD173" s="6" t="s">
        <v>37</v>
      </c>
      <c r="AE173" t="s">
        <v>37</v>
      </c>
      <c r="AF173" t="s">
        <v>37</v>
      </c>
      <c r="AG173" s="6" t="s">
        <v>37</v>
      </c>
      <c r="AH173" t="s">
        <v>37</v>
      </c>
      <c r="AI173" t="s">
        <v>37</v>
      </c>
      <c r="AJ173" t="str">
        <f t="shared" si="8"/>
        <v>5HGHPU5OB00MWR5IVA</v>
      </c>
    </row>
    <row r="174" spans="1:36" ht="15" customHeight="1" x14ac:dyDescent="0.25">
      <c r="A174" t="s">
        <v>36</v>
      </c>
      <c r="B174" t="s">
        <v>37</v>
      </c>
      <c r="C174" t="s">
        <v>37</v>
      </c>
      <c r="D174" t="s">
        <v>38</v>
      </c>
      <c r="E174" s="4">
        <v>80</v>
      </c>
      <c r="F174" s="5">
        <v>702.4</v>
      </c>
      <c r="G174" s="5" t="s">
        <v>39</v>
      </c>
      <c r="H174" s="5">
        <v>1048.8</v>
      </c>
      <c r="I174" s="5" t="s">
        <v>39</v>
      </c>
      <c r="J174" s="5">
        <v>23.881599999999999</v>
      </c>
      <c r="K174" s="5">
        <f t="shared" si="6"/>
        <v>0.29852000000000001</v>
      </c>
      <c r="L174" s="5">
        <f t="shared" si="7"/>
        <v>8.7799999999999994</v>
      </c>
      <c r="M174" s="5" t="s">
        <v>39</v>
      </c>
      <c r="N174" s="5">
        <v>23.881599999999999</v>
      </c>
      <c r="O174" s="5" t="s">
        <v>39</v>
      </c>
      <c r="P174" t="s">
        <v>89</v>
      </c>
      <c r="Q174" t="s">
        <v>504</v>
      </c>
      <c r="R174" t="s">
        <v>37</v>
      </c>
      <c r="S174" t="s">
        <v>505</v>
      </c>
      <c r="T174" t="s">
        <v>43</v>
      </c>
      <c r="U174" t="s">
        <v>44</v>
      </c>
      <c r="V174">
        <v>147</v>
      </c>
      <c r="W174" t="s">
        <v>45</v>
      </c>
      <c r="X174" t="s">
        <v>53</v>
      </c>
      <c r="Y174" t="s">
        <v>506</v>
      </c>
      <c r="Z174" t="s">
        <v>37</v>
      </c>
      <c r="AA174" t="s">
        <v>61</v>
      </c>
      <c r="AB174" t="s">
        <v>37</v>
      </c>
      <c r="AC174" s="6" t="s">
        <v>37</v>
      </c>
      <c r="AD174" s="6" t="s">
        <v>37</v>
      </c>
      <c r="AE174" t="s">
        <v>37</v>
      </c>
      <c r="AF174" t="s">
        <v>37</v>
      </c>
      <c r="AG174" s="6" t="s">
        <v>37</v>
      </c>
      <c r="AH174" t="s">
        <v>37</v>
      </c>
      <c r="AI174" t="s">
        <v>37</v>
      </c>
      <c r="AJ174" t="str">
        <f t="shared" si="8"/>
        <v>6D1HFTMSB07W7MY2K8</v>
      </c>
    </row>
    <row r="175" spans="1:36" ht="15" customHeight="1" x14ac:dyDescent="0.25">
      <c r="A175" t="s">
        <v>133</v>
      </c>
      <c r="B175" t="s">
        <v>37</v>
      </c>
      <c r="C175" t="s">
        <v>37</v>
      </c>
      <c r="D175" t="s">
        <v>38</v>
      </c>
      <c r="E175" s="4">
        <v>18</v>
      </c>
      <c r="F175" s="5">
        <v>365.4</v>
      </c>
      <c r="G175" s="5" t="s">
        <v>39</v>
      </c>
      <c r="H175" s="5">
        <v>531</v>
      </c>
      <c r="I175" s="5" t="s">
        <v>39</v>
      </c>
      <c r="J175" s="5">
        <v>12.4236</v>
      </c>
      <c r="K175" s="5">
        <f t="shared" si="6"/>
        <v>0.69020000000000004</v>
      </c>
      <c r="L175" s="5">
        <f t="shared" si="7"/>
        <v>20.299999999999997</v>
      </c>
      <c r="M175" s="5" t="s">
        <v>39</v>
      </c>
      <c r="N175" s="5">
        <v>12.4236</v>
      </c>
      <c r="O175" s="5" t="s">
        <v>39</v>
      </c>
      <c r="P175" t="s">
        <v>219</v>
      </c>
      <c r="Q175" t="s">
        <v>507</v>
      </c>
      <c r="R175" t="s">
        <v>37</v>
      </c>
      <c r="S175" t="s">
        <v>508</v>
      </c>
      <c r="T175" t="s">
        <v>43</v>
      </c>
      <c r="U175" t="s">
        <v>44</v>
      </c>
      <c r="V175">
        <v>147</v>
      </c>
      <c r="W175" t="s">
        <v>45</v>
      </c>
      <c r="X175" t="s">
        <v>75</v>
      </c>
      <c r="Y175" t="s">
        <v>509</v>
      </c>
      <c r="Z175" t="s">
        <v>37</v>
      </c>
      <c r="AA175" t="s">
        <v>61</v>
      </c>
      <c r="AB175" t="s">
        <v>37</v>
      </c>
      <c r="AC175" s="6" t="s">
        <v>37</v>
      </c>
      <c r="AD175" s="6" t="s">
        <v>37</v>
      </c>
      <c r="AE175" t="s">
        <v>37</v>
      </c>
      <c r="AF175" t="s">
        <v>37</v>
      </c>
      <c r="AG175" s="6" t="s">
        <v>37</v>
      </c>
      <c r="AH175" t="s">
        <v>37</v>
      </c>
      <c r="AI175" t="s">
        <v>37</v>
      </c>
      <c r="AJ175" t="str">
        <f t="shared" si="8"/>
        <v>5EPWKXSHB07W7KJC28</v>
      </c>
    </row>
    <row r="176" spans="1:36" ht="15" customHeight="1" x14ac:dyDescent="0.25">
      <c r="A176" t="s">
        <v>133</v>
      </c>
      <c r="B176" t="s">
        <v>37</v>
      </c>
      <c r="C176" t="s">
        <v>37</v>
      </c>
      <c r="D176" t="s">
        <v>38</v>
      </c>
      <c r="E176" s="4">
        <v>64</v>
      </c>
      <c r="F176" s="5">
        <v>1873.92</v>
      </c>
      <c r="G176" s="5" t="s">
        <v>39</v>
      </c>
      <c r="H176" s="5">
        <v>2727.04</v>
      </c>
      <c r="I176" s="5" t="s">
        <v>39</v>
      </c>
      <c r="J176" s="5">
        <v>63.713279999999997</v>
      </c>
      <c r="K176" s="5">
        <f t="shared" si="6"/>
        <v>0.99551999999999996</v>
      </c>
      <c r="L176" s="5">
        <f t="shared" si="7"/>
        <v>29.28</v>
      </c>
      <c r="M176" s="5" t="s">
        <v>39</v>
      </c>
      <c r="N176" s="5">
        <v>63.713279999999997</v>
      </c>
      <c r="O176" s="5" t="s">
        <v>39</v>
      </c>
      <c r="P176" t="s">
        <v>189</v>
      </c>
      <c r="Q176" t="s">
        <v>510</v>
      </c>
      <c r="R176" t="s">
        <v>37</v>
      </c>
      <c r="S176" t="s">
        <v>511</v>
      </c>
      <c r="T176" t="s">
        <v>43</v>
      </c>
      <c r="U176" t="s">
        <v>44</v>
      </c>
      <c r="V176">
        <v>147</v>
      </c>
      <c r="W176" t="s">
        <v>45</v>
      </c>
      <c r="X176" t="s">
        <v>75</v>
      </c>
      <c r="Y176" t="s">
        <v>512</v>
      </c>
      <c r="Z176" t="s">
        <v>37</v>
      </c>
      <c r="AA176" t="s">
        <v>61</v>
      </c>
      <c r="AB176" t="s">
        <v>37</v>
      </c>
      <c r="AC176" s="6" t="s">
        <v>37</v>
      </c>
      <c r="AD176" s="6" t="s">
        <v>37</v>
      </c>
      <c r="AE176" t="s">
        <v>37</v>
      </c>
      <c r="AF176" t="s">
        <v>37</v>
      </c>
      <c r="AG176" s="6" t="s">
        <v>37</v>
      </c>
      <c r="AH176" t="s">
        <v>37</v>
      </c>
      <c r="AI176" t="s">
        <v>37</v>
      </c>
      <c r="AJ176" t="str">
        <f t="shared" si="8"/>
        <v>6DPU2MKPB07W7L3DSX</v>
      </c>
    </row>
    <row r="177" spans="1:36" ht="15" customHeight="1" x14ac:dyDescent="0.25">
      <c r="A177" t="s">
        <v>36</v>
      </c>
      <c r="B177" t="s">
        <v>37</v>
      </c>
      <c r="C177" t="s">
        <v>37</v>
      </c>
      <c r="D177" t="s">
        <v>38</v>
      </c>
      <c r="E177" s="4">
        <v>10</v>
      </c>
      <c r="F177" s="5">
        <v>99.5</v>
      </c>
      <c r="G177" s="5" t="s">
        <v>39</v>
      </c>
      <c r="H177" s="5">
        <v>138.5</v>
      </c>
      <c r="I177" s="5" t="s">
        <v>39</v>
      </c>
      <c r="J177" s="5">
        <v>3.383</v>
      </c>
      <c r="K177" s="5">
        <f t="shared" si="6"/>
        <v>0.33829999999999999</v>
      </c>
      <c r="L177" s="5">
        <f t="shared" si="7"/>
        <v>9.9499999999999993</v>
      </c>
      <c r="M177" s="5" t="s">
        <v>39</v>
      </c>
      <c r="N177" s="5">
        <v>3.383</v>
      </c>
      <c r="O177" s="5" t="s">
        <v>39</v>
      </c>
      <c r="P177" t="s">
        <v>167</v>
      </c>
      <c r="Q177" t="s">
        <v>164</v>
      </c>
      <c r="R177" t="s">
        <v>37</v>
      </c>
      <c r="S177" t="s">
        <v>165</v>
      </c>
      <c r="T177" t="s">
        <v>43</v>
      </c>
      <c r="U177" t="s">
        <v>44</v>
      </c>
      <c r="V177">
        <v>147</v>
      </c>
      <c r="W177" t="s">
        <v>45</v>
      </c>
      <c r="X177" t="s">
        <v>75</v>
      </c>
      <c r="Y177" t="s">
        <v>166</v>
      </c>
      <c r="Z177" t="s">
        <v>37</v>
      </c>
      <c r="AA177" t="s">
        <v>61</v>
      </c>
      <c r="AB177" t="s">
        <v>37</v>
      </c>
      <c r="AC177" s="6" t="s">
        <v>37</v>
      </c>
      <c r="AD177" s="6" t="s">
        <v>37</v>
      </c>
      <c r="AE177" t="s">
        <v>37</v>
      </c>
      <c r="AF177" t="s">
        <v>37</v>
      </c>
      <c r="AG177" s="6" t="s">
        <v>37</v>
      </c>
      <c r="AH177" t="s">
        <v>37</v>
      </c>
      <c r="AI177" t="s">
        <v>37</v>
      </c>
      <c r="AJ177" t="str">
        <f t="shared" si="8"/>
        <v>4FFLHW5MB003V4A5VG</v>
      </c>
    </row>
    <row r="178" spans="1:36" ht="15" customHeight="1" x14ac:dyDescent="0.25">
      <c r="A178" t="s">
        <v>36</v>
      </c>
      <c r="B178" t="s">
        <v>37</v>
      </c>
      <c r="C178" t="s">
        <v>37</v>
      </c>
      <c r="D178" t="s">
        <v>38</v>
      </c>
      <c r="E178" s="4">
        <v>16</v>
      </c>
      <c r="F178" s="5">
        <v>280.95999999999998</v>
      </c>
      <c r="G178" s="5" t="s">
        <v>39</v>
      </c>
      <c r="H178" s="5">
        <v>655.04</v>
      </c>
      <c r="I178" s="5" t="s">
        <v>39</v>
      </c>
      <c r="J178" s="5">
        <v>9.5526400000000002</v>
      </c>
      <c r="K178" s="5">
        <f t="shared" si="6"/>
        <v>0.59704000000000002</v>
      </c>
      <c r="L178" s="5">
        <f t="shared" si="7"/>
        <v>17.559999999999999</v>
      </c>
      <c r="M178" s="5" t="s">
        <v>39</v>
      </c>
      <c r="N178" s="5">
        <v>9.5526400000000002</v>
      </c>
      <c r="O178" s="5" t="s">
        <v>39</v>
      </c>
      <c r="P178" t="s">
        <v>123</v>
      </c>
      <c r="Q178" t="s">
        <v>513</v>
      </c>
      <c r="R178" t="s">
        <v>37</v>
      </c>
      <c r="S178" t="s">
        <v>514</v>
      </c>
      <c r="T178" t="s">
        <v>43</v>
      </c>
      <c r="U178" t="s">
        <v>44</v>
      </c>
      <c r="V178">
        <v>147</v>
      </c>
      <c r="W178" t="s">
        <v>45</v>
      </c>
      <c r="X178" t="s">
        <v>75</v>
      </c>
      <c r="Y178" t="s">
        <v>515</v>
      </c>
      <c r="Z178" t="s">
        <v>37</v>
      </c>
      <c r="AA178" t="s">
        <v>145</v>
      </c>
      <c r="AB178" t="s">
        <v>37</v>
      </c>
      <c r="AC178" s="6" t="s">
        <v>37</v>
      </c>
      <c r="AD178" s="6" t="s">
        <v>37</v>
      </c>
      <c r="AE178" t="s">
        <v>37</v>
      </c>
      <c r="AF178" t="s">
        <v>37</v>
      </c>
      <c r="AG178" s="6" t="s">
        <v>37</v>
      </c>
      <c r="AH178" t="s">
        <v>37</v>
      </c>
      <c r="AI178" t="s">
        <v>37</v>
      </c>
      <c r="AJ178" t="str">
        <f t="shared" si="8"/>
        <v>81V4YVNTB002L3TSLQ</v>
      </c>
    </row>
    <row r="179" spans="1:36" ht="15" customHeight="1" x14ac:dyDescent="0.25">
      <c r="A179" t="s">
        <v>49</v>
      </c>
      <c r="B179" t="s">
        <v>37</v>
      </c>
      <c r="C179" t="s">
        <v>37</v>
      </c>
      <c r="D179" t="s">
        <v>38</v>
      </c>
      <c r="E179" s="4">
        <v>0</v>
      </c>
      <c r="F179" s="5">
        <v>0</v>
      </c>
      <c r="G179" s="5" t="s">
        <v>39</v>
      </c>
      <c r="H179" s="5">
        <v>0</v>
      </c>
      <c r="I179" s="5" t="s">
        <v>39</v>
      </c>
      <c r="J179" s="5">
        <v>0</v>
      </c>
      <c r="K179" s="5" t="e">
        <f t="shared" si="6"/>
        <v>#DIV/0!</v>
      </c>
      <c r="L179" s="5" t="e">
        <f t="shared" si="7"/>
        <v>#DIV/0!</v>
      </c>
      <c r="M179" s="5" t="s">
        <v>39</v>
      </c>
      <c r="N179" s="5">
        <v>0</v>
      </c>
      <c r="O179" s="5" t="s">
        <v>39</v>
      </c>
      <c r="P179" t="s">
        <v>516</v>
      </c>
      <c r="Q179" t="s">
        <v>278</v>
      </c>
      <c r="R179" t="s">
        <v>37</v>
      </c>
      <c r="S179" t="s">
        <v>279</v>
      </c>
      <c r="T179" t="s">
        <v>43</v>
      </c>
      <c r="U179" t="s">
        <v>44</v>
      </c>
      <c r="V179">
        <v>147</v>
      </c>
      <c r="W179" t="s">
        <v>45</v>
      </c>
      <c r="X179" t="s">
        <v>75</v>
      </c>
      <c r="Y179" t="s">
        <v>280</v>
      </c>
      <c r="Z179" t="s">
        <v>37</v>
      </c>
      <c r="AA179" t="s">
        <v>61</v>
      </c>
      <c r="AB179" t="s">
        <v>37</v>
      </c>
      <c r="AC179" s="6" t="s">
        <v>37</v>
      </c>
      <c r="AD179" s="6" t="s">
        <v>37</v>
      </c>
      <c r="AE179" t="s">
        <v>37</v>
      </c>
      <c r="AF179" t="s">
        <v>37</v>
      </c>
      <c r="AG179" s="6" t="s">
        <v>37</v>
      </c>
      <c r="AH179" t="s">
        <v>37</v>
      </c>
      <c r="AI179" t="s">
        <v>37</v>
      </c>
      <c r="AJ179" t="str">
        <f t="shared" si="8"/>
        <v>18TAMU9GB01I252A34</v>
      </c>
    </row>
    <row r="180" spans="1:36" ht="15" customHeight="1" x14ac:dyDescent="0.25">
      <c r="A180" t="s">
        <v>262</v>
      </c>
      <c r="B180" t="s">
        <v>37</v>
      </c>
      <c r="C180" t="s">
        <v>37</v>
      </c>
      <c r="D180" t="s">
        <v>38</v>
      </c>
      <c r="E180" s="4">
        <v>40</v>
      </c>
      <c r="F180" s="5">
        <v>351.2</v>
      </c>
      <c r="G180" s="5" t="s">
        <v>39</v>
      </c>
      <c r="H180" s="5">
        <v>524.4</v>
      </c>
      <c r="I180" s="5" t="s">
        <v>39</v>
      </c>
      <c r="J180" s="5">
        <v>11.940799999999999</v>
      </c>
      <c r="K180" s="5">
        <f t="shared" si="6"/>
        <v>0.29852000000000001</v>
      </c>
      <c r="L180" s="5">
        <f t="shared" si="7"/>
        <v>8.7799999999999994</v>
      </c>
      <c r="M180" s="5" t="s">
        <v>39</v>
      </c>
      <c r="N180" s="5">
        <v>11.940799999999999</v>
      </c>
      <c r="O180" s="5" t="s">
        <v>39</v>
      </c>
      <c r="P180" t="s">
        <v>89</v>
      </c>
      <c r="Q180" t="s">
        <v>504</v>
      </c>
      <c r="R180" t="s">
        <v>37</v>
      </c>
      <c r="S180" t="s">
        <v>505</v>
      </c>
      <c r="T180" t="s">
        <v>43</v>
      </c>
      <c r="U180" t="s">
        <v>44</v>
      </c>
      <c r="V180">
        <v>147</v>
      </c>
      <c r="W180" t="s">
        <v>45</v>
      </c>
      <c r="X180" t="s">
        <v>53</v>
      </c>
      <c r="Y180" t="s">
        <v>506</v>
      </c>
      <c r="Z180" t="s">
        <v>37</v>
      </c>
      <c r="AA180" t="s">
        <v>61</v>
      </c>
      <c r="AB180" t="s">
        <v>37</v>
      </c>
      <c r="AC180" s="6" t="s">
        <v>37</v>
      </c>
      <c r="AD180" s="6" t="s">
        <v>37</v>
      </c>
      <c r="AE180" t="s">
        <v>37</v>
      </c>
      <c r="AF180" t="s">
        <v>37</v>
      </c>
      <c r="AG180" s="6" t="s">
        <v>37</v>
      </c>
      <c r="AH180" t="s">
        <v>37</v>
      </c>
      <c r="AI180" t="s">
        <v>37</v>
      </c>
      <c r="AJ180" t="str">
        <f t="shared" si="8"/>
        <v>6D1HFTMSB07W7MY2K8</v>
      </c>
    </row>
    <row r="181" spans="1:36" ht="15" customHeight="1" x14ac:dyDescent="0.25">
      <c r="A181" t="s">
        <v>67</v>
      </c>
      <c r="B181" t="s">
        <v>37</v>
      </c>
      <c r="C181" t="s">
        <v>37</v>
      </c>
      <c r="D181" t="s">
        <v>38</v>
      </c>
      <c r="E181" s="4">
        <v>10</v>
      </c>
      <c r="F181" s="5">
        <v>87.8</v>
      </c>
      <c r="G181" s="5" t="s">
        <v>39</v>
      </c>
      <c r="H181" s="5">
        <v>131.1</v>
      </c>
      <c r="I181" s="5" t="s">
        <v>39</v>
      </c>
      <c r="J181" s="5">
        <v>2.9851999999999999</v>
      </c>
      <c r="K181" s="5">
        <f t="shared" si="6"/>
        <v>0.29852000000000001</v>
      </c>
      <c r="L181" s="5">
        <f t="shared" si="7"/>
        <v>8.7799999999999994</v>
      </c>
      <c r="M181" s="5" t="s">
        <v>39</v>
      </c>
      <c r="N181" s="5">
        <v>2.9851999999999999</v>
      </c>
      <c r="O181" s="5" t="s">
        <v>39</v>
      </c>
      <c r="P181" t="s">
        <v>108</v>
      </c>
      <c r="Q181" t="s">
        <v>517</v>
      </c>
      <c r="R181" t="s">
        <v>37</v>
      </c>
      <c r="S181" t="s">
        <v>518</v>
      </c>
      <c r="T181" t="s">
        <v>43</v>
      </c>
      <c r="U181" t="s">
        <v>44</v>
      </c>
      <c r="V181">
        <v>147</v>
      </c>
      <c r="W181" t="s">
        <v>45</v>
      </c>
      <c r="X181" t="s">
        <v>53</v>
      </c>
      <c r="Y181" t="s">
        <v>519</v>
      </c>
      <c r="Z181" t="s">
        <v>37</v>
      </c>
      <c r="AA181" t="s">
        <v>61</v>
      </c>
      <c r="AB181" t="s">
        <v>37</v>
      </c>
      <c r="AC181" s="6" t="s">
        <v>37</v>
      </c>
      <c r="AD181" s="6" t="s">
        <v>37</v>
      </c>
      <c r="AE181" t="s">
        <v>37</v>
      </c>
      <c r="AF181" t="s">
        <v>37</v>
      </c>
      <c r="AG181" s="6" t="s">
        <v>37</v>
      </c>
      <c r="AH181" t="s">
        <v>37</v>
      </c>
      <c r="AI181" t="s">
        <v>37</v>
      </c>
      <c r="AJ181" t="str">
        <f t="shared" si="8"/>
        <v>5HGHPU5OB07GDYYN38</v>
      </c>
    </row>
    <row r="182" spans="1:36" ht="15" customHeight="1" x14ac:dyDescent="0.25">
      <c r="A182" t="s">
        <v>372</v>
      </c>
      <c r="B182" t="s">
        <v>37</v>
      </c>
      <c r="C182" t="s">
        <v>37</v>
      </c>
      <c r="D182" t="s">
        <v>38</v>
      </c>
      <c r="E182" s="4">
        <v>2</v>
      </c>
      <c r="F182" s="5">
        <v>152.26</v>
      </c>
      <c r="G182" s="5" t="s">
        <v>39</v>
      </c>
      <c r="H182" s="5">
        <v>221.3</v>
      </c>
      <c r="I182" s="5" t="s">
        <v>39</v>
      </c>
      <c r="J182" s="5">
        <v>5.1768400000000003</v>
      </c>
      <c r="K182" s="5">
        <f t="shared" si="6"/>
        <v>2.5884200000000002</v>
      </c>
      <c r="L182" s="5">
        <f t="shared" si="7"/>
        <v>76.13</v>
      </c>
      <c r="M182" s="5" t="s">
        <v>39</v>
      </c>
      <c r="N182" s="5">
        <v>5.1768400000000003</v>
      </c>
      <c r="O182" s="5" t="s">
        <v>39</v>
      </c>
      <c r="P182" t="s">
        <v>520</v>
      </c>
      <c r="Q182" t="s">
        <v>469</v>
      </c>
      <c r="R182" t="s">
        <v>37</v>
      </c>
      <c r="S182" t="s">
        <v>470</v>
      </c>
      <c r="T182" t="s">
        <v>43</v>
      </c>
      <c r="U182" t="s">
        <v>44</v>
      </c>
      <c r="V182">
        <v>147</v>
      </c>
      <c r="W182" t="s">
        <v>45</v>
      </c>
      <c r="X182" t="s">
        <v>248</v>
      </c>
      <c r="Y182" t="s">
        <v>471</v>
      </c>
      <c r="Z182" t="s">
        <v>37</v>
      </c>
      <c r="AA182" t="s">
        <v>145</v>
      </c>
      <c r="AB182" t="s">
        <v>37</v>
      </c>
      <c r="AC182" s="6" t="s">
        <v>37</v>
      </c>
      <c r="AD182" s="6" t="s">
        <v>37</v>
      </c>
      <c r="AE182" t="s">
        <v>37</v>
      </c>
      <c r="AF182" t="s">
        <v>37</v>
      </c>
      <c r="AG182" s="6" t="s">
        <v>37</v>
      </c>
      <c r="AH182" t="s">
        <v>37</v>
      </c>
      <c r="AI182" t="s">
        <v>37</v>
      </c>
      <c r="AJ182" t="str">
        <f t="shared" si="8"/>
        <v>89J1FZUEB0100055LI</v>
      </c>
    </row>
    <row r="183" spans="1:36" ht="15" customHeight="1" x14ac:dyDescent="0.25">
      <c r="A183" t="s">
        <v>71</v>
      </c>
      <c r="B183" t="s">
        <v>37</v>
      </c>
      <c r="C183" t="s">
        <v>37</v>
      </c>
      <c r="D183" t="s">
        <v>38</v>
      </c>
      <c r="E183" s="4">
        <v>10</v>
      </c>
      <c r="F183" s="5">
        <v>146.4</v>
      </c>
      <c r="G183" s="5" t="s">
        <v>39</v>
      </c>
      <c r="H183" s="5">
        <v>146.4</v>
      </c>
      <c r="I183" s="5" t="s">
        <v>39</v>
      </c>
      <c r="J183" s="5">
        <v>4.9775999999999998</v>
      </c>
      <c r="K183" s="5">
        <f t="shared" si="6"/>
        <v>0.49775999999999998</v>
      </c>
      <c r="L183" s="5">
        <f t="shared" si="7"/>
        <v>14.64</v>
      </c>
      <c r="M183" s="5" t="s">
        <v>39</v>
      </c>
      <c r="N183" s="5">
        <v>4.9775999999999998</v>
      </c>
      <c r="O183" s="5" t="s">
        <v>39</v>
      </c>
      <c r="P183" t="s">
        <v>72</v>
      </c>
      <c r="Q183" t="s">
        <v>521</v>
      </c>
      <c r="R183" t="s">
        <v>37</v>
      </c>
      <c r="S183" t="s">
        <v>522</v>
      </c>
      <c r="T183" t="s">
        <v>43</v>
      </c>
      <c r="U183" t="s">
        <v>44</v>
      </c>
      <c r="V183">
        <v>147</v>
      </c>
      <c r="W183" t="s">
        <v>45</v>
      </c>
      <c r="X183" t="s">
        <v>75</v>
      </c>
      <c r="Y183" t="s">
        <v>523</v>
      </c>
      <c r="Z183" t="s">
        <v>37</v>
      </c>
      <c r="AA183" t="s">
        <v>61</v>
      </c>
      <c r="AB183" t="s">
        <v>37</v>
      </c>
      <c r="AC183" s="6" t="s">
        <v>37</v>
      </c>
      <c r="AD183" s="6" t="s">
        <v>37</v>
      </c>
      <c r="AE183" t="s">
        <v>37</v>
      </c>
      <c r="AF183" t="s">
        <v>37</v>
      </c>
      <c r="AG183" s="6" t="s">
        <v>37</v>
      </c>
      <c r="AH183" t="s">
        <v>37</v>
      </c>
      <c r="AI183" t="s">
        <v>37</v>
      </c>
      <c r="AJ183" t="str">
        <f t="shared" si="8"/>
        <v>6GSPTXJAB00564NLFG</v>
      </c>
    </row>
    <row r="184" spans="1:36" ht="15" customHeight="1" x14ac:dyDescent="0.25">
      <c r="A184" t="s">
        <v>101</v>
      </c>
      <c r="B184" t="s">
        <v>37</v>
      </c>
      <c r="C184" t="s">
        <v>37</v>
      </c>
      <c r="D184" t="s">
        <v>38</v>
      </c>
      <c r="E184" s="4">
        <v>0</v>
      </c>
      <c r="F184" s="5">
        <v>0</v>
      </c>
      <c r="G184" s="5" t="s">
        <v>39</v>
      </c>
      <c r="H184" s="5">
        <v>0</v>
      </c>
      <c r="I184" s="5" t="s">
        <v>39</v>
      </c>
      <c r="J184" s="5">
        <v>0</v>
      </c>
      <c r="K184" s="5" t="e">
        <f t="shared" si="6"/>
        <v>#DIV/0!</v>
      </c>
      <c r="L184" s="5" t="e">
        <f t="shared" si="7"/>
        <v>#DIV/0!</v>
      </c>
      <c r="M184" s="5" t="s">
        <v>39</v>
      </c>
      <c r="N184" s="5">
        <v>0</v>
      </c>
      <c r="O184" s="5" t="s">
        <v>39</v>
      </c>
      <c r="P184" t="s">
        <v>189</v>
      </c>
      <c r="Q184" t="s">
        <v>524</v>
      </c>
      <c r="R184" t="s">
        <v>37</v>
      </c>
      <c r="S184" t="s">
        <v>525</v>
      </c>
      <c r="T184" t="s">
        <v>43</v>
      </c>
      <c r="U184" t="s">
        <v>44</v>
      </c>
      <c r="V184">
        <v>23</v>
      </c>
      <c r="W184" t="s">
        <v>45</v>
      </c>
      <c r="X184" t="s">
        <v>46</v>
      </c>
      <c r="Y184" t="s">
        <v>526</v>
      </c>
      <c r="Z184" t="s">
        <v>37</v>
      </c>
      <c r="AA184" t="s">
        <v>145</v>
      </c>
      <c r="AB184" t="s">
        <v>37</v>
      </c>
      <c r="AC184" s="6" t="s">
        <v>37</v>
      </c>
      <c r="AD184" s="6" t="s">
        <v>37</v>
      </c>
      <c r="AE184" t="s">
        <v>37</v>
      </c>
      <c r="AF184" t="s">
        <v>37</v>
      </c>
      <c r="AG184" s="6" t="s">
        <v>37</v>
      </c>
      <c r="AH184" t="s">
        <v>37</v>
      </c>
      <c r="AI184" t="s">
        <v>37</v>
      </c>
      <c r="AJ184" t="str">
        <f t="shared" si="8"/>
        <v>6DPU2MKPB07W7LNTM5</v>
      </c>
    </row>
    <row r="185" spans="1:36" ht="15" customHeight="1" x14ac:dyDescent="0.25">
      <c r="A185" t="s">
        <v>133</v>
      </c>
      <c r="B185" t="s">
        <v>37</v>
      </c>
      <c r="C185" t="s">
        <v>37</v>
      </c>
      <c r="D185" t="s">
        <v>38</v>
      </c>
      <c r="E185" s="4">
        <v>308</v>
      </c>
      <c r="F185" s="5">
        <v>12997.6</v>
      </c>
      <c r="G185" s="5" t="s">
        <v>39</v>
      </c>
      <c r="H185" s="5">
        <v>20697.599999999999</v>
      </c>
      <c r="I185" s="5" t="s">
        <v>39</v>
      </c>
      <c r="J185" s="5">
        <v>441.91840000000002</v>
      </c>
      <c r="K185" s="5">
        <f t="shared" si="6"/>
        <v>1.4348000000000001</v>
      </c>
      <c r="L185" s="5">
        <f t="shared" si="7"/>
        <v>42.2</v>
      </c>
      <c r="M185" s="5" t="s">
        <v>39</v>
      </c>
      <c r="N185" s="5">
        <v>441.91840000000002</v>
      </c>
      <c r="O185" s="5" t="s">
        <v>39</v>
      </c>
      <c r="P185" t="s">
        <v>189</v>
      </c>
      <c r="Q185" t="s">
        <v>524</v>
      </c>
      <c r="R185" t="s">
        <v>37</v>
      </c>
      <c r="S185" t="s">
        <v>525</v>
      </c>
      <c r="T185" t="s">
        <v>43</v>
      </c>
      <c r="U185" t="s">
        <v>44</v>
      </c>
      <c r="V185">
        <v>23</v>
      </c>
      <c r="W185" t="s">
        <v>45</v>
      </c>
      <c r="X185" t="s">
        <v>46</v>
      </c>
      <c r="Y185" t="s">
        <v>526</v>
      </c>
      <c r="Z185" t="s">
        <v>37</v>
      </c>
      <c r="AA185" t="s">
        <v>145</v>
      </c>
      <c r="AB185" t="s">
        <v>37</v>
      </c>
      <c r="AC185" s="6" t="s">
        <v>37</v>
      </c>
      <c r="AD185" s="6" t="s">
        <v>37</v>
      </c>
      <c r="AE185" t="s">
        <v>37</v>
      </c>
      <c r="AF185" t="s">
        <v>37</v>
      </c>
      <c r="AG185" s="6" t="s">
        <v>37</v>
      </c>
      <c r="AH185" t="s">
        <v>37</v>
      </c>
      <c r="AI185" t="s">
        <v>37</v>
      </c>
      <c r="AJ185" t="str">
        <f t="shared" si="8"/>
        <v>6DPU2MKPB07W7LNTM5</v>
      </c>
    </row>
    <row r="186" spans="1:36" ht="15" customHeight="1" x14ac:dyDescent="0.25">
      <c r="A186" t="s">
        <v>67</v>
      </c>
      <c r="B186" t="s">
        <v>37</v>
      </c>
      <c r="C186" t="s">
        <v>37</v>
      </c>
      <c r="D186" t="s">
        <v>38</v>
      </c>
      <c r="E186" s="4">
        <v>8</v>
      </c>
      <c r="F186" s="5">
        <v>719.36</v>
      </c>
      <c r="G186" s="5" t="s">
        <v>39</v>
      </c>
      <c r="H186" s="5">
        <v>852.4</v>
      </c>
      <c r="I186" s="5" t="s">
        <v>39</v>
      </c>
      <c r="J186" s="5">
        <v>24.45824</v>
      </c>
      <c r="K186" s="5">
        <f t="shared" si="6"/>
        <v>3.05728</v>
      </c>
      <c r="L186" s="5">
        <f t="shared" si="7"/>
        <v>89.92</v>
      </c>
      <c r="M186" s="5" t="s">
        <v>39</v>
      </c>
      <c r="N186" s="5">
        <v>24.45824</v>
      </c>
      <c r="O186" s="5" t="s">
        <v>39</v>
      </c>
      <c r="P186" t="s">
        <v>323</v>
      </c>
      <c r="Q186" t="s">
        <v>527</v>
      </c>
      <c r="R186" t="s">
        <v>37</v>
      </c>
      <c r="S186" t="s">
        <v>528</v>
      </c>
      <c r="T186" t="s">
        <v>43</v>
      </c>
      <c r="U186" t="s">
        <v>44</v>
      </c>
      <c r="V186">
        <v>267</v>
      </c>
      <c r="W186" t="s">
        <v>231</v>
      </c>
      <c r="X186" t="s">
        <v>232</v>
      </c>
      <c r="Y186" t="s">
        <v>529</v>
      </c>
      <c r="Z186" t="s">
        <v>37</v>
      </c>
      <c r="AA186" t="s">
        <v>48</v>
      </c>
      <c r="AB186" t="s">
        <v>37</v>
      </c>
      <c r="AC186" s="6" t="s">
        <v>37</v>
      </c>
      <c r="AD186" s="6" t="s">
        <v>37</v>
      </c>
      <c r="AE186" t="s">
        <v>37</v>
      </c>
      <c r="AF186" t="s">
        <v>37</v>
      </c>
      <c r="AG186" s="6" t="s">
        <v>37</v>
      </c>
      <c r="AH186" t="s">
        <v>37</v>
      </c>
      <c r="AI186" t="s">
        <v>37</v>
      </c>
      <c r="AJ186" t="str">
        <f t="shared" si="8"/>
        <v>11CZAECYB078MLBGRM</v>
      </c>
    </row>
    <row r="187" spans="1:36" ht="15" customHeight="1" x14ac:dyDescent="0.25">
      <c r="A187" t="s">
        <v>49</v>
      </c>
      <c r="B187" t="s">
        <v>37</v>
      </c>
      <c r="C187" t="s">
        <v>37</v>
      </c>
      <c r="D187" t="s">
        <v>38</v>
      </c>
      <c r="E187" s="4">
        <v>0</v>
      </c>
      <c r="F187" s="5">
        <v>0</v>
      </c>
      <c r="G187" s="5" t="s">
        <v>39</v>
      </c>
      <c r="H187" s="5">
        <v>0</v>
      </c>
      <c r="I187" s="5" t="s">
        <v>39</v>
      </c>
      <c r="J187" s="5">
        <v>0</v>
      </c>
      <c r="K187" s="5" t="e">
        <f t="shared" si="6"/>
        <v>#DIV/0!</v>
      </c>
      <c r="L187" s="5" t="e">
        <f t="shared" si="7"/>
        <v>#DIV/0!</v>
      </c>
      <c r="M187" s="5" t="s">
        <v>39</v>
      </c>
      <c r="N187" s="5">
        <v>0</v>
      </c>
      <c r="O187" s="5" t="s">
        <v>39</v>
      </c>
      <c r="P187" t="s">
        <v>530</v>
      </c>
      <c r="Q187" t="s">
        <v>531</v>
      </c>
      <c r="R187" t="s">
        <v>37</v>
      </c>
      <c r="S187" t="s">
        <v>532</v>
      </c>
      <c r="T187" t="s">
        <v>43</v>
      </c>
      <c r="U187" t="s">
        <v>44</v>
      </c>
      <c r="V187">
        <v>147</v>
      </c>
      <c r="W187" t="s">
        <v>45</v>
      </c>
      <c r="X187" t="s">
        <v>53</v>
      </c>
      <c r="Y187" t="s">
        <v>533</v>
      </c>
      <c r="Z187" t="s">
        <v>37</v>
      </c>
      <c r="AA187" t="s">
        <v>61</v>
      </c>
      <c r="AB187" t="s">
        <v>37</v>
      </c>
      <c r="AC187" s="6" t="s">
        <v>37</v>
      </c>
      <c r="AD187" s="6" t="s">
        <v>37</v>
      </c>
      <c r="AE187" t="s">
        <v>37</v>
      </c>
      <c r="AF187" t="s">
        <v>37</v>
      </c>
      <c r="AG187" s="6" t="s">
        <v>37</v>
      </c>
      <c r="AH187" t="s">
        <v>37</v>
      </c>
      <c r="AI187" t="s">
        <v>37</v>
      </c>
      <c r="AJ187" t="str">
        <f t="shared" si="8"/>
        <v>3E6XIIZZB07W4DGVQF</v>
      </c>
    </row>
    <row r="188" spans="1:36" ht="15" customHeight="1" x14ac:dyDescent="0.25">
      <c r="A188" t="s">
        <v>67</v>
      </c>
      <c r="B188" t="s">
        <v>37</v>
      </c>
      <c r="C188" t="s">
        <v>37</v>
      </c>
      <c r="D188" t="s">
        <v>38</v>
      </c>
      <c r="E188" s="4">
        <v>270</v>
      </c>
      <c r="F188" s="5">
        <v>2214</v>
      </c>
      <c r="G188" s="5" t="s">
        <v>39</v>
      </c>
      <c r="H188" s="5">
        <v>3296.7</v>
      </c>
      <c r="I188" s="5" t="s">
        <v>39</v>
      </c>
      <c r="J188" s="5">
        <v>75.275999999999996</v>
      </c>
      <c r="K188" s="5">
        <f t="shared" si="6"/>
        <v>0.27879999999999999</v>
      </c>
      <c r="L188" s="5">
        <f t="shared" si="7"/>
        <v>8.1999999999999993</v>
      </c>
      <c r="M188" s="5" t="s">
        <v>39</v>
      </c>
      <c r="N188" s="5">
        <v>75.275999999999996</v>
      </c>
      <c r="O188" s="5" t="s">
        <v>39</v>
      </c>
      <c r="P188" t="s">
        <v>245</v>
      </c>
      <c r="Q188" t="s">
        <v>146</v>
      </c>
      <c r="R188" t="s">
        <v>37</v>
      </c>
      <c r="S188" t="s">
        <v>147</v>
      </c>
      <c r="T188" t="s">
        <v>43</v>
      </c>
      <c r="U188" t="s">
        <v>44</v>
      </c>
      <c r="V188">
        <v>147</v>
      </c>
      <c r="W188" t="s">
        <v>45</v>
      </c>
      <c r="X188" t="s">
        <v>75</v>
      </c>
      <c r="Y188" t="s">
        <v>148</v>
      </c>
      <c r="Z188" t="s">
        <v>37</v>
      </c>
      <c r="AA188" t="s">
        <v>61</v>
      </c>
      <c r="AB188" t="s">
        <v>37</v>
      </c>
      <c r="AC188" s="6" t="s">
        <v>37</v>
      </c>
      <c r="AD188" s="6" t="s">
        <v>37</v>
      </c>
      <c r="AE188" t="s">
        <v>37</v>
      </c>
      <c r="AF188" t="s">
        <v>37</v>
      </c>
      <c r="AG188" s="6" t="s">
        <v>37</v>
      </c>
      <c r="AH188" t="s">
        <v>37</v>
      </c>
      <c r="AI188" t="s">
        <v>37</v>
      </c>
      <c r="AJ188" t="str">
        <f t="shared" si="8"/>
        <v>6ZGQP34KB0056C69DO</v>
      </c>
    </row>
    <row r="189" spans="1:36" ht="15" customHeight="1" x14ac:dyDescent="0.25">
      <c r="A189" t="s">
        <v>127</v>
      </c>
      <c r="B189" t="s">
        <v>37</v>
      </c>
      <c r="C189" t="s">
        <v>37</v>
      </c>
      <c r="D189" t="s">
        <v>38</v>
      </c>
      <c r="E189" s="4">
        <v>40</v>
      </c>
      <c r="F189" s="5">
        <v>585.6</v>
      </c>
      <c r="G189" s="5" t="s">
        <v>39</v>
      </c>
      <c r="H189" s="5">
        <v>852</v>
      </c>
      <c r="I189" s="5" t="s">
        <v>39</v>
      </c>
      <c r="J189" s="5">
        <v>19.910399999999999</v>
      </c>
      <c r="K189" s="5">
        <f t="shared" si="6"/>
        <v>0.49775999999999998</v>
      </c>
      <c r="L189" s="5">
        <f t="shared" si="7"/>
        <v>14.64</v>
      </c>
      <c r="M189" s="5" t="s">
        <v>39</v>
      </c>
      <c r="N189" s="5">
        <v>19.910399999999999</v>
      </c>
      <c r="O189" s="5" t="s">
        <v>39</v>
      </c>
      <c r="P189" t="s">
        <v>128</v>
      </c>
      <c r="Q189" t="s">
        <v>369</v>
      </c>
      <c r="R189" t="s">
        <v>37</v>
      </c>
      <c r="S189" t="s">
        <v>370</v>
      </c>
      <c r="T189" t="s">
        <v>43</v>
      </c>
      <c r="U189" t="s">
        <v>44</v>
      </c>
      <c r="V189">
        <v>147</v>
      </c>
      <c r="W189" t="s">
        <v>45</v>
      </c>
      <c r="X189" t="s">
        <v>75</v>
      </c>
      <c r="Y189" t="s">
        <v>371</v>
      </c>
      <c r="Z189" t="s">
        <v>37</v>
      </c>
      <c r="AA189" t="s">
        <v>61</v>
      </c>
      <c r="AB189" t="s">
        <v>37</v>
      </c>
      <c r="AC189" s="6" t="s">
        <v>37</v>
      </c>
      <c r="AD189" s="6" t="s">
        <v>37</v>
      </c>
      <c r="AE189" t="s">
        <v>37</v>
      </c>
      <c r="AF189" t="s">
        <v>37</v>
      </c>
      <c r="AG189" s="6" t="s">
        <v>37</v>
      </c>
      <c r="AH189" t="s">
        <v>37</v>
      </c>
      <c r="AI189" t="s">
        <v>37</v>
      </c>
      <c r="AJ189" t="str">
        <f t="shared" si="8"/>
        <v>5DN5PI5YB004CM47VU</v>
      </c>
    </row>
    <row r="190" spans="1:36" ht="15" customHeight="1" x14ac:dyDescent="0.25">
      <c r="A190" t="s">
        <v>67</v>
      </c>
      <c r="B190" t="s">
        <v>37</v>
      </c>
      <c r="C190" t="s">
        <v>37</v>
      </c>
      <c r="D190" t="s">
        <v>38</v>
      </c>
      <c r="E190" s="4">
        <v>24</v>
      </c>
      <c r="F190" s="5">
        <v>1012.8</v>
      </c>
      <c r="G190" s="5" t="s">
        <v>39</v>
      </c>
      <c r="H190" s="5">
        <v>1612.8</v>
      </c>
      <c r="I190" s="5" t="s">
        <v>39</v>
      </c>
      <c r="J190" s="5">
        <v>34.435200000000002</v>
      </c>
      <c r="K190" s="5">
        <f t="shared" si="6"/>
        <v>1.4348000000000001</v>
      </c>
      <c r="L190" s="5">
        <f t="shared" si="7"/>
        <v>42.199999999999996</v>
      </c>
      <c r="M190" s="5" t="s">
        <v>39</v>
      </c>
      <c r="N190" s="5">
        <v>34.435200000000002</v>
      </c>
      <c r="O190" s="5" t="s">
        <v>39</v>
      </c>
      <c r="P190" t="s">
        <v>245</v>
      </c>
      <c r="Q190" t="s">
        <v>498</v>
      </c>
      <c r="R190" t="s">
        <v>37</v>
      </c>
      <c r="S190" t="s">
        <v>499</v>
      </c>
      <c r="T190" t="s">
        <v>43</v>
      </c>
      <c r="U190" t="s">
        <v>44</v>
      </c>
      <c r="V190">
        <v>147</v>
      </c>
      <c r="W190" t="s">
        <v>45</v>
      </c>
      <c r="X190" t="s">
        <v>75</v>
      </c>
      <c r="Y190" t="s">
        <v>500</v>
      </c>
      <c r="Z190" t="s">
        <v>37</v>
      </c>
      <c r="AA190" t="s">
        <v>61</v>
      </c>
      <c r="AB190" t="s">
        <v>37</v>
      </c>
      <c r="AC190" s="6" t="s">
        <v>37</v>
      </c>
      <c r="AD190" s="6" t="s">
        <v>37</v>
      </c>
      <c r="AE190" t="s">
        <v>37</v>
      </c>
      <c r="AF190" t="s">
        <v>37</v>
      </c>
      <c r="AG190" s="6" t="s">
        <v>37</v>
      </c>
      <c r="AH190" t="s">
        <v>37</v>
      </c>
      <c r="AI190" t="s">
        <v>37</v>
      </c>
      <c r="AJ190" t="str">
        <f t="shared" si="8"/>
        <v>6ZGQP34KB07W6GVS5C</v>
      </c>
    </row>
    <row r="191" spans="1:36" ht="15" customHeight="1" x14ac:dyDescent="0.25">
      <c r="A191" t="s">
        <v>67</v>
      </c>
      <c r="B191" t="s">
        <v>37</v>
      </c>
      <c r="C191" t="s">
        <v>37</v>
      </c>
      <c r="D191" t="s">
        <v>38</v>
      </c>
      <c r="E191" s="4">
        <v>8</v>
      </c>
      <c r="F191" s="5">
        <v>210.96</v>
      </c>
      <c r="G191" s="5" t="s">
        <v>39</v>
      </c>
      <c r="H191" s="5">
        <v>340.88</v>
      </c>
      <c r="I191" s="5" t="s">
        <v>39</v>
      </c>
      <c r="J191" s="5">
        <v>7.1726400000000003</v>
      </c>
      <c r="K191" s="5">
        <f t="shared" si="6"/>
        <v>0.89658000000000004</v>
      </c>
      <c r="L191" s="5">
        <f t="shared" si="7"/>
        <v>26.37</v>
      </c>
      <c r="M191" s="5" t="s">
        <v>39</v>
      </c>
      <c r="N191" s="5">
        <v>7.1726400000000003</v>
      </c>
      <c r="O191" s="5" t="s">
        <v>39</v>
      </c>
      <c r="P191" t="s">
        <v>63</v>
      </c>
      <c r="Q191" t="s">
        <v>534</v>
      </c>
      <c r="R191" t="s">
        <v>37</v>
      </c>
      <c r="S191" t="s">
        <v>535</v>
      </c>
      <c r="T191" t="s">
        <v>43</v>
      </c>
      <c r="U191" t="s">
        <v>44</v>
      </c>
      <c r="V191">
        <v>147</v>
      </c>
      <c r="W191" t="s">
        <v>45</v>
      </c>
      <c r="X191" t="s">
        <v>53</v>
      </c>
      <c r="Y191" t="s">
        <v>536</v>
      </c>
      <c r="Z191" t="s">
        <v>37</v>
      </c>
      <c r="AA191" t="s">
        <v>61</v>
      </c>
      <c r="AB191" t="s">
        <v>37</v>
      </c>
      <c r="AC191" s="6" t="s">
        <v>37</v>
      </c>
      <c r="AD191" s="6" t="s">
        <v>37</v>
      </c>
      <c r="AE191" t="s">
        <v>37</v>
      </c>
      <c r="AF191" t="s">
        <v>37</v>
      </c>
      <c r="AG191" s="6" t="s">
        <v>37</v>
      </c>
      <c r="AH191" t="s">
        <v>37</v>
      </c>
      <c r="AI191" t="s">
        <v>37</v>
      </c>
      <c r="AJ191" t="str">
        <f t="shared" si="8"/>
        <v>3AWPOPBJB07W6HK7ZC</v>
      </c>
    </row>
    <row r="192" spans="1:36" ht="15" customHeight="1" x14ac:dyDescent="0.25">
      <c r="A192" t="s">
        <v>36</v>
      </c>
      <c r="B192" t="s">
        <v>37</v>
      </c>
      <c r="C192" t="s">
        <v>37</v>
      </c>
      <c r="D192" t="s">
        <v>38</v>
      </c>
      <c r="E192" s="4">
        <v>10</v>
      </c>
      <c r="F192" s="5">
        <v>263.5</v>
      </c>
      <c r="G192" s="5" t="s">
        <v>39</v>
      </c>
      <c r="H192" s="5">
        <v>385.2</v>
      </c>
      <c r="I192" s="5" t="s">
        <v>39</v>
      </c>
      <c r="J192" s="5">
        <v>8.9589999999999996</v>
      </c>
      <c r="K192" s="5">
        <f t="shared" si="6"/>
        <v>0.89589999999999992</v>
      </c>
      <c r="L192" s="5">
        <f t="shared" si="7"/>
        <v>26.35</v>
      </c>
      <c r="M192" s="5" t="s">
        <v>39</v>
      </c>
      <c r="N192" s="5">
        <v>8.9589999999999996</v>
      </c>
      <c r="O192" s="5" t="s">
        <v>39</v>
      </c>
      <c r="P192" t="s">
        <v>89</v>
      </c>
      <c r="Q192" t="s">
        <v>303</v>
      </c>
      <c r="R192" t="s">
        <v>37</v>
      </c>
      <c r="S192" t="s">
        <v>304</v>
      </c>
      <c r="T192" t="s">
        <v>43</v>
      </c>
      <c r="U192" t="s">
        <v>44</v>
      </c>
      <c r="V192">
        <v>147</v>
      </c>
      <c r="W192" t="s">
        <v>45</v>
      </c>
      <c r="X192" t="s">
        <v>53</v>
      </c>
      <c r="Y192" t="s">
        <v>305</v>
      </c>
      <c r="Z192" t="s">
        <v>37</v>
      </c>
      <c r="AA192" t="s">
        <v>61</v>
      </c>
      <c r="AB192" t="s">
        <v>37</v>
      </c>
      <c r="AC192" s="6" t="s">
        <v>37</v>
      </c>
      <c r="AD192" s="6" t="s">
        <v>37</v>
      </c>
      <c r="AE192" t="s">
        <v>37</v>
      </c>
      <c r="AF192" t="s">
        <v>37</v>
      </c>
      <c r="AG192" s="6" t="s">
        <v>37</v>
      </c>
      <c r="AH192" t="s">
        <v>37</v>
      </c>
      <c r="AI192" t="s">
        <v>37</v>
      </c>
      <c r="AJ192" t="str">
        <f t="shared" si="8"/>
        <v>6D1HFTMSB07W7JR6BZ</v>
      </c>
    </row>
    <row r="193" spans="1:36" ht="15" customHeight="1" x14ac:dyDescent="0.25">
      <c r="A193" t="s">
        <v>49</v>
      </c>
      <c r="B193" t="s">
        <v>37</v>
      </c>
      <c r="C193" t="s">
        <v>37</v>
      </c>
      <c r="D193" t="s">
        <v>38</v>
      </c>
      <c r="E193" s="4">
        <v>8</v>
      </c>
      <c r="F193" s="5">
        <v>928.16</v>
      </c>
      <c r="G193" s="5" t="s">
        <v>39</v>
      </c>
      <c r="H193" s="5">
        <v>1311.44</v>
      </c>
      <c r="I193" s="5" t="s">
        <v>39</v>
      </c>
      <c r="J193" s="5">
        <v>31.55744</v>
      </c>
      <c r="K193" s="5">
        <f t="shared" si="6"/>
        <v>3.94468</v>
      </c>
      <c r="L193" s="5">
        <f t="shared" si="7"/>
        <v>116.02</v>
      </c>
      <c r="M193" s="5" t="s">
        <v>39</v>
      </c>
      <c r="N193" s="5">
        <v>31.55744</v>
      </c>
      <c r="O193" s="5" t="s">
        <v>39</v>
      </c>
      <c r="P193" t="s">
        <v>123</v>
      </c>
      <c r="Q193" t="s">
        <v>98</v>
      </c>
      <c r="R193" t="s">
        <v>37</v>
      </c>
      <c r="S193" t="s">
        <v>99</v>
      </c>
      <c r="T193" t="s">
        <v>43</v>
      </c>
      <c r="U193" t="s">
        <v>44</v>
      </c>
      <c r="V193">
        <v>147</v>
      </c>
      <c r="W193" t="s">
        <v>45</v>
      </c>
      <c r="X193" t="s">
        <v>75</v>
      </c>
      <c r="Y193" t="s">
        <v>100</v>
      </c>
      <c r="Z193" t="s">
        <v>37</v>
      </c>
      <c r="AA193" t="s">
        <v>61</v>
      </c>
      <c r="AB193" t="s">
        <v>37</v>
      </c>
      <c r="AC193" s="6" t="s">
        <v>37</v>
      </c>
      <c r="AD193" s="6" t="s">
        <v>37</v>
      </c>
      <c r="AE193" t="s">
        <v>37</v>
      </c>
      <c r="AF193" t="s">
        <v>37</v>
      </c>
      <c r="AG193" s="6" t="s">
        <v>37</v>
      </c>
      <c r="AH193" t="s">
        <v>37</v>
      </c>
      <c r="AI193" t="s">
        <v>37</v>
      </c>
      <c r="AJ193" t="str">
        <f t="shared" si="8"/>
        <v>81V4YVNTB07W6JKKBV</v>
      </c>
    </row>
    <row r="194" spans="1:36" ht="15" customHeight="1" x14ac:dyDescent="0.25">
      <c r="A194" t="s">
        <v>67</v>
      </c>
      <c r="B194" t="s">
        <v>37</v>
      </c>
      <c r="C194" t="s">
        <v>37</v>
      </c>
      <c r="D194" t="s">
        <v>38</v>
      </c>
      <c r="E194" s="4">
        <v>10</v>
      </c>
      <c r="F194" s="5">
        <v>99.5</v>
      </c>
      <c r="G194" s="5" t="s">
        <v>39</v>
      </c>
      <c r="H194" s="5">
        <v>138.5</v>
      </c>
      <c r="I194" s="5" t="s">
        <v>39</v>
      </c>
      <c r="J194" s="5">
        <v>3.383</v>
      </c>
      <c r="K194" s="5">
        <f t="shared" si="6"/>
        <v>0.33829999999999999</v>
      </c>
      <c r="L194" s="5">
        <f t="shared" si="7"/>
        <v>9.9499999999999993</v>
      </c>
      <c r="M194" s="5" t="s">
        <v>39</v>
      </c>
      <c r="N194" s="5">
        <v>3.383</v>
      </c>
      <c r="O194" s="5" t="s">
        <v>39</v>
      </c>
      <c r="P194" t="s">
        <v>245</v>
      </c>
      <c r="Q194" t="s">
        <v>164</v>
      </c>
      <c r="R194" t="s">
        <v>37</v>
      </c>
      <c r="S194" t="s">
        <v>165</v>
      </c>
      <c r="T194" t="s">
        <v>43</v>
      </c>
      <c r="U194" t="s">
        <v>44</v>
      </c>
      <c r="V194">
        <v>147</v>
      </c>
      <c r="W194" t="s">
        <v>45</v>
      </c>
      <c r="X194" t="s">
        <v>75</v>
      </c>
      <c r="Y194" t="s">
        <v>166</v>
      </c>
      <c r="Z194" t="s">
        <v>37</v>
      </c>
      <c r="AA194" t="s">
        <v>61</v>
      </c>
      <c r="AB194" t="s">
        <v>37</v>
      </c>
      <c r="AC194" s="6" t="s">
        <v>37</v>
      </c>
      <c r="AD194" s="6" t="s">
        <v>37</v>
      </c>
      <c r="AE194" t="s">
        <v>37</v>
      </c>
      <c r="AF194" t="s">
        <v>37</v>
      </c>
      <c r="AG194" s="6" t="s">
        <v>37</v>
      </c>
      <c r="AH194" t="s">
        <v>37</v>
      </c>
      <c r="AI194" t="s">
        <v>37</v>
      </c>
      <c r="AJ194" t="str">
        <f t="shared" si="8"/>
        <v>6ZGQP34KB003V4A5VG</v>
      </c>
    </row>
    <row r="195" spans="1:36" ht="15" customHeight="1" x14ac:dyDescent="0.25">
      <c r="A195" t="s">
        <v>67</v>
      </c>
      <c r="B195" t="s">
        <v>37</v>
      </c>
      <c r="C195" t="s">
        <v>37</v>
      </c>
      <c r="D195" t="s">
        <v>38</v>
      </c>
      <c r="E195" s="4">
        <v>10</v>
      </c>
      <c r="F195" s="5">
        <v>175.6</v>
      </c>
      <c r="G195" s="5" t="s">
        <v>39</v>
      </c>
      <c r="H195" s="5">
        <v>254</v>
      </c>
      <c r="I195" s="5" t="s">
        <v>39</v>
      </c>
      <c r="J195" s="5">
        <v>5.9703999999999997</v>
      </c>
      <c r="K195" s="5">
        <f t="shared" ref="K195:K258" si="9">J195/E195</f>
        <v>0.59704000000000002</v>
      </c>
      <c r="L195" s="5">
        <f t="shared" ref="L195:L258" si="10">F195/E195</f>
        <v>17.559999999999999</v>
      </c>
      <c r="M195" s="5" t="s">
        <v>39</v>
      </c>
      <c r="N195" s="5">
        <v>5.9703999999999997</v>
      </c>
      <c r="O195" s="5" t="s">
        <v>39</v>
      </c>
      <c r="P195" t="s">
        <v>82</v>
      </c>
      <c r="Q195" t="s">
        <v>537</v>
      </c>
      <c r="R195" t="s">
        <v>37</v>
      </c>
      <c r="S195" t="s">
        <v>538</v>
      </c>
      <c r="T195" t="s">
        <v>43</v>
      </c>
      <c r="U195" t="s">
        <v>44</v>
      </c>
      <c r="V195">
        <v>147</v>
      </c>
      <c r="W195" t="s">
        <v>45</v>
      </c>
      <c r="X195" t="s">
        <v>75</v>
      </c>
      <c r="Y195" t="s">
        <v>539</v>
      </c>
      <c r="Z195" t="s">
        <v>540</v>
      </c>
      <c r="AA195" t="s">
        <v>61</v>
      </c>
      <c r="AB195" t="s">
        <v>37</v>
      </c>
      <c r="AC195" s="6" t="s">
        <v>37</v>
      </c>
      <c r="AD195" s="6" t="s">
        <v>37</v>
      </c>
      <c r="AE195" t="s">
        <v>37</v>
      </c>
      <c r="AF195" t="s">
        <v>37</v>
      </c>
      <c r="AG195" s="6" t="s">
        <v>37</v>
      </c>
      <c r="AH195" t="s">
        <v>37</v>
      </c>
      <c r="AI195" t="s">
        <v>37</v>
      </c>
      <c r="AJ195" t="str">
        <f t="shared" ref="AJ195:AJ258" si="11">P195&amp;Q195</f>
        <v>57D297ZKB01ENKI4D2</v>
      </c>
    </row>
    <row r="196" spans="1:36" ht="15" customHeight="1" x14ac:dyDescent="0.25">
      <c r="A196" t="s">
        <v>36</v>
      </c>
      <c r="B196" t="s">
        <v>37</v>
      </c>
      <c r="C196" t="s">
        <v>37</v>
      </c>
      <c r="D196" t="s">
        <v>38</v>
      </c>
      <c r="E196" s="4">
        <v>30</v>
      </c>
      <c r="F196" s="5">
        <v>298.5</v>
      </c>
      <c r="G196" s="5" t="s">
        <v>39</v>
      </c>
      <c r="H196" s="5">
        <v>368.7</v>
      </c>
      <c r="I196" s="5" t="s">
        <v>39</v>
      </c>
      <c r="J196" s="5">
        <v>10.148999999999999</v>
      </c>
      <c r="K196" s="5">
        <f t="shared" si="9"/>
        <v>0.33829999999999999</v>
      </c>
      <c r="L196" s="5">
        <f t="shared" si="10"/>
        <v>9.9499999999999993</v>
      </c>
      <c r="M196" s="5" t="s">
        <v>39</v>
      </c>
      <c r="N196" s="5">
        <v>10.148999999999999</v>
      </c>
      <c r="O196" s="5" t="s">
        <v>39</v>
      </c>
      <c r="P196" t="s">
        <v>377</v>
      </c>
      <c r="Q196" t="s">
        <v>202</v>
      </c>
      <c r="R196" t="s">
        <v>37</v>
      </c>
      <c r="S196" t="s">
        <v>203</v>
      </c>
      <c r="T196" t="s">
        <v>43</v>
      </c>
      <c r="U196" t="s">
        <v>44</v>
      </c>
      <c r="V196">
        <v>147</v>
      </c>
      <c r="W196" t="s">
        <v>45</v>
      </c>
      <c r="X196" t="s">
        <v>75</v>
      </c>
      <c r="Y196" t="s">
        <v>204</v>
      </c>
      <c r="Z196" t="s">
        <v>37</v>
      </c>
      <c r="AA196" t="s">
        <v>61</v>
      </c>
      <c r="AB196" t="s">
        <v>37</v>
      </c>
      <c r="AC196" s="6" t="s">
        <v>37</v>
      </c>
      <c r="AD196" s="6" t="s">
        <v>37</v>
      </c>
      <c r="AE196" t="s">
        <v>37</v>
      </c>
      <c r="AF196" t="s">
        <v>37</v>
      </c>
      <c r="AG196" s="6" t="s">
        <v>37</v>
      </c>
      <c r="AH196" t="s">
        <v>37</v>
      </c>
      <c r="AI196" t="s">
        <v>37</v>
      </c>
      <c r="AJ196" t="str">
        <f t="shared" si="11"/>
        <v>5IZH76JAB003PAMIA2</v>
      </c>
    </row>
    <row r="197" spans="1:36" ht="15" customHeight="1" x14ac:dyDescent="0.25">
      <c r="A197" t="s">
        <v>36</v>
      </c>
      <c r="B197" t="s">
        <v>37</v>
      </c>
      <c r="C197" t="s">
        <v>37</v>
      </c>
      <c r="D197" t="s">
        <v>38</v>
      </c>
      <c r="E197" s="4">
        <v>20</v>
      </c>
      <c r="F197" s="5">
        <v>1055.2</v>
      </c>
      <c r="G197" s="5" t="s">
        <v>39</v>
      </c>
      <c r="H197" s="5">
        <v>1704.8</v>
      </c>
      <c r="I197" s="5" t="s">
        <v>39</v>
      </c>
      <c r="J197" s="5">
        <v>35.876800000000003</v>
      </c>
      <c r="K197" s="5">
        <f t="shared" si="9"/>
        <v>1.7938400000000001</v>
      </c>
      <c r="L197" s="5">
        <f t="shared" si="10"/>
        <v>52.760000000000005</v>
      </c>
      <c r="M197" s="5" t="s">
        <v>39</v>
      </c>
      <c r="N197" s="5">
        <v>35.876800000000003</v>
      </c>
      <c r="O197" s="5" t="s">
        <v>39</v>
      </c>
      <c r="P197" t="s">
        <v>89</v>
      </c>
      <c r="Q197" t="s">
        <v>541</v>
      </c>
      <c r="R197" t="s">
        <v>37</v>
      </c>
      <c r="S197" t="s">
        <v>542</v>
      </c>
      <c r="T197" t="s">
        <v>43</v>
      </c>
      <c r="U197" t="s">
        <v>44</v>
      </c>
      <c r="V197">
        <v>147</v>
      </c>
      <c r="W197" t="s">
        <v>45</v>
      </c>
      <c r="X197" t="s">
        <v>53</v>
      </c>
      <c r="Y197" t="s">
        <v>543</v>
      </c>
      <c r="Z197" t="s">
        <v>37</v>
      </c>
      <c r="AA197" t="s">
        <v>61</v>
      </c>
      <c r="AB197" t="s">
        <v>37</v>
      </c>
      <c r="AC197" s="6" t="s">
        <v>37</v>
      </c>
      <c r="AD197" s="6" t="s">
        <v>37</v>
      </c>
      <c r="AE197" t="s">
        <v>37</v>
      </c>
      <c r="AF197" t="s">
        <v>37</v>
      </c>
      <c r="AG197" s="6" t="s">
        <v>37</v>
      </c>
      <c r="AH197" t="s">
        <v>37</v>
      </c>
      <c r="AI197" t="s">
        <v>37</v>
      </c>
      <c r="AJ197" t="str">
        <f t="shared" si="11"/>
        <v>6D1HFTMSB07W6JKL78</v>
      </c>
    </row>
    <row r="198" spans="1:36" ht="15" customHeight="1" x14ac:dyDescent="0.25">
      <c r="A198" t="s">
        <v>67</v>
      </c>
      <c r="B198" t="s">
        <v>37</v>
      </c>
      <c r="C198" t="s">
        <v>37</v>
      </c>
      <c r="D198" t="s">
        <v>38</v>
      </c>
      <c r="E198" s="4">
        <v>12</v>
      </c>
      <c r="F198" s="5">
        <v>835.32</v>
      </c>
      <c r="G198" s="5" t="s">
        <v>39</v>
      </c>
      <c r="H198" s="5">
        <v>1229.4000000000001</v>
      </c>
      <c r="I198" s="5" t="s">
        <v>39</v>
      </c>
      <c r="J198" s="5">
        <v>28.400880000000001</v>
      </c>
      <c r="K198" s="5">
        <f t="shared" si="9"/>
        <v>2.3667400000000001</v>
      </c>
      <c r="L198" s="5">
        <f t="shared" si="10"/>
        <v>69.61</v>
      </c>
      <c r="M198" s="5" t="s">
        <v>39</v>
      </c>
      <c r="N198" s="5">
        <v>28.400880000000001</v>
      </c>
      <c r="O198" s="5" t="s">
        <v>39</v>
      </c>
      <c r="P198" t="s">
        <v>63</v>
      </c>
      <c r="Q198" t="s">
        <v>186</v>
      </c>
      <c r="R198" t="s">
        <v>37</v>
      </c>
      <c r="S198" t="s">
        <v>187</v>
      </c>
      <c r="T198" t="s">
        <v>43</v>
      </c>
      <c r="U198" t="s">
        <v>44</v>
      </c>
      <c r="V198">
        <v>147</v>
      </c>
      <c r="W198" t="s">
        <v>45</v>
      </c>
      <c r="X198" t="s">
        <v>53</v>
      </c>
      <c r="Y198" t="s">
        <v>188</v>
      </c>
      <c r="Z198" t="s">
        <v>37</v>
      </c>
      <c r="AA198" t="s">
        <v>61</v>
      </c>
      <c r="AB198" t="s">
        <v>37</v>
      </c>
      <c r="AC198" s="6" t="s">
        <v>37</v>
      </c>
      <c r="AD198" s="6" t="s">
        <v>37</v>
      </c>
      <c r="AE198" t="s">
        <v>37</v>
      </c>
      <c r="AF198" t="s">
        <v>37</v>
      </c>
      <c r="AG198" s="6" t="s">
        <v>37</v>
      </c>
      <c r="AH198" t="s">
        <v>37</v>
      </c>
      <c r="AI198" t="s">
        <v>37</v>
      </c>
      <c r="AJ198" t="str">
        <f t="shared" si="11"/>
        <v>3AWPOPBJB07FNHV4MW</v>
      </c>
    </row>
    <row r="199" spans="1:36" ht="15" customHeight="1" x14ac:dyDescent="0.25">
      <c r="A199" t="s">
        <v>67</v>
      </c>
      <c r="B199" t="s">
        <v>37</v>
      </c>
      <c r="C199" t="s">
        <v>37</v>
      </c>
      <c r="D199" t="s">
        <v>38</v>
      </c>
      <c r="E199" s="4">
        <v>72</v>
      </c>
      <c r="F199" s="5">
        <v>5660.64</v>
      </c>
      <c r="G199" s="5" t="s">
        <v>39</v>
      </c>
      <c r="H199" s="5">
        <v>9146.8799999999992</v>
      </c>
      <c r="I199" s="5" t="s">
        <v>39</v>
      </c>
      <c r="J199" s="5">
        <v>192.46176</v>
      </c>
      <c r="K199" s="5">
        <f t="shared" si="9"/>
        <v>2.6730800000000001</v>
      </c>
      <c r="L199" s="5">
        <f t="shared" si="10"/>
        <v>78.62</v>
      </c>
      <c r="M199" s="5" t="s">
        <v>39</v>
      </c>
      <c r="N199" s="5">
        <v>192.46176</v>
      </c>
      <c r="O199" s="5" t="s">
        <v>39</v>
      </c>
      <c r="P199" t="s">
        <v>108</v>
      </c>
      <c r="Q199" t="s">
        <v>544</v>
      </c>
      <c r="R199" t="s">
        <v>37</v>
      </c>
      <c r="S199" t="s">
        <v>545</v>
      </c>
      <c r="T199" t="s">
        <v>43</v>
      </c>
      <c r="U199" t="s">
        <v>44</v>
      </c>
      <c r="V199">
        <v>147</v>
      </c>
      <c r="W199" t="s">
        <v>45</v>
      </c>
      <c r="X199" t="s">
        <v>46</v>
      </c>
      <c r="Y199" t="s">
        <v>546</v>
      </c>
      <c r="Z199" t="s">
        <v>37</v>
      </c>
      <c r="AA199" t="s">
        <v>61</v>
      </c>
      <c r="AB199" t="s">
        <v>37</v>
      </c>
      <c r="AC199" s="6" t="s">
        <v>37</v>
      </c>
      <c r="AD199" s="6" t="s">
        <v>37</v>
      </c>
      <c r="AE199" t="s">
        <v>37</v>
      </c>
      <c r="AF199" t="s">
        <v>37</v>
      </c>
      <c r="AG199" s="6" t="s">
        <v>37</v>
      </c>
      <c r="AH199" t="s">
        <v>37</v>
      </c>
      <c r="AI199" t="s">
        <v>37</v>
      </c>
      <c r="AJ199" t="str">
        <f t="shared" si="11"/>
        <v>5HGHPU5OB07QKC4WWD</v>
      </c>
    </row>
    <row r="200" spans="1:36" ht="15" customHeight="1" x14ac:dyDescent="0.25">
      <c r="A200" t="s">
        <v>133</v>
      </c>
      <c r="B200" t="s">
        <v>37</v>
      </c>
      <c r="C200" t="s">
        <v>37</v>
      </c>
      <c r="D200" t="s">
        <v>38</v>
      </c>
      <c r="E200" s="4">
        <v>83</v>
      </c>
      <c r="F200" s="5">
        <v>17473.16</v>
      </c>
      <c r="G200" s="5" t="s">
        <v>39</v>
      </c>
      <c r="H200" s="5">
        <v>27892.98</v>
      </c>
      <c r="I200" s="5" t="s">
        <v>39</v>
      </c>
      <c r="J200" s="5">
        <v>594.08744000000002</v>
      </c>
      <c r="K200" s="5">
        <f t="shared" si="9"/>
        <v>7.15768</v>
      </c>
      <c r="L200" s="5">
        <f t="shared" si="10"/>
        <v>210.52</v>
      </c>
      <c r="M200" s="5" t="s">
        <v>39</v>
      </c>
      <c r="N200" s="5">
        <v>594.08744000000002</v>
      </c>
      <c r="O200" s="5" t="s">
        <v>39</v>
      </c>
      <c r="P200" t="s">
        <v>208</v>
      </c>
      <c r="Q200" t="s">
        <v>216</v>
      </c>
      <c r="R200" t="s">
        <v>37</v>
      </c>
      <c r="S200" t="s">
        <v>217</v>
      </c>
      <c r="T200" t="s">
        <v>43</v>
      </c>
      <c r="U200" t="s">
        <v>44</v>
      </c>
      <c r="V200">
        <v>147</v>
      </c>
      <c r="W200" t="s">
        <v>45</v>
      </c>
      <c r="X200" t="s">
        <v>46</v>
      </c>
      <c r="Y200" t="s">
        <v>218</v>
      </c>
      <c r="Z200" t="s">
        <v>37</v>
      </c>
      <c r="AA200" t="s">
        <v>61</v>
      </c>
      <c r="AB200" t="s">
        <v>37</v>
      </c>
      <c r="AC200" s="6" t="s">
        <v>37</v>
      </c>
      <c r="AD200" s="6" t="s">
        <v>37</v>
      </c>
      <c r="AE200" t="s">
        <v>37</v>
      </c>
      <c r="AF200" t="s">
        <v>37</v>
      </c>
      <c r="AG200" s="6" t="s">
        <v>37</v>
      </c>
      <c r="AH200" t="s">
        <v>37</v>
      </c>
      <c r="AI200" t="s">
        <v>37</v>
      </c>
      <c r="AJ200" t="str">
        <f t="shared" si="11"/>
        <v>2WFUPSOGB00YUIM2J0</v>
      </c>
    </row>
    <row r="201" spans="1:36" ht="15" customHeight="1" x14ac:dyDescent="0.25">
      <c r="A201" t="s">
        <v>67</v>
      </c>
      <c r="B201" t="s">
        <v>37</v>
      </c>
      <c r="C201" t="s">
        <v>37</v>
      </c>
      <c r="D201" t="s">
        <v>38</v>
      </c>
      <c r="E201" s="4">
        <v>4</v>
      </c>
      <c r="F201" s="5">
        <v>126.6</v>
      </c>
      <c r="G201" s="5" t="s">
        <v>39</v>
      </c>
      <c r="H201" s="5">
        <v>203.24</v>
      </c>
      <c r="I201" s="5" t="s">
        <v>39</v>
      </c>
      <c r="J201" s="5">
        <v>4.3044000000000002</v>
      </c>
      <c r="K201" s="5">
        <f t="shared" si="9"/>
        <v>1.0761000000000001</v>
      </c>
      <c r="L201" s="5">
        <f t="shared" si="10"/>
        <v>31.65</v>
      </c>
      <c r="M201" s="5" t="s">
        <v>39</v>
      </c>
      <c r="N201" s="5">
        <v>4.3044000000000002</v>
      </c>
      <c r="O201" s="5" t="s">
        <v>39</v>
      </c>
      <c r="P201" t="s">
        <v>108</v>
      </c>
      <c r="Q201" t="s">
        <v>259</v>
      </c>
      <c r="R201" t="s">
        <v>37</v>
      </c>
      <c r="S201" t="s">
        <v>260</v>
      </c>
      <c r="T201" t="s">
        <v>43</v>
      </c>
      <c r="U201" t="s">
        <v>44</v>
      </c>
      <c r="V201">
        <v>147</v>
      </c>
      <c r="W201" t="s">
        <v>45</v>
      </c>
      <c r="X201" t="s">
        <v>53</v>
      </c>
      <c r="Y201" t="s">
        <v>261</v>
      </c>
      <c r="Z201" t="s">
        <v>37</v>
      </c>
      <c r="AA201" t="s">
        <v>61</v>
      </c>
      <c r="AB201" t="s">
        <v>37</v>
      </c>
      <c r="AC201" s="6" t="s">
        <v>37</v>
      </c>
      <c r="AD201" s="6" t="s">
        <v>37</v>
      </c>
      <c r="AE201" t="s">
        <v>37</v>
      </c>
      <c r="AF201" t="s">
        <v>37</v>
      </c>
      <c r="AG201" s="6" t="s">
        <v>37</v>
      </c>
      <c r="AH201" t="s">
        <v>37</v>
      </c>
      <c r="AI201" t="s">
        <v>37</v>
      </c>
      <c r="AJ201" t="str">
        <f t="shared" si="11"/>
        <v>5HGHPU5OB07W6J52LN</v>
      </c>
    </row>
    <row r="202" spans="1:36" ht="15" customHeight="1" x14ac:dyDescent="0.25">
      <c r="A202" t="s">
        <v>127</v>
      </c>
      <c r="B202" t="s">
        <v>37</v>
      </c>
      <c r="C202" t="s">
        <v>37</v>
      </c>
      <c r="D202" t="s">
        <v>38</v>
      </c>
      <c r="E202" s="4">
        <v>4</v>
      </c>
      <c r="F202" s="5">
        <v>168.8</v>
      </c>
      <c r="G202" s="5" t="s">
        <v>39</v>
      </c>
      <c r="H202" s="5">
        <v>268.8</v>
      </c>
      <c r="I202" s="5" t="s">
        <v>39</v>
      </c>
      <c r="J202" s="5">
        <v>5.7392000000000003</v>
      </c>
      <c r="K202" s="5">
        <f t="shared" si="9"/>
        <v>1.4348000000000001</v>
      </c>
      <c r="L202" s="5">
        <f t="shared" si="10"/>
        <v>42.2</v>
      </c>
      <c r="M202" s="5" t="s">
        <v>39</v>
      </c>
      <c r="N202" s="5">
        <v>5.7392000000000003</v>
      </c>
      <c r="O202" s="5" t="s">
        <v>39</v>
      </c>
      <c r="P202" t="s">
        <v>128</v>
      </c>
      <c r="Q202" t="s">
        <v>356</v>
      </c>
      <c r="R202" t="s">
        <v>37</v>
      </c>
      <c r="S202" t="s">
        <v>357</v>
      </c>
      <c r="T202" t="s">
        <v>43</v>
      </c>
      <c r="U202" t="s">
        <v>44</v>
      </c>
      <c r="V202">
        <v>147</v>
      </c>
      <c r="W202" t="s">
        <v>45</v>
      </c>
      <c r="X202" t="s">
        <v>46</v>
      </c>
      <c r="Y202" t="s">
        <v>358</v>
      </c>
      <c r="Z202" t="s">
        <v>37</v>
      </c>
      <c r="AA202" t="s">
        <v>48</v>
      </c>
      <c r="AB202" t="s">
        <v>37</v>
      </c>
      <c r="AC202" s="6" t="s">
        <v>37</v>
      </c>
      <c r="AD202" s="6" t="s">
        <v>37</v>
      </c>
      <c r="AE202" t="s">
        <v>37</v>
      </c>
      <c r="AF202" t="s">
        <v>37</v>
      </c>
      <c r="AG202" s="6" t="s">
        <v>37</v>
      </c>
      <c r="AH202" t="s">
        <v>37</v>
      </c>
      <c r="AI202" t="s">
        <v>37</v>
      </c>
      <c r="AJ202" t="str">
        <f t="shared" si="11"/>
        <v>5DN5PI5YB01L6L45ES</v>
      </c>
    </row>
    <row r="203" spans="1:36" ht="15" customHeight="1" x14ac:dyDescent="0.25">
      <c r="A203" t="s">
        <v>133</v>
      </c>
      <c r="B203" t="s">
        <v>37</v>
      </c>
      <c r="C203" t="s">
        <v>37</v>
      </c>
      <c r="D203" t="s">
        <v>38</v>
      </c>
      <c r="E203" s="4">
        <v>13</v>
      </c>
      <c r="F203" s="5">
        <v>1913.73</v>
      </c>
      <c r="G203" s="5" t="s">
        <v>39</v>
      </c>
      <c r="H203" s="5">
        <v>3090.1</v>
      </c>
      <c r="I203" s="5" t="s">
        <v>39</v>
      </c>
      <c r="J203" s="5">
        <v>65.066820000000007</v>
      </c>
      <c r="K203" s="5">
        <f t="shared" si="9"/>
        <v>5.0051400000000008</v>
      </c>
      <c r="L203" s="5">
        <f t="shared" si="10"/>
        <v>147.21</v>
      </c>
      <c r="M203" s="5" t="s">
        <v>39</v>
      </c>
      <c r="N203" s="5">
        <v>65.066820000000007</v>
      </c>
      <c r="O203" s="5" t="s">
        <v>39</v>
      </c>
      <c r="P203" t="s">
        <v>547</v>
      </c>
      <c r="Q203" t="s">
        <v>104</v>
      </c>
      <c r="R203" t="s">
        <v>37</v>
      </c>
      <c r="S203" t="s">
        <v>105</v>
      </c>
      <c r="T203" t="s">
        <v>43</v>
      </c>
      <c r="U203" t="s">
        <v>44</v>
      </c>
      <c r="V203">
        <v>147</v>
      </c>
      <c r="W203" t="s">
        <v>45</v>
      </c>
      <c r="X203" t="s">
        <v>46</v>
      </c>
      <c r="Y203" t="s">
        <v>106</v>
      </c>
      <c r="Z203" t="s">
        <v>37</v>
      </c>
      <c r="AA203" t="s">
        <v>107</v>
      </c>
      <c r="AB203" t="s">
        <v>37</v>
      </c>
      <c r="AC203" s="6" t="s">
        <v>37</v>
      </c>
      <c r="AD203" s="6" t="s">
        <v>37</v>
      </c>
      <c r="AE203" t="s">
        <v>37</v>
      </c>
      <c r="AF203" t="s">
        <v>37</v>
      </c>
      <c r="AG203" s="6" t="s">
        <v>37</v>
      </c>
      <c r="AH203" t="s">
        <v>37</v>
      </c>
      <c r="AI203" t="s">
        <v>37</v>
      </c>
      <c r="AJ203" t="str">
        <f t="shared" si="11"/>
        <v>1IPN3LSPB07JGCM9QM</v>
      </c>
    </row>
    <row r="204" spans="1:36" ht="15" customHeight="1" x14ac:dyDescent="0.25">
      <c r="A204" t="s">
        <v>133</v>
      </c>
      <c r="B204" t="s">
        <v>37</v>
      </c>
      <c r="C204" t="s">
        <v>37</v>
      </c>
      <c r="D204" t="s">
        <v>38</v>
      </c>
      <c r="E204" s="4">
        <v>8</v>
      </c>
      <c r="F204" s="5">
        <v>928.16</v>
      </c>
      <c r="G204" s="5" t="s">
        <v>39</v>
      </c>
      <c r="H204" s="5">
        <v>1311.44</v>
      </c>
      <c r="I204" s="5" t="s">
        <v>39</v>
      </c>
      <c r="J204" s="5">
        <v>31.55744</v>
      </c>
      <c r="K204" s="5">
        <f t="shared" si="9"/>
        <v>3.94468</v>
      </c>
      <c r="L204" s="5">
        <f t="shared" si="10"/>
        <v>116.02</v>
      </c>
      <c r="M204" s="5" t="s">
        <v>39</v>
      </c>
      <c r="N204" s="5">
        <v>31.55744</v>
      </c>
      <c r="O204" s="5" t="s">
        <v>39</v>
      </c>
      <c r="P204" t="s">
        <v>116</v>
      </c>
      <c r="Q204" t="s">
        <v>548</v>
      </c>
      <c r="R204" t="s">
        <v>37</v>
      </c>
      <c r="S204" t="s">
        <v>549</v>
      </c>
      <c r="T204" t="s">
        <v>43</v>
      </c>
      <c r="U204" t="s">
        <v>44</v>
      </c>
      <c r="V204">
        <v>147</v>
      </c>
      <c r="W204" t="s">
        <v>45</v>
      </c>
      <c r="X204" t="s">
        <v>75</v>
      </c>
      <c r="Y204" t="s">
        <v>550</v>
      </c>
      <c r="Z204" t="s">
        <v>37</v>
      </c>
      <c r="AA204" t="s">
        <v>61</v>
      </c>
      <c r="AB204" t="s">
        <v>37</v>
      </c>
      <c r="AC204" s="6" t="s">
        <v>37</v>
      </c>
      <c r="AD204" s="6" t="s">
        <v>37</v>
      </c>
      <c r="AE204" t="s">
        <v>37</v>
      </c>
      <c r="AF204" t="s">
        <v>37</v>
      </c>
      <c r="AG204" s="6" t="s">
        <v>37</v>
      </c>
      <c r="AH204" t="s">
        <v>37</v>
      </c>
      <c r="AI204" t="s">
        <v>37</v>
      </c>
      <c r="AJ204" t="str">
        <f t="shared" si="11"/>
        <v>3S7Y1OIVB07W7M4MZP</v>
      </c>
    </row>
    <row r="205" spans="1:36" ht="15" customHeight="1" x14ac:dyDescent="0.25">
      <c r="A205" t="s">
        <v>400</v>
      </c>
      <c r="B205" t="s">
        <v>37</v>
      </c>
      <c r="C205" t="s">
        <v>37</v>
      </c>
      <c r="D205" t="s">
        <v>38</v>
      </c>
      <c r="E205" s="4">
        <v>16</v>
      </c>
      <c r="F205" s="5">
        <v>328</v>
      </c>
      <c r="G205" s="5" t="s">
        <v>39</v>
      </c>
      <c r="H205" s="5">
        <v>472</v>
      </c>
      <c r="I205" s="5" t="s">
        <v>39</v>
      </c>
      <c r="J205" s="5">
        <v>11.151999999999999</v>
      </c>
      <c r="K205" s="5">
        <f t="shared" si="9"/>
        <v>0.69699999999999995</v>
      </c>
      <c r="L205" s="5">
        <f t="shared" si="10"/>
        <v>20.5</v>
      </c>
      <c r="M205" s="5" t="s">
        <v>39</v>
      </c>
      <c r="N205" s="5">
        <v>11.151999999999999</v>
      </c>
      <c r="O205" s="5" t="s">
        <v>39</v>
      </c>
      <c r="P205" t="s">
        <v>263</v>
      </c>
      <c r="Q205" t="s">
        <v>226</v>
      </c>
      <c r="R205" t="s">
        <v>37</v>
      </c>
      <c r="S205" t="s">
        <v>227</v>
      </c>
      <c r="T205" t="s">
        <v>43</v>
      </c>
      <c r="U205" t="s">
        <v>44</v>
      </c>
      <c r="V205">
        <v>147</v>
      </c>
      <c r="W205" t="s">
        <v>45</v>
      </c>
      <c r="X205" t="s">
        <v>75</v>
      </c>
      <c r="Y205" t="s">
        <v>228</v>
      </c>
      <c r="Z205" t="s">
        <v>37</v>
      </c>
      <c r="AA205" t="s">
        <v>48</v>
      </c>
      <c r="AB205" t="s">
        <v>37</v>
      </c>
      <c r="AC205" s="6" t="s">
        <v>37</v>
      </c>
      <c r="AD205" s="6" t="s">
        <v>37</v>
      </c>
      <c r="AE205" t="s">
        <v>37</v>
      </c>
      <c r="AF205" t="s">
        <v>37</v>
      </c>
      <c r="AG205" s="6" t="s">
        <v>37</v>
      </c>
      <c r="AH205" t="s">
        <v>37</v>
      </c>
      <c r="AI205" t="s">
        <v>37</v>
      </c>
      <c r="AJ205" t="str">
        <f t="shared" si="11"/>
        <v>3B2Q175VB01C47ZFLK</v>
      </c>
    </row>
    <row r="206" spans="1:36" ht="15" customHeight="1" x14ac:dyDescent="0.25">
      <c r="A206" t="s">
        <v>67</v>
      </c>
      <c r="B206" t="s">
        <v>37</v>
      </c>
      <c r="C206" t="s">
        <v>37</v>
      </c>
      <c r="D206" t="s">
        <v>38</v>
      </c>
      <c r="E206" s="4">
        <v>8</v>
      </c>
      <c r="F206" s="5">
        <v>671.12</v>
      </c>
      <c r="G206" s="5" t="s">
        <v>39</v>
      </c>
      <c r="H206" s="5">
        <v>1081.92</v>
      </c>
      <c r="I206" s="5" t="s">
        <v>39</v>
      </c>
      <c r="J206" s="5">
        <v>22.818079999999998</v>
      </c>
      <c r="K206" s="5">
        <f t="shared" si="9"/>
        <v>2.8522599999999998</v>
      </c>
      <c r="L206" s="5">
        <f t="shared" si="10"/>
        <v>83.89</v>
      </c>
      <c r="M206" s="5" t="s">
        <v>39</v>
      </c>
      <c r="N206" s="5">
        <v>22.818079999999998</v>
      </c>
      <c r="O206" s="5" t="s">
        <v>39</v>
      </c>
      <c r="P206" t="s">
        <v>108</v>
      </c>
      <c r="Q206" t="s">
        <v>394</v>
      </c>
      <c r="R206" t="s">
        <v>37</v>
      </c>
      <c r="S206" t="s">
        <v>395</v>
      </c>
      <c r="T206" t="s">
        <v>43</v>
      </c>
      <c r="U206" t="s">
        <v>44</v>
      </c>
      <c r="V206">
        <v>147</v>
      </c>
      <c r="W206" t="s">
        <v>45</v>
      </c>
      <c r="X206" t="s">
        <v>53</v>
      </c>
      <c r="Y206" t="s">
        <v>396</v>
      </c>
      <c r="Z206" t="s">
        <v>37</v>
      </c>
      <c r="AA206" t="s">
        <v>61</v>
      </c>
      <c r="AB206" t="s">
        <v>37</v>
      </c>
      <c r="AC206" s="6" t="s">
        <v>37</v>
      </c>
      <c r="AD206" s="6" t="s">
        <v>37</v>
      </c>
      <c r="AE206" t="s">
        <v>37</v>
      </c>
      <c r="AF206" t="s">
        <v>37</v>
      </c>
      <c r="AG206" s="6" t="s">
        <v>37</v>
      </c>
      <c r="AH206" t="s">
        <v>37</v>
      </c>
      <c r="AI206" t="s">
        <v>37</v>
      </c>
      <c r="AJ206" t="str">
        <f t="shared" si="11"/>
        <v>5HGHPU5OB07W5JJ1WM</v>
      </c>
    </row>
    <row r="207" spans="1:36" ht="15" customHeight="1" x14ac:dyDescent="0.25">
      <c r="A207" t="s">
        <v>67</v>
      </c>
      <c r="B207" t="s">
        <v>37</v>
      </c>
      <c r="C207" t="s">
        <v>37</v>
      </c>
      <c r="D207" t="s">
        <v>38</v>
      </c>
      <c r="E207" s="4">
        <v>10</v>
      </c>
      <c r="F207" s="5">
        <v>263.7</v>
      </c>
      <c r="G207" s="5" t="s">
        <v>39</v>
      </c>
      <c r="H207" s="5">
        <v>426.1</v>
      </c>
      <c r="I207" s="5" t="s">
        <v>39</v>
      </c>
      <c r="J207" s="5">
        <v>8.9657999999999998</v>
      </c>
      <c r="K207" s="5">
        <f t="shared" si="9"/>
        <v>0.89657999999999993</v>
      </c>
      <c r="L207" s="5">
        <f t="shared" si="10"/>
        <v>26.369999999999997</v>
      </c>
      <c r="M207" s="5" t="s">
        <v>39</v>
      </c>
      <c r="N207" s="5">
        <v>8.9657999999999998</v>
      </c>
      <c r="O207" s="5" t="s">
        <v>39</v>
      </c>
      <c r="P207" t="s">
        <v>182</v>
      </c>
      <c r="Q207" t="s">
        <v>213</v>
      </c>
      <c r="R207" t="s">
        <v>37</v>
      </c>
      <c r="S207" t="s">
        <v>214</v>
      </c>
      <c r="T207" t="s">
        <v>43</v>
      </c>
      <c r="U207" t="s">
        <v>44</v>
      </c>
      <c r="V207">
        <v>23</v>
      </c>
      <c r="W207" t="s">
        <v>45</v>
      </c>
      <c r="X207" t="s">
        <v>46</v>
      </c>
      <c r="Y207" t="s">
        <v>215</v>
      </c>
      <c r="Z207" t="s">
        <v>37</v>
      </c>
      <c r="AA207" t="s">
        <v>145</v>
      </c>
      <c r="AB207" t="s">
        <v>37</v>
      </c>
      <c r="AC207" s="6" t="s">
        <v>37</v>
      </c>
      <c r="AD207" s="6" t="s">
        <v>37</v>
      </c>
      <c r="AE207" t="s">
        <v>37</v>
      </c>
      <c r="AF207" t="s">
        <v>37</v>
      </c>
      <c r="AG207" s="6" t="s">
        <v>37</v>
      </c>
      <c r="AH207" t="s">
        <v>37</v>
      </c>
      <c r="AI207" t="s">
        <v>37</v>
      </c>
      <c r="AJ207" t="str">
        <f t="shared" si="11"/>
        <v>5UESXM5PB07W6G822Y</v>
      </c>
    </row>
    <row r="208" spans="1:36" ht="15" customHeight="1" x14ac:dyDescent="0.25">
      <c r="A208" t="s">
        <v>133</v>
      </c>
      <c r="B208" t="s">
        <v>37</v>
      </c>
      <c r="C208" t="s">
        <v>37</v>
      </c>
      <c r="D208" t="s">
        <v>38</v>
      </c>
      <c r="E208" s="4">
        <v>316</v>
      </c>
      <c r="F208" s="5">
        <v>13335.2</v>
      </c>
      <c r="G208" s="5" t="s">
        <v>39</v>
      </c>
      <c r="H208" s="5">
        <v>21235.200000000001</v>
      </c>
      <c r="I208" s="5" t="s">
        <v>39</v>
      </c>
      <c r="J208" s="5">
        <v>453.39679999999998</v>
      </c>
      <c r="K208" s="5">
        <f t="shared" si="9"/>
        <v>1.4347999999999999</v>
      </c>
      <c r="L208" s="5">
        <f t="shared" si="10"/>
        <v>42.2</v>
      </c>
      <c r="M208" s="5" t="s">
        <v>39</v>
      </c>
      <c r="N208" s="5">
        <v>453.39679999999998</v>
      </c>
      <c r="O208" s="5" t="s">
        <v>39</v>
      </c>
      <c r="P208" t="s">
        <v>219</v>
      </c>
      <c r="Q208" t="s">
        <v>498</v>
      </c>
      <c r="R208" t="s">
        <v>37</v>
      </c>
      <c r="S208" t="s">
        <v>499</v>
      </c>
      <c r="T208" t="s">
        <v>43</v>
      </c>
      <c r="U208" t="s">
        <v>44</v>
      </c>
      <c r="V208">
        <v>147</v>
      </c>
      <c r="W208" t="s">
        <v>45</v>
      </c>
      <c r="X208" t="s">
        <v>75</v>
      </c>
      <c r="Y208" t="s">
        <v>500</v>
      </c>
      <c r="Z208" t="s">
        <v>37</v>
      </c>
      <c r="AA208" t="s">
        <v>61</v>
      </c>
      <c r="AB208" t="s">
        <v>37</v>
      </c>
      <c r="AC208" s="6" t="s">
        <v>37</v>
      </c>
      <c r="AD208" s="6" t="s">
        <v>37</v>
      </c>
      <c r="AE208" t="s">
        <v>37</v>
      </c>
      <c r="AF208" t="s">
        <v>37</v>
      </c>
      <c r="AG208" s="6" t="s">
        <v>37</v>
      </c>
      <c r="AH208" t="s">
        <v>37</v>
      </c>
      <c r="AI208" t="s">
        <v>37</v>
      </c>
      <c r="AJ208" t="str">
        <f t="shared" si="11"/>
        <v>5EPWKXSHB07W6GVS5C</v>
      </c>
    </row>
    <row r="209" spans="1:36" ht="15" customHeight="1" x14ac:dyDescent="0.25">
      <c r="A209" t="s">
        <v>67</v>
      </c>
      <c r="B209" t="s">
        <v>37</v>
      </c>
      <c r="C209" t="s">
        <v>37</v>
      </c>
      <c r="D209" t="s">
        <v>38</v>
      </c>
      <c r="E209" s="4">
        <v>4</v>
      </c>
      <c r="F209" s="5">
        <v>272.24</v>
      </c>
      <c r="G209" s="5" t="s">
        <v>39</v>
      </c>
      <c r="H209" s="5">
        <v>442.6</v>
      </c>
      <c r="I209" s="5" t="s">
        <v>39</v>
      </c>
      <c r="J209" s="5">
        <v>9.2561599999999995</v>
      </c>
      <c r="K209" s="5">
        <f t="shared" si="9"/>
        <v>2.3140399999999999</v>
      </c>
      <c r="L209" s="5">
        <f t="shared" si="10"/>
        <v>68.06</v>
      </c>
      <c r="M209" s="5" t="s">
        <v>39</v>
      </c>
      <c r="N209" s="5">
        <v>9.2561599999999995</v>
      </c>
      <c r="O209" s="5" t="s">
        <v>39</v>
      </c>
      <c r="P209" t="s">
        <v>108</v>
      </c>
      <c r="Q209" t="s">
        <v>551</v>
      </c>
      <c r="R209" t="s">
        <v>37</v>
      </c>
      <c r="S209" t="s">
        <v>552</v>
      </c>
      <c r="T209" t="s">
        <v>43</v>
      </c>
      <c r="U209" t="s">
        <v>44</v>
      </c>
      <c r="V209">
        <v>147</v>
      </c>
      <c r="W209" t="s">
        <v>45</v>
      </c>
      <c r="X209" t="s">
        <v>75</v>
      </c>
      <c r="Y209" t="s">
        <v>553</v>
      </c>
      <c r="Z209" t="s">
        <v>37</v>
      </c>
      <c r="AA209" t="s">
        <v>61</v>
      </c>
      <c r="AB209" t="s">
        <v>37</v>
      </c>
      <c r="AC209" s="6" t="s">
        <v>37</v>
      </c>
      <c r="AD209" s="6" t="s">
        <v>37</v>
      </c>
      <c r="AE209" t="s">
        <v>37</v>
      </c>
      <c r="AF209" t="s">
        <v>37</v>
      </c>
      <c r="AG209" s="6" t="s">
        <v>37</v>
      </c>
      <c r="AH209" t="s">
        <v>37</v>
      </c>
      <c r="AI209" t="s">
        <v>37</v>
      </c>
      <c r="AJ209" t="str">
        <f t="shared" si="11"/>
        <v>5HGHPU5OB07W7MQMDF</v>
      </c>
    </row>
    <row r="210" spans="1:36" ht="15" customHeight="1" x14ac:dyDescent="0.25">
      <c r="A210" t="s">
        <v>67</v>
      </c>
      <c r="B210" t="s">
        <v>37</v>
      </c>
      <c r="C210" t="s">
        <v>37</v>
      </c>
      <c r="D210" t="s">
        <v>38</v>
      </c>
      <c r="E210" s="4">
        <v>20</v>
      </c>
      <c r="F210" s="5">
        <v>164</v>
      </c>
      <c r="G210" s="5" t="s">
        <v>39</v>
      </c>
      <c r="H210" s="5">
        <v>227.8</v>
      </c>
      <c r="I210" s="5" t="s">
        <v>39</v>
      </c>
      <c r="J210" s="5">
        <v>5.5759999999999996</v>
      </c>
      <c r="K210" s="5">
        <f t="shared" si="9"/>
        <v>0.27879999999999999</v>
      </c>
      <c r="L210" s="5">
        <f t="shared" si="10"/>
        <v>8.1999999999999993</v>
      </c>
      <c r="M210" s="5" t="s">
        <v>39</v>
      </c>
      <c r="N210" s="5">
        <v>5.5759999999999996</v>
      </c>
      <c r="O210" s="5" t="s">
        <v>39</v>
      </c>
      <c r="P210" t="s">
        <v>323</v>
      </c>
      <c r="Q210" t="s">
        <v>281</v>
      </c>
      <c r="R210" t="s">
        <v>37</v>
      </c>
      <c r="S210" t="s">
        <v>282</v>
      </c>
      <c r="T210" t="s">
        <v>43</v>
      </c>
      <c r="U210" t="s">
        <v>44</v>
      </c>
      <c r="V210">
        <v>147</v>
      </c>
      <c r="W210" t="s">
        <v>45</v>
      </c>
      <c r="X210" t="s">
        <v>75</v>
      </c>
      <c r="Y210" t="s">
        <v>283</v>
      </c>
      <c r="Z210" t="s">
        <v>37</v>
      </c>
      <c r="AA210" t="s">
        <v>61</v>
      </c>
      <c r="AB210" t="s">
        <v>37</v>
      </c>
      <c r="AC210" s="6" t="s">
        <v>37</v>
      </c>
      <c r="AD210" s="6" t="s">
        <v>37</v>
      </c>
      <c r="AE210" t="s">
        <v>37</v>
      </c>
      <c r="AF210" t="s">
        <v>37</v>
      </c>
      <c r="AG210" s="6" t="s">
        <v>37</v>
      </c>
      <c r="AH210" t="s">
        <v>37</v>
      </c>
      <c r="AI210" t="s">
        <v>37</v>
      </c>
      <c r="AJ210" t="str">
        <f t="shared" si="11"/>
        <v>11CZAECYB004LAWLPW</v>
      </c>
    </row>
    <row r="211" spans="1:36" ht="15" customHeight="1" x14ac:dyDescent="0.25">
      <c r="A211" t="s">
        <v>102</v>
      </c>
      <c r="B211" t="s">
        <v>37</v>
      </c>
      <c r="C211" t="s">
        <v>37</v>
      </c>
      <c r="D211" t="s">
        <v>38</v>
      </c>
      <c r="E211" s="4">
        <v>60</v>
      </c>
      <c r="F211" s="5">
        <v>351</v>
      </c>
      <c r="G211" s="5" t="s">
        <v>39</v>
      </c>
      <c r="H211" s="5">
        <v>486.6</v>
      </c>
      <c r="I211" s="5" t="s">
        <v>39</v>
      </c>
      <c r="J211" s="5">
        <v>11.933999999999999</v>
      </c>
      <c r="K211" s="5">
        <f t="shared" si="9"/>
        <v>0.19889999999999999</v>
      </c>
      <c r="L211" s="5">
        <f t="shared" si="10"/>
        <v>5.85</v>
      </c>
      <c r="M211" s="5" t="s">
        <v>39</v>
      </c>
      <c r="N211" s="5">
        <v>11.933999999999999</v>
      </c>
      <c r="O211" s="5" t="s">
        <v>39</v>
      </c>
      <c r="P211" t="s">
        <v>554</v>
      </c>
      <c r="Q211" t="s">
        <v>205</v>
      </c>
      <c r="R211" t="s">
        <v>37</v>
      </c>
      <c r="S211" t="s">
        <v>206</v>
      </c>
      <c r="T211" t="s">
        <v>43</v>
      </c>
      <c r="U211" t="s">
        <v>44</v>
      </c>
      <c r="V211">
        <v>147</v>
      </c>
      <c r="W211" t="s">
        <v>45</v>
      </c>
      <c r="X211" t="s">
        <v>53</v>
      </c>
      <c r="Y211" t="s">
        <v>207</v>
      </c>
      <c r="Z211" t="s">
        <v>37</v>
      </c>
      <c r="AA211" t="s">
        <v>61</v>
      </c>
      <c r="AB211" t="s">
        <v>37</v>
      </c>
      <c r="AC211" s="6" t="s">
        <v>37</v>
      </c>
      <c r="AD211" s="6" t="s">
        <v>37</v>
      </c>
      <c r="AE211" t="s">
        <v>37</v>
      </c>
      <c r="AF211" t="s">
        <v>37</v>
      </c>
      <c r="AG211" s="6" t="s">
        <v>37</v>
      </c>
      <c r="AH211" t="s">
        <v>37</v>
      </c>
      <c r="AI211" t="s">
        <v>37</v>
      </c>
      <c r="AJ211" t="str">
        <f t="shared" si="11"/>
        <v>8JVTHC2JB07H3HGS9R</v>
      </c>
    </row>
    <row r="212" spans="1:36" ht="15" customHeight="1" x14ac:dyDescent="0.25">
      <c r="A212" t="s">
        <v>262</v>
      </c>
      <c r="B212" t="s">
        <v>37</v>
      </c>
      <c r="C212" t="s">
        <v>37</v>
      </c>
      <c r="D212" t="s">
        <v>38</v>
      </c>
      <c r="E212" s="4">
        <v>4</v>
      </c>
      <c r="F212" s="5">
        <v>126.6</v>
      </c>
      <c r="G212" s="5" t="s">
        <v>39</v>
      </c>
      <c r="H212" s="5">
        <v>203.24</v>
      </c>
      <c r="I212" s="5" t="s">
        <v>39</v>
      </c>
      <c r="J212" s="5">
        <v>4.3044000000000002</v>
      </c>
      <c r="K212" s="5">
        <f t="shared" si="9"/>
        <v>1.0761000000000001</v>
      </c>
      <c r="L212" s="5">
        <f t="shared" si="10"/>
        <v>31.65</v>
      </c>
      <c r="M212" s="5" t="s">
        <v>39</v>
      </c>
      <c r="N212" s="5">
        <v>4.3044000000000002</v>
      </c>
      <c r="O212" s="5" t="s">
        <v>39</v>
      </c>
      <c r="P212" t="s">
        <v>108</v>
      </c>
      <c r="Q212" t="s">
        <v>259</v>
      </c>
      <c r="R212" t="s">
        <v>37</v>
      </c>
      <c r="S212" t="s">
        <v>260</v>
      </c>
      <c r="T212" t="s">
        <v>43</v>
      </c>
      <c r="U212" t="s">
        <v>44</v>
      </c>
      <c r="V212">
        <v>147</v>
      </c>
      <c r="W212" t="s">
        <v>45</v>
      </c>
      <c r="X212" t="s">
        <v>53</v>
      </c>
      <c r="Y212" t="s">
        <v>261</v>
      </c>
      <c r="Z212" t="s">
        <v>37</v>
      </c>
      <c r="AA212" t="s">
        <v>61</v>
      </c>
      <c r="AB212" t="s">
        <v>37</v>
      </c>
      <c r="AC212" s="6" t="s">
        <v>37</v>
      </c>
      <c r="AD212" s="6" t="s">
        <v>37</v>
      </c>
      <c r="AE212" t="s">
        <v>37</v>
      </c>
      <c r="AF212" t="s">
        <v>37</v>
      </c>
      <c r="AG212" s="6" t="s">
        <v>37</v>
      </c>
      <c r="AH212" t="s">
        <v>37</v>
      </c>
      <c r="AI212" t="s">
        <v>37</v>
      </c>
      <c r="AJ212" t="str">
        <f t="shared" si="11"/>
        <v>5HGHPU5OB07W6J52LN</v>
      </c>
    </row>
    <row r="213" spans="1:36" ht="15" customHeight="1" x14ac:dyDescent="0.25">
      <c r="A213" t="s">
        <v>67</v>
      </c>
      <c r="B213" t="s">
        <v>37</v>
      </c>
      <c r="C213" t="s">
        <v>37</v>
      </c>
      <c r="D213" t="s">
        <v>38</v>
      </c>
      <c r="E213" s="4">
        <v>42</v>
      </c>
      <c r="F213" s="5">
        <v>852.6</v>
      </c>
      <c r="G213" s="5" t="s">
        <v>39</v>
      </c>
      <c r="H213" s="5">
        <v>1239</v>
      </c>
      <c r="I213" s="5" t="s">
        <v>39</v>
      </c>
      <c r="J213" s="5">
        <v>28.988399999999999</v>
      </c>
      <c r="K213" s="5">
        <f t="shared" si="9"/>
        <v>0.69019999999999992</v>
      </c>
      <c r="L213" s="5">
        <f t="shared" si="10"/>
        <v>20.3</v>
      </c>
      <c r="M213" s="5" t="s">
        <v>39</v>
      </c>
      <c r="N213" s="5">
        <v>28.988399999999999</v>
      </c>
      <c r="O213" s="5" t="s">
        <v>39</v>
      </c>
      <c r="P213" t="s">
        <v>245</v>
      </c>
      <c r="Q213" t="s">
        <v>507</v>
      </c>
      <c r="R213" t="s">
        <v>37</v>
      </c>
      <c r="S213" t="s">
        <v>508</v>
      </c>
      <c r="T213" t="s">
        <v>43</v>
      </c>
      <c r="U213" t="s">
        <v>44</v>
      </c>
      <c r="V213">
        <v>147</v>
      </c>
      <c r="W213" t="s">
        <v>45</v>
      </c>
      <c r="X213" t="s">
        <v>75</v>
      </c>
      <c r="Y213" t="s">
        <v>509</v>
      </c>
      <c r="Z213" t="s">
        <v>37</v>
      </c>
      <c r="AA213" t="s">
        <v>61</v>
      </c>
      <c r="AB213" t="s">
        <v>37</v>
      </c>
      <c r="AC213" s="6" t="s">
        <v>37</v>
      </c>
      <c r="AD213" s="6" t="s">
        <v>37</v>
      </c>
      <c r="AE213" t="s">
        <v>37</v>
      </c>
      <c r="AF213" t="s">
        <v>37</v>
      </c>
      <c r="AG213" s="6" t="s">
        <v>37</v>
      </c>
      <c r="AH213" t="s">
        <v>37</v>
      </c>
      <c r="AI213" t="s">
        <v>37</v>
      </c>
      <c r="AJ213" t="str">
        <f t="shared" si="11"/>
        <v>6ZGQP34KB07W7KJC28</v>
      </c>
    </row>
    <row r="214" spans="1:36" ht="15" customHeight="1" x14ac:dyDescent="0.25">
      <c r="A214" t="s">
        <v>67</v>
      </c>
      <c r="B214" t="s">
        <v>37</v>
      </c>
      <c r="C214" t="s">
        <v>37</v>
      </c>
      <c r="D214" t="s">
        <v>38</v>
      </c>
      <c r="E214" s="4">
        <v>2</v>
      </c>
      <c r="F214" s="5">
        <v>421.04</v>
      </c>
      <c r="G214" s="5" t="s">
        <v>39</v>
      </c>
      <c r="H214" s="5">
        <v>672.12</v>
      </c>
      <c r="I214" s="5" t="s">
        <v>39</v>
      </c>
      <c r="J214" s="5">
        <v>14.31536</v>
      </c>
      <c r="K214" s="5">
        <f t="shared" si="9"/>
        <v>7.15768</v>
      </c>
      <c r="L214" s="5">
        <f t="shared" si="10"/>
        <v>210.52</v>
      </c>
      <c r="M214" s="5" t="s">
        <v>39</v>
      </c>
      <c r="N214" s="5">
        <v>14.31536</v>
      </c>
      <c r="O214" s="5" t="s">
        <v>39</v>
      </c>
      <c r="P214" t="s">
        <v>555</v>
      </c>
      <c r="Q214" t="s">
        <v>216</v>
      </c>
      <c r="R214" t="s">
        <v>37</v>
      </c>
      <c r="S214" t="s">
        <v>217</v>
      </c>
      <c r="T214" t="s">
        <v>43</v>
      </c>
      <c r="U214" t="s">
        <v>44</v>
      </c>
      <c r="V214">
        <v>147</v>
      </c>
      <c r="W214" t="s">
        <v>45</v>
      </c>
      <c r="X214" t="s">
        <v>46</v>
      </c>
      <c r="Y214" t="s">
        <v>218</v>
      </c>
      <c r="Z214" t="s">
        <v>37</v>
      </c>
      <c r="AA214" t="s">
        <v>61</v>
      </c>
      <c r="AB214" t="s">
        <v>37</v>
      </c>
      <c r="AC214" s="6" t="s">
        <v>37</v>
      </c>
      <c r="AD214" s="6" t="s">
        <v>37</v>
      </c>
      <c r="AE214" t="s">
        <v>37</v>
      </c>
      <c r="AF214" t="s">
        <v>37</v>
      </c>
      <c r="AG214" s="6" t="s">
        <v>37</v>
      </c>
      <c r="AH214" t="s">
        <v>37</v>
      </c>
      <c r="AI214" t="s">
        <v>37</v>
      </c>
      <c r="AJ214" t="str">
        <f t="shared" si="11"/>
        <v>2NXVQ1IGB00YUIM2J0</v>
      </c>
    </row>
    <row r="215" spans="1:36" ht="15" customHeight="1" x14ac:dyDescent="0.25">
      <c r="A215" t="s">
        <v>133</v>
      </c>
      <c r="B215" t="s">
        <v>37</v>
      </c>
      <c r="C215" t="s">
        <v>37</v>
      </c>
      <c r="D215" t="s">
        <v>38</v>
      </c>
      <c r="E215" s="4">
        <v>12</v>
      </c>
      <c r="F215" s="5">
        <v>816.72</v>
      </c>
      <c r="G215" s="5" t="s">
        <v>39</v>
      </c>
      <c r="H215" s="5">
        <v>1524.48</v>
      </c>
      <c r="I215" s="5" t="s">
        <v>39</v>
      </c>
      <c r="J215" s="5">
        <v>27.76848</v>
      </c>
      <c r="K215" s="5">
        <f t="shared" si="9"/>
        <v>2.3140399999999999</v>
      </c>
      <c r="L215" s="5">
        <f t="shared" si="10"/>
        <v>68.06</v>
      </c>
      <c r="M215" s="5" t="s">
        <v>39</v>
      </c>
      <c r="N215" s="5">
        <v>27.76848</v>
      </c>
      <c r="O215" s="5" t="s">
        <v>39</v>
      </c>
      <c r="P215" t="s">
        <v>189</v>
      </c>
      <c r="Q215" t="s">
        <v>405</v>
      </c>
      <c r="R215" t="s">
        <v>37</v>
      </c>
      <c r="S215" t="s">
        <v>406</v>
      </c>
      <c r="T215" t="s">
        <v>43</v>
      </c>
      <c r="U215" t="s">
        <v>44</v>
      </c>
      <c r="V215">
        <v>147</v>
      </c>
      <c r="W215" t="s">
        <v>45</v>
      </c>
      <c r="X215" t="s">
        <v>46</v>
      </c>
      <c r="Y215" t="s">
        <v>407</v>
      </c>
      <c r="Z215" t="s">
        <v>37</v>
      </c>
      <c r="AA215" t="s">
        <v>61</v>
      </c>
      <c r="AB215" t="s">
        <v>37</v>
      </c>
      <c r="AC215" s="6" t="s">
        <v>37</v>
      </c>
      <c r="AD215" s="6" t="s">
        <v>37</v>
      </c>
      <c r="AE215" t="s">
        <v>37</v>
      </c>
      <c r="AF215" t="s">
        <v>37</v>
      </c>
      <c r="AG215" s="6" t="s">
        <v>37</v>
      </c>
      <c r="AH215" t="s">
        <v>37</v>
      </c>
      <c r="AI215" t="s">
        <v>37</v>
      </c>
      <c r="AJ215" t="str">
        <f t="shared" si="11"/>
        <v>6DPU2MKPB07G5XJLWK</v>
      </c>
    </row>
    <row r="216" spans="1:36" ht="15" customHeight="1" x14ac:dyDescent="0.25">
      <c r="A216" t="s">
        <v>133</v>
      </c>
      <c r="B216" t="s">
        <v>37</v>
      </c>
      <c r="C216" t="s">
        <v>37</v>
      </c>
      <c r="D216" t="s">
        <v>38</v>
      </c>
      <c r="E216" s="4">
        <v>90</v>
      </c>
      <c r="F216" s="5">
        <v>4199.3999999999996</v>
      </c>
      <c r="G216" s="5" t="s">
        <v>39</v>
      </c>
      <c r="H216" s="5">
        <v>4199.3999999999996</v>
      </c>
      <c r="I216" s="5" t="s">
        <v>39</v>
      </c>
      <c r="J216" s="5">
        <v>142.77959999999999</v>
      </c>
      <c r="K216" s="5">
        <f t="shared" si="9"/>
        <v>1.5864399999999999</v>
      </c>
      <c r="L216" s="5">
        <f t="shared" si="10"/>
        <v>46.66</v>
      </c>
      <c r="M216" s="5" t="s">
        <v>39</v>
      </c>
      <c r="N216" s="5">
        <v>142.77959999999999</v>
      </c>
      <c r="O216" s="5" t="s">
        <v>39</v>
      </c>
      <c r="P216" t="s">
        <v>116</v>
      </c>
      <c r="Q216" t="s">
        <v>556</v>
      </c>
      <c r="R216" t="s">
        <v>37</v>
      </c>
      <c r="S216" t="s">
        <v>557</v>
      </c>
      <c r="T216" t="s">
        <v>43</v>
      </c>
      <c r="U216" t="s">
        <v>44</v>
      </c>
      <c r="V216">
        <v>147</v>
      </c>
      <c r="W216" t="s">
        <v>45</v>
      </c>
      <c r="X216" t="s">
        <v>177</v>
      </c>
      <c r="Y216" t="s">
        <v>558</v>
      </c>
      <c r="Z216" t="s">
        <v>37</v>
      </c>
      <c r="AA216" t="s">
        <v>61</v>
      </c>
      <c r="AB216" t="s">
        <v>37</v>
      </c>
      <c r="AC216" s="6" t="s">
        <v>37</v>
      </c>
      <c r="AD216" s="6" t="s">
        <v>37</v>
      </c>
      <c r="AE216" t="s">
        <v>37</v>
      </c>
      <c r="AF216" t="s">
        <v>37</v>
      </c>
      <c r="AG216" s="6" t="s">
        <v>37</v>
      </c>
      <c r="AH216" t="s">
        <v>37</v>
      </c>
      <c r="AI216" t="s">
        <v>37</v>
      </c>
      <c r="AJ216" t="str">
        <f t="shared" si="11"/>
        <v>3S7Y1OIVB00C3VSZEW</v>
      </c>
    </row>
    <row r="217" spans="1:36" ht="15" customHeight="1" x14ac:dyDescent="0.25">
      <c r="A217" t="s">
        <v>127</v>
      </c>
      <c r="B217" t="s">
        <v>37</v>
      </c>
      <c r="C217" t="s">
        <v>37</v>
      </c>
      <c r="D217" t="s">
        <v>38</v>
      </c>
      <c r="E217" s="4">
        <v>70</v>
      </c>
      <c r="F217" s="5">
        <v>696.5</v>
      </c>
      <c r="G217" s="5" t="s">
        <v>39</v>
      </c>
      <c r="H217" s="5">
        <v>867.3</v>
      </c>
      <c r="I217" s="5" t="s">
        <v>39</v>
      </c>
      <c r="J217" s="5">
        <v>23.681000000000001</v>
      </c>
      <c r="K217" s="5">
        <f t="shared" si="9"/>
        <v>0.33829999999999999</v>
      </c>
      <c r="L217" s="5">
        <f t="shared" si="10"/>
        <v>9.9499999999999993</v>
      </c>
      <c r="M217" s="5" t="s">
        <v>39</v>
      </c>
      <c r="N217" s="5">
        <v>23.681000000000001</v>
      </c>
      <c r="O217" s="5" t="s">
        <v>39</v>
      </c>
      <c r="P217" t="s">
        <v>208</v>
      </c>
      <c r="Q217" t="s">
        <v>559</v>
      </c>
      <c r="R217" t="s">
        <v>37</v>
      </c>
      <c r="S217" t="s">
        <v>560</v>
      </c>
      <c r="T217" t="s">
        <v>43</v>
      </c>
      <c r="U217" t="s">
        <v>44</v>
      </c>
      <c r="V217">
        <v>147</v>
      </c>
      <c r="W217" t="s">
        <v>45</v>
      </c>
      <c r="X217" t="s">
        <v>75</v>
      </c>
      <c r="Y217" t="s">
        <v>561</v>
      </c>
      <c r="Z217" t="s">
        <v>37</v>
      </c>
      <c r="AA217" t="s">
        <v>61</v>
      </c>
      <c r="AB217" t="s">
        <v>37</v>
      </c>
      <c r="AC217" s="6" t="s">
        <v>37</v>
      </c>
      <c r="AD217" s="6" t="s">
        <v>37</v>
      </c>
      <c r="AE217" t="s">
        <v>37</v>
      </c>
      <c r="AF217" t="s">
        <v>37</v>
      </c>
      <c r="AG217" s="6" t="s">
        <v>37</v>
      </c>
      <c r="AH217" t="s">
        <v>37</v>
      </c>
      <c r="AI217" t="s">
        <v>37</v>
      </c>
      <c r="AJ217" t="str">
        <f t="shared" si="11"/>
        <v>2WFUPSOGB004APAH40</v>
      </c>
    </row>
    <row r="218" spans="1:36" ht="15" customHeight="1" x14ac:dyDescent="0.25">
      <c r="A218" t="s">
        <v>36</v>
      </c>
      <c r="B218" t="s">
        <v>37</v>
      </c>
      <c r="C218" t="s">
        <v>37</v>
      </c>
      <c r="D218" t="s">
        <v>38</v>
      </c>
      <c r="E218" s="4">
        <v>76</v>
      </c>
      <c r="F218" s="5">
        <v>2405.4</v>
      </c>
      <c r="G218" s="5" t="s">
        <v>39</v>
      </c>
      <c r="H218" s="5">
        <v>3861.56</v>
      </c>
      <c r="I218" s="5" t="s">
        <v>39</v>
      </c>
      <c r="J218" s="5">
        <v>81.783600000000007</v>
      </c>
      <c r="K218" s="5">
        <f t="shared" si="9"/>
        <v>1.0761000000000001</v>
      </c>
      <c r="L218" s="5">
        <f t="shared" si="10"/>
        <v>31.650000000000002</v>
      </c>
      <c r="M218" s="5" t="s">
        <v>39</v>
      </c>
      <c r="N218" s="5">
        <v>81.783600000000007</v>
      </c>
      <c r="O218" s="5" t="s">
        <v>39</v>
      </c>
      <c r="P218" t="s">
        <v>89</v>
      </c>
      <c r="Q218" t="s">
        <v>259</v>
      </c>
      <c r="R218" t="s">
        <v>37</v>
      </c>
      <c r="S218" t="s">
        <v>260</v>
      </c>
      <c r="T218" t="s">
        <v>43</v>
      </c>
      <c r="U218" t="s">
        <v>44</v>
      </c>
      <c r="V218">
        <v>147</v>
      </c>
      <c r="W218" t="s">
        <v>45</v>
      </c>
      <c r="X218" t="s">
        <v>53</v>
      </c>
      <c r="Y218" t="s">
        <v>261</v>
      </c>
      <c r="Z218" t="s">
        <v>37</v>
      </c>
      <c r="AA218" t="s">
        <v>61</v>
      </c>
      <c r="AB218" t="s">
        <v>37</v>
      </c>
      <c r="AC218" s="6" t="s">
        <v>37</v>
      </c>
      <c r="AD218" s="6" t="s">
        <v>37</v>
      </c>
      <c r="AE218" t="s">
        <v>37</v>
      </c>
      <c r="AF218" t="s">
        <v>37</v>
      </c>
      <c r="AG218" s="6" t="s">
        <v>37</v>
      </c>
      <c r="AH218" t="s">
        <v>37</v>
      </c>
      <c r="AI218" t="s">
        <v>37</v>
      </c>
      <c r="AJ218" t="str">
        <f t="shared" si="11"/>
        <v>6D1HFTMSB07W6J52LN</v>
      </c>
    </row>
    <row r="219" spans="1:36" ht="15" customHeight="1" x14ac:dyDescent="0.25">
      <c r="A219" t="s">
        <v>36</v>
      </c>
      <c r="B219" t="s">
        <v>37</v>
      </c>
      <c r="C219" t="s">
        <v>37</v>
      </c>
      <c r="D219" t="s">
        <v>38</v>
      </c>
      <c r="E219" s="4">
        <v>30</v>
      </c>
      <c r="F219" s="5">
        <v>439.2</v>
      </c>
      <c r="G219" s="5" t="s">
        <v>39</v>
      </c>
      <c r="H219" s="5">
        <v>639</v>
      </c>
      <c r="I219" s="5" t="s">
        <v>39</v>
      </c>
      <c r="J219" s="5">
        <v>14.9328</v>
      </c>
      <c r="K219" s="5">
        <f t="shared" si="9"/>
        <v>0.49776000000000004</v>
      </c>
      <c r="L219" s="5">
        <f t="shared" si="10"/>
        <v>14.639999999999999</v>
      </c>
      <c r="M219" s="5" t="s">
        <v>39</v>
      </c>
      <c r="N219" s="5">
        <v>14.9328</v>
      </c>
      <c r="O219" s="5" t="s">
        <v>39</v>
      </c>
      <c r="P219" t="s">
        <v>377</v>
      </c>
      <c r="Q219" t="s">
        <v>562</v>
      </c>
      <c r="R219" t="s">
        <v>37</v>
      </c>
      <c r="S219" t="s">
        <v>563</v>
      </c>
      <c r="T219" t="s">
        <v>43</v>
      </c>
      <c r="U219" t="s">
        <v>44</v>
      </c>
      <c r="V219">
        <v>147</v>
      </c>
      <c r="W219" t="s">
        <v>45</v>
      </c>
      <c r="X219" t="s">
        <v>75</v>
      </c>
      <c r="Y219" t="s">
        <v>564</v>
      </c>
      <c r="Z219" t="s">
        <v>37</v>
      </c>
      <c r="AA219" t="s">
        <v>61</v>
      </c>
      <c r="AB219" t="s">
        <v>37</v>
      </c>
      <c r="AC219" s="6" t="s">
        <v>37</v>
      </c>
      <c r="AD219" s="6" t="s">
        <v>37</v>
      </c>
      <c r="AE219" t="s">
        <v>37</v>
      </c>
      <c r="AF219" t="s">
        <v>37</v>
      </c>
      <c r="AG219" s="6" t="s">
        <v>37</v>
      </c>
      <c r="AH219" t="s">
        <v>37</v>
      </c>
      <c r="AI219" t="s">
        <v>37</v>
      </c>
      <c r="AJ219" t="str">
        <f t="shared" si="11"/>
        <v>5IZH76JAB077BT728N</v>
      </c>
    </row>
    <row r="220" spans="1:36" ht="15" customHeight="1" x14ac:dyDescent="0.25">
      <c r="A220" t="s">
        <v>36</v>
      </c>
      <c r="B220" t="s">
        <v>37</v>
      </c>
      <c r="C220" t="s">
        <v>37</v>
      </c>
      <c r="D220" t="s">
        <v>38</v>
      </c>
      <c r="E220" s="4">
        <v>8</v>
      </c>
      <c r="F220" s="5">
        <v>544.48</v>
      </c>
      <c r="G220" s="5" t="s">
        <v>39</v>
      </c>
      <c r="H220" s="5">
        <v>885.2</v>
      </c>
      <c r="I220" s="5" t="s">
        <v>39</v>
      </c>
      <c r="J220" s="5">
        <v>18.512319999999999</v>
      </c>
      <c r="K220" s="5">
        <f t="shared" si="9"/>
        <v>2.3140399999999999</v>
      </c>
      <c r="L220" s="5">
        <f t="shared" si="10"/>
        <v>68.06</v>
      </c>
      <c r="M220" s="5" t="s">
        <v>39</v>
      </c>
      <c r="N220" s="5">
        <v>18.512319999999999</v>
      </c>
      <c r="O220" s="5" t="s">
        <v>39</v>
      </c>
      <c r="P220" t="s">
        <v>55</v>
      </c>
      <c r="Q220" t="s">
        <v>139</v>
      </c>
      <c r="R220" t="s">
        <v>37</v>
      </c>
      <c r="S220" t="s">
        <v>140</v>
      </c>
      <c r="T220" t="s">
        <v>43</v>
      </c>
      <c r="U220" t="s">
        <v>44</v>
      </c>
      <c r="V220">
        <v>147</v>
      </c>
      <c r="W220" t="s">
        <v>45</v>
      </c>
      <c r="X220" t="s">
        <v>46</v>
      </c>
      <c r="Y220" t="s">
        <v>141</v>
      </c>
      <c r="Z220" t="s">
        <v>37</v>
      </c>
      <c r="AA220" t="s">
        <v>61</v>
      </c>
      <c r="AB220" t="s">
        <v>37</v>
      </c>
      <c r="AC220" s="6" t="s">
        <v>37</v>
      </c>
      <c r="AD220" s="6" t="s">
        <v>37</v>
      </c>
      <c r="AE220" t="s">
        <v>37</v>
      </c>
      <c r="AF220" t="s">
        <v>37</v>
      </c>
      <c r="AG220" s="6" t="s">
        <v>37</v>
      </c>
      <c r="AH220" t="s">
        <v>37</v>
      </c>
      <c r="AI220" t="s">
        <v>37</v>
      </c>
      <c r="AJ220" t="str">
        <f t="shared" si="11"/>
        <v>3WIANGOBB073399S1L</v>
      </c>
    </row>
    <row r="221" spans="1:36" ht="15" customHeight="1" x14ac:dyDescent="0.25">
      <c r="A221" t="s">
        <v>102</v>
      </c>
      <c r="B221" t="s">
        <v>37</v>
      </c>
      <c r="C221" t="s">
        <v>37</v>
      </c>
      <c r="D221" t="s">
        <v>38</v>
      </c>
      <c r="E221" s="4">
        <v>100</v>
      </c>
      <c r="F221" s="5">
        <v>1464</v>
      </c>
      <c r="G221" s="5" t="s">
        <v>39</v>
      </c>
      <c r="H221" s="5">
        <v>2130</v>
      </c>
      <c r="I221" s="5" t="s">
        <v>39</v>
      </c>
      <c r="J221" s="5">
        <v>49.776000000000003</v>
      </c>
      <c r="K221" s="5">
        <f t="shared" si="9"/>
        <v>0.49776000000000004</v>
      </c>
      <c r="L221" s="5">
        <f t="shared" si="10"/>
        <v>14.64</v>
      </c>
      <c r="M221" s="5" t="s">
        <v>39</v>
      </c>
      <c r="N221" s="5">
        <v>49.776000000000003</v>
      </c>
      <c r="O221" s="5" t="s">
        <v>39</v>
      </c>
      <c r="P221" t="s">
        <v>377</v>
      </c>
      <c r="Q221" t="s">
        <v>562</v>
      </c>
      <c r="R221" t="s">
        <v>37</v>
      </c>
      <c r="S221" t="s">
        <v>563</v>
      </c>
      <c r="T221" t="s">
        <v>43</v>
      </c>
      <c r="U221" t="s">
        <v>44</v>
      </c>
      <c r="V221">
        <v>147</v>
      </c>
      <c r="W221" t="s">
        <v>45</v>
      </c>
      <c r="X221" t="s">
        <v>75</v>
      </c>
      <c r="Y221" t="s">
        <v>564</v>
      </c>
      <c r="Z221" t="s">
        <v>37</v>
      </c>
      <c r="AA221" t="s">
        <v>61</v>
      </c>
      <c r="AB221" t="s">
        <v>37</v>
      </c>
      <c r="AC221" s="6" t="s">
        <v>37</v>
      </c>
      <c r="AD221" s="6" t="s">
        <v>37</v>
      </c>
      <c r="AE221" t="s">
        <v>37</v>
      </c>
      <c r="AF221" t="s">
        <v>37</v>
      </c>
      <c r="AG221" s="6" t="s">
        <v>37</v>
      </c>
      <c r="AH221" t="s">
        <v>37</v>
      </c>
      <c r="AI221" t="s">
        <v>37</v>
      </c>
      <c r="AJ221" t="str">
        <f t="shared" si="11"/>
        <v>5IZH76JAB077BT728N</v>
      </c>
    </row>
    <row r="222" spans="1:36" ht="15" customHeight="1" x14ac:dyDescent="0.25">
      <c r="A222" t="s">
        <v>133</v>
      </c>
      <c r="B222" t="s">
        <v>37</v>
      </c>
      <c r="C222" t="s">
        <v>37</v>
      </c>
      <c r="D222" t="s">
        <v>38</v>
      </c>
      <c r="E222" s="4">
        <v>32</v>
      </c>
      <c r="F222" s="5">
        <v>936.96</v>
      </c>
      <c r="G222" s="5" t="s">
        <v>39</v>
      </c>
      <c r="H222" s="5">
        <v>1363.52</v>
      </c>
      <c r="I222" s="5" t="s">
        <v>39</v>
      </c>
      <c r="J222" s="5">
        <v>31.856639999999999</v>
      </c>
      <c r="K222" s="5">
        <f t="shared" si="9"/>
        <v>0.99551999999999996</v>
      </c>
      <c r="L222" s="5">
        <f t="shared" si="10"/>
        <v>29.28</v>
      </c>
      <c r="M222" s="5" t="s">
        <v>39</v>
      </c>
      <c r="N222" s="5">
        <v>31.856639999999999</v>
      </c>
      <c r="O222" s="5" t="s">
        <v>39</v>
      </c>
      <c r="P222" t="s">
        <v>189</v>
      </c>
      <c r="Q222" t="s">
        <v>454</v>
      </c>
      <c r="R222" t="s">
        <v>37</v>
      </c>
      <c r="S222" t="s">
        <v>455</v>
      </c>
      <c r="T222" t="s">
        <v>43</v>
      </c>
      <c r="U222" t="s">
        <v>44</v>
      </c>
      <c r="V222">
        <v>147</v>
      </c>
      <c r="W222" t="s">
        <v>45</v>
      </c>
      <c r="X222" t="s">
        <v>456</v>
      </c>
      <c r="Y222" t="s">
        <v>457</v>
      </c>
      <c r="Z222" t="s">
        <v>37</v>
      </c>
      <c r="AA222" t="s">
        <v>61</v>
      </c>
      <c r="AB222" t="s">
        <v>37</v>
      </c>
      <c r="AC222" s="6" t="s">
        <v>37</v>
      </c>
      <c r="AD222" s="6" t="s">
        <v>37</v>
      </c>
      <c r="AE222" t="s">
        <v>37</v>
      </c>
      <c r="AF222" t="s">
        <v>37</v>
      </c>
      <c r="AG222" s="6" t="s">
        <v>37</v>
      </c>
      <c r="AH222" t="s">
        <v>37</v>
      </c>
      <c r="AI222" t="s">
        <v>37</v>
      </c>
      <c r="AJ222" t="str">
        <f t="shared" si="11"/>
        <v>6DPU2MKPB07W5JK27G</v>
      </c>
    </row>
    <row r="223" spans="1:36" ht="15" customHeight="1" x14ac:dyDescent="0.25">
      <c r="A223" t="s">
        <v>49</v>
      </c>
      <c r="B223" t="s">
        <v>37</v>
      </c>
      <c r="C223" t="s">
        <v>37</v>
      </c>
      <c r="D223" t="s">
        <v>38</v>
      </c>
      <c r="E223" s="4">
        <v>30</v>
      </c>
      <c r="F223" s="5">
        <v>1740</v>
      </c>
      <c r="G223" s="5" t="s">
        <v>39</v>
      </c>
      <c r="H223" s="5">
        <v>2557.1999999999998</v>
      </c>
      <c r="I223" s="5" t="s">
        <v>39</v>
      </c>
      <c r="J223" s="5">
        <v>59.16</v>
      </c>
      <c r="K223" s="5">
        <f t="shared" si="9"/>
        <v>1.972</v>
      </c>
      <c r="L223" s="5">
        <f t="shared" si="10"/>
        <v>58</v>
      </c>
      <c r="M223" s="5" t="s">
        <v>39</v>
      </c>
      <c r="N223" s="5">
        <v>59.16</v>
      </c>
      <c r="O223" s="5" t="s">
        <v>39</v>
      </c>
      <c r="P223" t="s">
        <v>565</v>
      </c>
      <c r="Q223" t="s">
        <v>566</v>
      </c>
      <c r="R223" t="s">
        <v>37</v>
      </c>
      <c r="S223" t="s">
        <v>567</v>
      </c>
      <c r="T223" t="s">
        <v>43</v>
      </c>
      <c r="U223" t="s">
        <v>44</v>
      </c>
      <c r="V223">
        <v>147</v>
      </c>
      <c r="W223" t="s">
        <v>45</v>
      </c>
      <c r="X223" t="s">
        <v>53</v>
      </c>
      <c r="Y223" t="s">
        <v>568</v>
      </c>
      <c r="Z223" t="s">
        <v>37</v>
      </c>
      <c r="AA223" t="s">
        <v>61</v>
      </c>
      <c r="AB223" t="s">
        <v>37</v>
      </c>
      <c r="AC223" s="6" t="s">
        <v>37</v>
      </c>
      <c r="AD223" s="6" t="s">
        <v>37</v>
      </c>
      <c r="AE223" t="s">
        <v>37</v>
      </c>
      <c r="AF223" t="s">
        <v>37</v>
      </c>
      <c r="AG223" s="6" t="s">
        <v>37</v>
      </c>
      <c r="AH223" t="s">
        <v>37</v>
      </c>
      <c r="AI223" t="s">
        <v>37</v>
      </c>
      <c r="AJ223" t="str">
        <f t="shared" si="11"/>
        <v>8TP6LKKAB07W5JHLCB</v>
      </c>
    </row>
    <row r="224" spans="1:36" ht="15" customHeight="1" x14ac:dyDescent="0.25">
      <c r="A224" t="s">
        <v>36</v>
      </c>
      <c r="B224" t="s">
        <v>37</v>
      </c>
      <c r="C224" t="s">
        <v>37</v>
      </c>
      <c r="D224" t="s">
        <v>38</v>
      </c>
      <c r="E224" s="4">
        <v>48</v>
      </c>
      <c r="F224" s="5">
        <v>506.4</v>
      </c>
      <c r="G224" s="5" t="s">
        <v>39</v>
      </c>
      <c r="H224" s="5">
        <v>825.6</v>
      </c>
      <c r="I224" s="5" t="s">
        <v>39</v>
      </c>
      <c r="J224" s="5">
        <v>17.217600000000001</v>
      </c>
      <c r="K224" s="5">
        <f t="shared" si="9"/>
        <v>0.35870000000000002</v>
      </c>
      <c r="L224" s="5">
        <f t="shared" si="10"/>
        <v>10.549999999999999</v>
      </c>
      <c r="M224" s="5" t="s">
        <v>39</v>
      </c>
      <c r="N224" s="5">
        <v>17.217600000000001</v>
      </c>
      <c r="O224" s="5" t="s">
        <v>39</v>
      </c>
      <c r="P224" t="s">
        <v>569</v>
      </c>
      <c r="Q224" t="s">
        <v>287</v>
      </c>
      <c r="R224" t="s">
        <v>37</v>
      </c>
      <c r="S224" t="s">
        <v>288</v>
      </c>
      <c r="T224" t="s">
        <v>43</v>
      </c>
      <c r="U224" t="s">
        <v>44</v>
      </c>
      <c r="V224">
        <v>147</v>
      </c>
      <c r="W224" t="s">
        <v>45</v>
      </c>
      <c r="X224" t="s">
        <v>46</v>
      </c>
      <c r="Y224" t="s">
        <v>289</v>
      </c>
      <c r="Z224" t="s">
        <v>37</v>
      </c>
      <c r="AA224" t="s">
        <v>48</v>
      </c>
      <c r="AB224" t="s">
        <v>37</v>
      </c>
      <c r="AC224" s="6" t="s">
        <v>37</v>
      </c>
      <c r="AD224" s="6" t="s">
        <v>37</v>
      </c>
      <c r="AE224" t="s">
        <v>37</v>
      </c>
      <c r="AF224" t="s">
        <v>37</v>
      </c>
      <c r="AG224" s="6" t="s">
        <v>37</v>
      </c>
      <c r="AH224" t="s">
        <v>37</v>
      </c>
      <c r="AI224" t="s">
        <v>37</v>
      </c>
      <c r="AJ224" t="str">
        <f t="shared" si="11"/>
        <v>5GJU9A7GB01DKTP3X6</v>
      </c>
    </row>
    <row r="225" spans="1:36" ht="15" customHeight="1" x14ac:dyDescent="0.25">
      <c r="A225" t="s">
        <v>133</v>
      </c>
      <c r="B225" t="s">
        <v>37</v>
      </c>
      <c r="C225" t="s">
        <v>37</v>
      </c>
      <c r="D225" t="s">
        <v>38</v>
      </c>
      <c r="E225" s="4">
        <v>240</v>
      </c>
      <c r="F225" s="5">
        <v>3513.6</v>
      </c>
      <c r="G225" s="5" t="s">
        <v>39</v>
      </c>
      <c r="H225" s="5">
        <v>5112</v>
      </c>
      <c r="I225" s="5" t="s">
        <v>39</v>
      </c>
      <c r="J225" s="5">
        <v>119.4624</v>
      </c>
      <c r="K225" s="5">
        <f t="shared" si="9"/>
        <v>0.49776000000000004</v>
      </c>
      <c r="L225" s="5">
        <f t="shared" si="10"/>
        <v>14.639999999999999</v>
      </c>
      <c r="M225" s="5" t="s">
        <v>39</v>
      </c>
      <c r="N225" s="5">
        <v>119.4624</v>
      </c>
      <c r="O225" s="5" t="s">
        <v>39</v>
      </c>
      <c r="P225" t="s">
        <v>219</v>
      </c>
      <c r="Q225" t="s">
        <v>369</v>
      </c>
      <c r="R225" t="s">
        <v>37</v>
      </c>
      <c r="S225" t="s">
        <v>370</v>
      </c>
      <c r="T225" t="s">
        <v>43</v>
      </c>
      <c r="U225" t="s">
        <v>44</v>
      </c>
      <c r="V225">
        <v>147</v>
      </c>
      <c r="W225" t="s">
        <v>45</v>
      </c>
      <c r="X225" t="s">
        <v>75</v>
      </c>
      <c r="Y225" t="s">
        <v>371</v>
      </c>
      <c r="Z225" t="s">
        <v>37</v>
      </c>
      <c r="AA225" t="s">
        <v>61</v>
      </c>
      <c r="AB225" t="s">
        <v>37</v>
      </c>
      <c r="AC225" s="6" t="s">
        <v>37</v>
      </c>
      <c r="AD225" s="6" t="s">
        <v>37</v>
      </c>
      <c r="AE225" t="s">
        <v>37</v>
      </c>
      <c r="AF225" t="s">
        <v>37</v>
      </c>
      <c r="AG225" s="6" t="s">
        <v>37</v>
      </c>
      <c r="AH225" t="s">
        <v>37</v>
      </c>
      <c r="AI225" t="s">
        <v>37</v>
      </c>
      <c r="AJ225" t="str">
        <f t="shared" si="11"/>
        <v>5EPWKXSHB004CM47VU</v>
      </c>
    </row>
    <row r="226" spans="1:36" ht="15" customHeight="1" x14ac:dyDescent="0.25">
      <c r="A226" t="s">
        <v>36</v>
      </c>
      <c r="B226" t="s">
        <v>37</v>
      </c>
      <c r="C226" t="s">
        <v>37</v>
      </c>
      <c r="D226" t="s">
        <v>38</v>
      </c>
      <c r="E226" s="4">
        <v>20</v>
      </c>
      <c r="F226" s="5">
        <v>292.8</v>
      </c>
      <c r="G226" s="5" t="s">
        <v>39</v>
      </c>
      <c r="H226" s="5">
        <v>292.8</v>
      </c>
      <c r="I226" s="5" t="s">
        <v>39</v>
      </c>
      <c r="J226" s="5">
        <v>9.9551999999999996</v>
      </c>
      <c r="K226" s="5">
        <f t="shared" si="9"/>
        <v>0.49775999999999998</v>
      </c>
      <c r="L226" s="5">
        <f t="shared" si="10"/>
        <v>14.64</v>
      </c>
      <c r="M226" s="5" t="s">
        <v>39</v>
      </c>
      <c r="N226" s="5">
        <v>9.9551999999999996</v>
      </c>
      <c r="O226" s="5" t="s">
        <v>39</v>
      </c>
      <c r="P226" t="s">
        <v>167</v>
      </c>
      <c r="Q226" t="s">
        <v>570</v>
      </c>
      <c r="R226" t="s">
        <v>37</v>
      </c>
      <c r="S226" t="s">
        <v>571</v>
      </c>
      <c r="T226" t="s">
        <v>43</v>
      </c>
      <c r="U226" t="s">
        <v>44</v>
      </c>
      <c r="V226">
        <v>147</v>
      </c>
      <c r="W226" t="s">
        <v>45</v>
      </c>
      <c r="X226" t="s">
        <v>75</v>
      </c>
      <c r="Y226" t="s">
        <v>572</v>
      </c>
      <c r="Z226" t="s">
        <v>37</v>
      </c>
      <c r="AA226" t="s">
        <v>61</v>
      </c>
      <c r="AB226" t="s">
        <v>37</v>
      </c>
      <c r="AC226" s="6" t="s">
        <v>37</v>
      </c>
      <c r="AD226" s="6" t="s">
        <v>37</v>
      </c>
      <c r="AE226" t="s">
        <v>37</v>
      </c>
      <c r="AF226" t="s">
        <v>37</v>
      </c>
      <c r="AG226" s="6" t="s">
        <v>37</v>
      </c>
      <c r="AH226" t="s">
        <v>37</v>
      </c>
      <c r="AI226" t="s">
        <v>37</v>
      </c>
      <c r="AJ226" t="str">
        <f t="shared" si="11"/>
        <v>4FFLHW5MB00EJ3RN7C</v>
      </c>
    </row>
    <row r="227" spans="1:36" ht="15" customHeight="1" x14ac:dyDescent="0.25">
      <c r="A227" t="s">
        <v>67</v>
      </c>
      <c r="B227" t="s">
        <v>37</v>
      </c>
      <c r="C227" t="s">
        <v>37</v>
      </c>
      <c r="D227" t="s">
        <v>38</v>
      </c>
      <c r="E227" s="4">
        <v>60</v>
      </c>
      <c r="F227" s="5">
        <v>351</v>
      </c>
      <c r="G227" s="5" t="s">
        <v>39</v>
      </c>
      <c r="H227" s="5">
        <v>486.6</v>
      </c>
      <c r="I227" s="5" t="s">
        <v>39</v>
      </c>
      <c r="J227" s="5">
        <v>11.933999999999999</v>
      </c>
      <c r="K227" s="5">
        <f t="shared" si="9"/>
        <v>0.19889999999999999</v>
      </c>
      <c r="L227" s="5">
        <f t="shared" si="10"/>
        <v>5.85</v>
      </c>
      <c r="M227" s="5" t="s">
        <v>39</v>
      </c>
      <c r="N227" s="5">
        <v>11.933999999999999</v>
      </c>
      <c r="O227" s="5" t="s">
        <v>39</v>
      </c>
      <c r="P227" t="s">
        <v>573</v>
      </c>
      <c r="Q227" t="s">
        <v>205</v>
      </c>
      <c r="R227" t="s">
        <v>37</v>
      </c>
      <c r="S227" t="s">
        <v>206</v>
      </c>
      <c r="T227" t="s">
        <v>43</v>
      </c>
      <c r="U227" t="s">
        <v>44</v>
      </c>
      <c r="V227">
        <v>147</v>
      </c>
      <c r="W227" t="s">
        <v>45</v>
      </c>
      <c r="X227" t="s">
        <v>53</v>
      </c>
      <c r="Y227" t="s">
        <v>207</v>
      </c>
      <c r="Z227" t="s">
        <v>37</v>
      </c>
      <c r="AA227" t="s">
        <v>61</v>
      </c>
      <c r="AB227" t="s">
        <v>37</v>
      </c>
      <c r="AC227" s="6" t="s">
        <v>37</v>
      </c>
      <c r="AD227" s="6" t="s">
        <v>37</v>
      </c>
      <c r="AE227" t="s">
        <v>37</v>
      </c>
      <c r="AF227" t="s">
        <v>37</v>
      </c>
      <c r="AG227" s="6" t="s">
        <v>37</v>
      </c>
      <c r="AH227" t="s">
        <v>37</v>
      </c>
      <c r="AI227" t="s">
        <v>37</v>
      </c>
      <c r="AJ227" t="str">
        <f t="shared" si="11"/>
        <v>5TC236HGB07H3HGS9R</v>
      </c>
    </row>
    <row r="228" spans="1:36" ht="15" customHeight="1" x14ac:dyDescent="0.25">
      <c r="A228" t="s">
        <v>101</v>
      </c>
      <c r="B228" t="s">
        <v>37</v>
      </c>
      <c r="C228" t="s">
        <v>37</v>
      </c>
      <c r="D228" t="s">
        <v>38</v>
      </c>
      <c r="E228" s="4">
        <v>0</v>
      </c>
      <c r="F228" s="5">
        <v>0</v>
      </c>
      <c r="G228" s="5" t="s">
        <v>39</v>
      </c>
      <c r="H228" s="5">
        <v>0</v>
      </c>
      <c r="I228" s="5" t="s">
        <v>39</v>
      </c>
      <c r="J228" s="5">
        <v>0</v>
      </c>
      <c r="K228" s="5" t="e">
        <f t="shared" si="9"/>
        <v>#DIV/0!</v>
      </c>
      <c r="L228" s="5" t="e">
        <f t="shared" si="10"/>
        <v>#DIV/0!</v>
      </c>
      <c r="M228" s="5" t="s">
        <v>39</v>
      </c>
      <c r="N228" s="5">
        <v>0</v>
      </c>
      <c r="O228" s="5" t="s">
        <v>39</v>
      </c>
      <c r="P228" t="s">
        <v>63</v>
      </c>
      <c r="Q228" t="s">
        <v>574</v>
      </c>
      <c r="R228" t="s">
        <v>37</v>
      </c>
      <c r="S228" t="s">
        <v>575</v>
      </c>
      <c r="T228" t="s">
        <v>43</v>
      </c>
      <c r="U228" t="s">
        <v>44</v>
      </c>
      <c r="V228">
        <v>147</v>
      </c>
      <c r="W228" t="s">
        <v>45</v>
      </c>
      <c r="X228" t="s">
        <v>46</v>
      </c>
      <c r="Y228" t="s">
        <v>338</v>
      </c>
      <c r="Z228" t="s">
        <v>37</v>
      </c>
      <c r="AA228" t="s">
        <v>61</v>
      </c>
      <c r="AB228" t="s">
        <v>37</v>
      </c>
      <c r="AC228" s="6" t="s">
        <v>37</v>
      </c>
      <c r="AD228" s="6" t="s">
        <v>37</v>
      </c>
      <c r="AE228" t="s">
        <v>37</v>
      </c>
      <c r="AF228" t="s">
        <v>37</v>
      </c>
      <c r="AG228" s="6" t="s">
        <v>37</v>
      </c>
      <c r="AH228" t="s">
        <v>37</v>
      </c>
      <c r="AI228" t="s">
        <v>37</v>
      </c>
      <c r="AJ228" t="str">
        <f t="shared" si="11"/>
        <v>3AWPOPBJB07GS6ZB7T</v>
      </c>
    </row>
    <row r="229" spans="1:36" ht="15" customHeight="1" x14ac:dyDescent="0.25">
      <c r="A229" t="s">
        <v>115</v>
      </c>
      <c r="B229" t="s">
        <v>37</v>
      </c>
      <c r="C229" t="s">
        <v>37</v>
      </c>
      <c r="D229" t="s">
        <v>38</v>
      </c>
      <c r="E229" s="4">
        <v>0</v>
      </c>
      <c r="F229" s="5">
        <v>0</v>
      </c>
      <c r="G229" s="5" t="s">
        <v>39</v>
      </c>
      <c r="H229" s="5">
        <v>0</v>
      </c>
      <c r="I229" s="5" t="s">
        <v>39</v>
      </c>
      <c r="J229" s="5">
        <v>0</v>
      </c>
      <c r="K229" s="5" t="e">
        <f t="shared" si="9"/>
        <v>#DIV/0!</v>
      </c>
      <c r="L229" s="5" t="e">
        <f t="shared" si="10"/>
        <v>#DIV/0!</v>
      </c>
      <c r="M229" s="5" t="s">
        <v>39</v>
      </c>
      <c r="N229" s="5">
        <v>0</v>
      </c>
      <c r="O229" s="5" t="s">
        <v>39</v>
      </c>
      <c r="P229" t="s">
        <v>573</v>
      </c>
      <c r="Q229" t="s">
        <v>205</v>
      </c>
      <c r="R229" t="s">
        <v>37</v>
      </c>
      <c r="S229" t="s">
        <v>206</v>
      </c>
      <c r="T229" t="s">
        <v>43</v>
      </c>
      <c r="U229" t="s">
        <v>44</v>
      </c>
      <c r="V229">
        <v>147</v>
      </c>
      <c r="W229" t="s">
        <v>45</v>
      </c>
      <c r="X229" t="s">
        <v>53</v>
      </c>
      <c r="Y229" t="s">
        <v>207</v>
      </c>
      <c r="Z229" t="s">
        <v>37</v>
      </c>
      <c r="AA229" t="s">
        <v>61</v>
      </c>
      <c r="AB229" t="s">
        <v>37</v>
      </c>
      <c r="AC229" s="6" t="s">
        <v>37</v>
      </c>
      <c r="AD229" s="6" t="s">
        <v>37</v>
      </c>
      <c r="AE229" t="s">
        <v>37</v>
      </c>
      <c r="AF229" t="s">
        <v>37</v>
      </c>
      <c r="AG229" s="6" t="s">
        <v>37</v>
      </c>
      <c r="AH229" t="s">
        <v>37</v>
      </c>
      <c r="AI229" t="s">
        <v>37</v>
      </c>
      <c r="AJ229" t="str">
        <f t="shared" si="11"/>
        <v>5TC236HGB07H3HGS9R</v>
      </c>
    </row>
    <row r="230" spans="1:36" ht="15" customHeight="1" x14ac:dyDescent="0.25">
      <c r="A230" t="s">
        <v>36</v>
      </c>
      <c r="B230" t="s">
        <v>37</v>
      </c>
      <c r="C230" t="s">
        <v>37</v>
      </c>
      <c r="D230" t="s">
        <v>38</v>
      </c>
      <c r="E230" s="4">
        <v>20</v>
      </c>
      <c r="F230" s="5">
        <v>292.8</v>
      </c>
      <c r="G230" s="5" t="s">
        <v>39</v>
      </c>
      <c r="H230" s="5">
        <v>408.2</v>
      </c>
      <c r="I230" s="5" t="s">
        <v>39</v>
      </c>
      <c r="J230" s="5">
        <v>9.9551999999999996</v>
      </c>
      <c r="K230" s="5">
        <f t="shared" si="9"/>
        <v>0.49775999999999998</v>
      </c>
      <c r="L230" s="5">
        <f t="shared" si="10"/>
        <v>14.64</v>
      </c>
      <c r="M230" s="5" t="s">
        <v>39</v>
      </c>
      <c r="N230" s="5">
        <v>9.9551999999999996</v>
      </c>
      <c r="O230" s="5" t="s">
        <v>39</v>
      </c>
      <c r="P230" t="s">
        <v>377</v>
      </c>
      <c r="Q230" t="s">
        <v>576</v>
      </c>
      <c r="R230" t="s">
        <v>37</v>
      </c>
      <c r="S230" t="s">
        <v>577</v>
      </c>
      <c r="T230" t="s">
        <v>43</v>
      </c>
      <c r="U230" t="s">
        <v>44</v>
      </c>
      <c r="V230">
        <v>147</v>
      </c>
      <c r="W230" t="s">
        <v>45</v>
      </c>
      <c r="X230" t="s">
        <v>75</v>
      </c>
      <c r="Y230" t="s">
        <v>578</v>
      </c>
      <c r="Z230" t="s">
        <v>37</v>
      </c>
      <c r="AA230" t="s">
        <v>61</v>
      </c>
      <c r="AB230" t="s">
        <v>37</v>
      </c>
      <c r="AC230" s="6" t="s">
        <v>37</v>
      </c>
      <c r="AD230" s="6" t="s">
        <v>37</v>
      </c>
      <c r="AE230" t="s">
        <v>37</v>
      </c>
      <c r="AF230" t="s">
        <v>37</v>
      </c>
      <c r="AG230" s="6" t="s">
        <v>37</v>
      </c>
      <c r="AH230" t="s">
        <v>37</v>
      </c>
      <c r="AI230" t="s">
        <v>37</v>
      </c>
      <c r="AJ230" t="str">
        <f t="shared" si="11"/>
        <v>5IZH76JAB00EJ3RMDM</v>
      </c>
    </row>
    <row r="231" spans="1:36" ht="15" customHeight="1" x14ac:dyDescent="0.25">
      <c r="A231" t="s">
        <v>264</v>
      </c>
      <c r="B231" t="s">
        <v>37</v>
      </c>
      <c r="C231" t="s">
        <v>37</v>
      </c>
      <c r="D231" t="s">
        <v>38</v>
      </c>
      <c r="E231" s="4">
        <v>0</v>
      </c>
      <c r="F231" s="5">
        <v>0</v>
      </c>
      <c r="G231" s="5" t="s">
        <v>39</v>
      </c>
      <c r="H231" s="5">
        <v>0</v>
      </c>
      <c r="I231" s="5" t="s">
        <v>39</v>
      </c>
      <c r="J231" s="5">
        <v>0</v>
      </c>
      <c r="K231" s="5" t="e">
        <f t="shared" si="9"/>
        <v>#DIV/0!</v>
      </c>
      <c r="L231" s="5" t="e">
        <f t="shared" si="10"/>
        <v>#DIV/0!</v>
      </c>
      <c r="M231" s="5" t="s">
        <v>39</v>
      </c>
      <c r="N231" s="5">
        <v>0</v>
      </c>
      <c r="O231" s="5" t="s">
        <v>39</v>
      </c>
      <c r="P231" t="s">
        <v>473</v>
      </c>
      <c r="Q231" t="s">
        <v>531</v>
      </c>
      <c r="R231" t="s">
        <v>37</v>
      </c>
      <c r="S231" t="s">
        <v>532</v>
      </c>
      <c r="T231" t="s">
        <v>43</v>
      </c>
      <c r="U231" t="s">
        <v>44</v>
      </c>
      <c r="V231">
        <v>147</v>
      </c>
      <c r="W231" t="s">
        <v>45</v>
      </c>
      <c r="X231" t="s">
        <v>53</v>
      </c>
      <c r="Y231" t="s">
        <v>533</v>
      </c>
      <c r="Z231" t="s">
        <v>37</v>
      </c>
      <c r="AA231" t="s">
        <v>61</v>
      </c>
      <c r="AB231" t="s">
        <v>37</v>
      </c>
      <c r="AC231" s="6" t="s">
        <v>37</v>
      </c>
      <c r="AD231" s="6" t="s">
        <v>37</v>
      </c>
      <c r="AE231" t="s">
        <v>37</v>
      </c>
      <c r="AF231" t="s">
        <v>37</v>
      </c>
      <c r="AG231" s="6" t="s">
        <v>37</v>
      </c>
      <c r="AH231" t="s">
        <v>37</v>
      </c>
      <c r="AI231" t="s">
        <v>37</v>
      </c>
      <c r="AJ231" t="str">
        <f t="shared" si="11"/>
        <v>6NU6YJHWB07W4DGVQF</v>
      </c>
    </row>
    <row r="232" spans="1:36" ht="15" customHeight="1" x14ac:dyDescent="0.25">
      <c r="A232" t="s">
        <v>62</v>
      </c>
      <c r="B232" t="s">
        <v>37</v>
      </c>
      <c r="C232" t="s">
        <v>37</v>
      </c>
      <c r="D232" t="s">
        <v>38</v>
      </c>
      <c r="E232" s="4">
        <v>30</v>
      </c>
      <c r="F232" s="5">
        <v>298.5</v>
      </c>
      <c r="G232" s="5" t="s">
        <v>39</v>
      </c>
      <c r="H232" s="5">
        <v>382.2</v>
      </c>
      <c r="I232" s="5" t="s">
        <v>39</v>
      </c>
      <c r="J232" s="5">
        <v>10.148999999999999</v>
      </c>
      <c r="K232" s="5">
        <f t="shared" si="9"/>
        <v>0.33829999999999999</v>
      </c>
      <c r="L232" s="5">
        <f t="shared" si="10"/>
        <v>9.9499999999999993</v>
      </c>
      <c r="M232" s="5" t="s">
        <v>39</v>
      </c>
      <c r="N232" s="5">
        <v>10.148999999999999</v>
      </c>
      <c r="O232" s="5" t="s">
        <v>39</v>
      </c>
      <c r="P232" t="s">
        <v>108</v>
      </c>
      <c r="Q232" t="s">
        <v>579</v>
      </c>
      <c r="R232" t="s">
        <v>37</v>
      </c>
      <c r="S232" t="s">
        <v>580</v>
      </c>
      <c r="T232" t="s">
        <v>43</v>
      </c>
      <c r="U232" t="s">
        <v>44</v>
      </c>
      <c r="V232">
        <v>147</v>
      </c>
      <c r="W232" t="s">
        <v>45</v>
      </c>
      <c r="X232" t="s">
        <v>53</v>
      </c>
      <c r="Y232" t="s">
        <v>119</v>
      </c>
      <c r="Z232" t="s">
        <v>37</v>
      </c>
      <c r="AA232" t="s">
        <v>61</v>
      </c>
      <c r="AB232" t="s">
        <v>37</v>
      </c>
      <c r="AC232" s="6" t="s">
        <v>37</v>
      </c>
      <c r="AD232" s="6" t="s">
        <v>37</v>
      </c>
      <c r="AE232" t="s">
        <v>37</v>
      </c>
      <c r="AF232" t="s">
        <v>37</v>
      </c>
      <c r="AG232" s="6" t="s">
        <v>37</v>
      </c>
      <c r="AH232" t="s">
        <v>37</v>
      </c>
      <c r="AI232" t="s">
        <v>37</v>
      </c>
      <c r="AJ232" t="str">
        <f t="shared" si="11"/>
        <v>5HGHPU5OB0056I3IDW</v>
      </c>
    </row>
    <row r="233" spans="1:36" ht="15" customHeight="1" x14ac:dyDescent="0.25">
      <c r="A233" t="s">
        <v>67</v>
      </c>
      <c r="B233" t="s">
        <v>37</v>
      </c>
      <c r="C233" t="s">
        <v>37</v>
      </c>
      <c r="D233" t="s">
        <v>38</v>
      </c>
      <c r="E233" s="4">
        <v>4</v>
      </c>
      <c r="F233" s="5">
        <v>189.92</v>
      </c>
      <c r="G233" s="5" t="s">
        <v>39</v>
      </c>
      <c r="H233" s="5">
        <v>304.88</v>
      </c>
      <c r="I233" s="5" t="s">
        <v>39</v>
      </c>
      <c r="J233" s="5">
        <v>6.4572799999999999</v>
      </c>
      <c r="K233" s="5">
        <f t="shared" si="9"/>
        <v>1.61432</v>
      </c>
      <c r="L233" s="5">
        <f t="shared" si="10"/>
        <v>47.48</v>
      </c>
      <c r="M233" s="5" t="s">
        <v>39</v>
      </c>
      <c r="N233" s="5">
        <v>6.4572799999999999</v>
      </c>
      <c r="O233" s="5" t="s">
        <v>39</v>
      </c>
      <c r="P233" t="s">
        <v>63</v>
      </c>
      <c r="Q233" t="s">
        <v>574</v>
      </c>
      <c r="R233" t="s">
        <v>37</v>
      </c>
      <c r="S233" t="s">
        <v>575</v>
      </c>
      <c r="T233" t="s">
        <v>43</v>
      </c>
      <c r="U233" t="s">
        <v>44</v>
      </c>
      <c r="V233">
        <v>147</v>
      </c>
      <c r="W233" t="s">
        <v>45</v>
      </c>
      <c r="X233" t="s">
        <v>46</v>
      </c>
      <c r="Y233" t="s">
        <v>338</v>
      </c>
      <c r="Z233" t="s">
        <v>37</v>
      </c>
      <c r="AA233" t="s">
        <v>61</v>
      </c>
      <c r="AB233" t="s">
        <v>37</v>
      </c>
      <c r="AC233" s="6" t="s">
        <v>37</v>
      </c>
      <c r="AD233" s="6" t="s">
        <v>37</v>
      </c>
      <c r="AE233" t="s">
        <v>37</v>
      </c>
      <c r="AF233" t="s">
        <v>37</v>
      </c>
      <c r="AG233" s="6" t="s">
        <v>37</v>
      </c>
      <c r="AH233" t="s">
        <v>37</v>
      </c>
      <c r="AI233" t="s">
        <v>37</v>
      </c>
      <c r="AJ233" t="str">
        <f t="shared" si="11"/>
        <v>3AWPOPBJB07GS6ZB7T</v>
      </c>
    </row>
    <row r="234" spans="1:36" ht="15" customHeight="1" x14ac:dyDescent="0.25">
      <c r="A234" t="s">
        <v>36</v>
      </c>
      <c r="B234" t="s">
        <v>37</v>
      </c>
      <c r="C234" t="s">
        <v>37</v>
      </c>
      <c r="D234" t="s">
        <v>38</v>
      </c>
      <c r="E234" s="4">
        <v>8</v>
      </c>
      <c r="F234" s="5">
        <v>628.96</v>
      </c>
      <c r="G234" s="5" t="s">
        <v>39</v>
      </c>
      <c r="H234" s="5">
        <v>1016.32</v>
      </c>
      <c r="I234" s="5" t="s">
        <v>39</v>
      </c>
      <c r="J234" s="5">
        <v>21.384640000000001</v>
      </c>
      <c r="K234" s="5">
        <f t="shared" si="9"/>
        <v>2.6730800000000001</v>
      </c>
      <c r="L234" s="5">
        <f t="shared" si="10"/>
        <v>78.62</v>
      </c>
      <c r="M234" s="5" t="s">
        <v>39</v>
      </c>
      <c r="N234" s="5">
        <v>21.384640000000001</v>
      </c>
      <c r="O234" s="5" t="s">
        <v>39</v>
      </c>
      <c r="P234" t="s">
        <v>377</v>
      </c>
      <c r="Q234" t="s">
        <v>581</v>
      </c>
      <c r="R234" t="s">
        <v>37</v>
      </c>
      <c r="S234" t="s">
        <v>582</v>
      </c>
      <c r="T234" t="s">
        <v>43</v>
      </c>
      <c r="U234" t="s">
        <v>44</v>
      </c>
      <c r="V234">
        <v>147</v>
      </c>
      <c r="W234" t="s">
        <v>45</v>
      </c>
      <c r="X234" t="s">
        <v>46</v>
      </c>
      <c r="Y234" t="s">
        <v>583</v>
      </c>
      <c r="Z234" t="s">
        <v>37</v>
      </c>
      <c r="AA234" t="s">
        <v>48</v>
      </c>
      <c r="AB234" t="s">
        <v>37</v>
      </c>
      <c r="AC234" s="6" t="s">
        <v>37</v>
      </c>
      <c r="AD234" s="6" t="s">
        <v>37</v>
      </c>
      <c r="AE234" t="s">
        <v>37</v>
      </c>
      <c r="AF234" t="s">
        <v>37</v>
      </c>
      <c r="AG234" s="6" t="s">
        <v>37</v>
      </c>
      <c r="AH234" t="s">
        <v>37</v>
      </c>
      <c r="AI234" t="s">
        <v>37</v>
      </c>
      <c r="AJ234" t="str">
        <f t="shared" si="11"/>
        <v>5IZH76JAB074C9LZVX</v>
      </c>
    </row>
    <row r="235" spans="1:36" ht="15" customHeight="1" x14ac:dyDescent="0.25">
      <c r="A235" t="s">
        <v>36</v>
      </c>
      <c r="B235" t="s">
        <v>37</v>
      </c>
      <c r="C235" t="s">
        <v>37</v>
      </c>
      <c r="D235" t="s">
        <v>38</v>
      </c>
      <c r="E235" s="4">
        <v>30</v>
      </c>
      <c r="F235" s="5">
        <v>263.39999999999998</v>
      </c>
      <c r="G235" s="5" t="s">
        <v>39</v>
      </c>
      <c r="H235" s="5">
        <v>393.3</v>
      </c>
      <c r="I235" s="5" t="s">
        <v>39</v>
      </c>
      <c r="J235" s="5">
        <v>8.9556000000000004</v>
      </c>
      <c r="K235" s="5">
        <f t="shared" si="9"/>
        <v>0.29852000000000001</v>
      </c>
      <c r="L235" s="5">
        <f t="shared" si="10"/>
        <v>8.7799999999999994</v>
      </c>
      <c r="M235" s="5" t="s">
        <v>39</v>
      </c>
      <c r="N235" s="5">
        <v>8.9556000000000004</v>
      </c>
      <c r="O235" s="5" t="s">
        <v>39</v>
      </c>
      <c r="P235" t="s">
        <v>89</v>
      </c>
      <c r="Q235" t="s">
        <v>517</v>
      </c>
      <c r="R235" t="s">
        <v>37</v>
      </c>
      <c r="S235" t="s">
        <v>518</v>
      </c>
      <c r="T235" t="s">
        <v>43</v>
      </c>
      <c r="U235" t="s">
        <v>44</v>
      </c>
      <c r="V235">
        <v>147</v>
      </c>
      <c r="W235" t="s">
        <v>45</v>
      </c>
      <c r="X235" t="s">
        <v>53</v>
      </c>
      <c r="Y235" t="s">
        <v>519</v>
      </c>
      <c r="Z235" t="s">
        <v>37</v>
      </c>
      <c r="AA235" t="s">
        <v>61</v>
      </c>
      <c r="AB235" t="s">
        <v>37</v>
      </c>
      <c r="AC235" s="6" t="s">
        <v>37</v>
      </c>
      <c r="AD235" s="6" t="s">
        <v>37</v>
      </c>
      <c r="AE235" t="s">
        <v>37</v>
      </c>
      <c r="AF235" t="s">
        <v>37</v>
      </c>
      <c r="AG235" s="6" t="s">
        <v>37</v>
      </c>
      <c r="AH235" t="s">
        <v>37</v>
      </c>
      <c r="AI235" t="s">
        <v>37</v>
      </c>
      <c r="AJ235" t="str">
        <f t="shared" si="11"/>
        <v>6D1HFTMSB07GDYYN38</v>
      </c>
    </row>
    <row r="236" spans="1:36" ht="15" customHeight="1" x14ac:dyDescent="0.25">
      <c r="A236" t="s">
        <v>584</v>
      </c>
      <c r="B236" t="s">
        <v>37</v>
      </c>
      <c r="C236" t="s">
        <v>37</v>
      </c>
      <c r="D236" t="s">
        <v>38</v>
      </c>
      <c r="E236" s="4">
        <v>0</v>
      </c>
      <c r="F236" s="5">
        <v>0</v>
      </c>
      <c r="G236" s="5" t="s">
        <v>39</v>
      </c>
      <c r="H236" s="5">
        <v>0</v>
      </c>
      <c r="I236" s="5" t="s">
        <v>39</v>
      </c>
      <c r="J236" s="5">
        <v>0</v>
      </c>
      <c r="K236" s="5" t="e">
        <f t="shared" si="9"/>
        <v>#DIV/0!</v>
      </c>
      <c r="L236" s="5" t="e">
        <f t="shared" si="10"/>
        <v>#DIV/0!</v>
      </c>
      <c r="M236" s="5" t="s">
        <v>39</v>
      </c>
      <c r="N236" s="5">
        <v>0</v>
      </c>
      <c r="O236" s="5" t="s">
        <v>39</v>
      </c>
      <c r="P236" t="s">
        <v>377</v>
      </c>
      <c r="Q236" t="s">
        <v>135</v>
      </c>
      <c r="R236" t="s">
        <v>37</v>
      </c>
      <c r="S236" t="s">
        <v>136</v>
      </c>
      <c r="T236" t="s">
        <v>43</v>
      </c>
      <c r="U236" t="s">
        <v>44</v>
      </c>
      <c r="V236">
        <v>147</v>
      </c>
      <c r="W236" t="s">
        <v>45</v>
      </c>
      <c r="X236" t="s">
        <v>75</v>
      </c>
      <c r="Y236" t="s">
        <v>137</v>
      </c>
      <c r="Z236" t="s">
        <v>37</v>
      </c>
      <c r="AA236" t="s">
        <v>61</v>
      </c>
      <c r="AB236" t="s">
        <v>37</v>
      </c>
      <c r="AC236" s="6" t="s">
        <v>37</v>
      </c>
      <c r="AD236" s="6" t="s">
        <v>37</v>
      </c>
      <c r="AE236" t="s">
        <v>37</v>
      </c>
      <c r="AF236" t="s">
        <v>37</v>
      </c>
      <c r="AG236" s="6" t="s">
        <v>37</v>
      </c>
      <c r="AH236" t="s">
        <v>37</v>
      </c>
      <c r="AI236" t="s">
        <v>37</v>
      </c>
      <c r="AJ236" t="str">
        <f t="shared" si="11"/>
        <v>5IZH76JAB07W5JK4LF</v>
      </c>
    </row>
    <row r="237" spans="1:36" ht="15" customHeight="1" x14ac:dyDescent="0.25">
      <c r="A237" t="s">
        <v>67</v>
      </c>
      <c r="B237" t="s">
        <v>37</v>
      </c>
      <c r="C237" t="s">
        <v>37</v>
      </c>
      <c r="D237" t="s">
        <v>38</v>
      </c>
      <c r="E237" s="4">
        <v>27</v>
      </c>
      <c r="F237" s="5">
        <v>5684.04</v>
      </c>
      <c r="G237" s="5" t="s">
        <v>39</v>
      </c>
      <c r="H237" s="5">
        <v>9051.75</v>
      </c>
      <c r="I237" s="5" t="s">
        <v>39</v>
      </c>
      <c r="J237" s="5">
        <v>193.25736000000001</v>
      </c>
      <c r="K237" s="5">
        <f t="shared" si="9"/>
        <v>7.15768</v>
      </c>
      <c r="L237" s="5">
        <f t="shared" si="10"/>
        <v>210.52</v>
      </c>
      <c r="M237" s="5" t="s">
        <v>39</v>
      </c>
      <c r="N237" s="5">
        <v>193.25736000000001</v>
      </c>
      <c r="O237" s="5" t="s">
        <v>39</v>
      </c>
      <c r="P237" t="s">
        <v>245</v>
      </c>
      <c r="Q237" t="s">
        <v>86</v>
      </c>
      <c r="R237" t="s">
        <v>37</v>
      </c>
      <c r="S237" t="s">
        <v>87</v>
      </c>
      <c r="T237" t="s">
        <v>43</v>
      </c>
      <c r="U237" t="s">
        <v>44</v>
      </c>
      <c r="V237">
        <v>147</v>
      </c>
      <c r="W237" t="s">
        <v>45</v>
      </c>
      <c r="X237" t="s">
        <v>46</v>
      </c>
      <c r="Y237" t="s">
        <v>88</v>
      </c>
      <c r="Z237" t="s">
        <v>37</v>
      </c>
      <c r="AA237" t="s">
        <v>61</v>
      </c>
      <c r="AB237" t="s">
        <v>37</v>
      </c>
      <c r="AC237" s="6" t="s">
        <v>37</v>
      </c>
      <c r="AD237" s="6" t="s">
        <v>37</v>
      </c>
      <c r="AE237" t="s">
        <v>37</v>
      </c>
      <c r="AF237" t="s">
        <v>37</v>
      </c>
      <c r="AG237" s="6" t="s">
        <v>37</v>
      </c>
      <c r="AH237" t="s">
        <v>37</v>
      </c>
      <c r="AI237" t="s">
        <v>37</v>
      </c>
      <c r="AJ237" t="str">
        <f t="shared" si="11"/>
        <v>6ZGQP34KB011N78DMA</v>
      </c>
    </row>
    <row r="238" spans="1:36" ht="15" customHeight="1" x14ac:dyDescent="0.25">
      <c r="A238" t="s">
        <v>67</v>
      </c>
      <c r="B238" t="s">
        <v>37</v>
      </c>
      <c r="C238" t="s">
        <v>37</v>
      </c>
      <c r="D238" t="s">
        <v>38</v>
      </c>
      <c r="E238" s="4">
        <v>36</v>
      </c>
      <c r="F238" s="5">
        <v>843.12</v>
      </c>
      <c r="G238" s="5" t="s">
        <v>39</v>
      </c>
      <c r="H238" s="5">
        <v>1209.5999999999999</v>
      </c>
      <c r="I238" s="5" t="s">
        <v>39</v>
      </c>
      <c r="J238" s="5">
        <v>28.666080000000001</v>
      </c>
      <c r="K238" s="5">
        <f t="shared" si="9"/>
        <v>0.79627999999999999</v>
      </c>
      <c r="L238" s="5">
        <f t="shared" si="10"/>
        <v>23.42</v>
      </c>
      <c r="M238" s="5" t="s">
        <v>39</v>
      </c>
      <c r="N238" s="5">
        <v>28.666080000000001</v>
      </c>
      <c r="O238" s="5" t="s">
        <v>39</v>
      </c>
      <c r="P238" t="s">
        <v>245</v>
      </c>
      <c r="Q238" t="s">
        <v>411</v>
      </c>
      <c r="R238" t="s">
        <v>37</v>
      </c>
      <c r="S238" t="s">
        <v>412</v>
      </c>
      <c r="T238" t="s">
        <v>43</v>
      </c>
      <c r="U238" t="s">
        <v>44</v>
      </c>
      <c r="V238">
        <v>147</v>
      </c>
      <c r="W238" t="s">
        <v>45</v>
      </c>
      <c r="X238" t="s">
        <v>75</v>
      </c>
      <c r="Y238" t="s">
        <v>413</v>
      </c>
      <c r="Z238" t="s">
        <v>37</v>
      </c>
      <c r="AA238" t="s">
        <v>61</v>
      </c>
      <c r="AB238" t="s">
        <v>37</v>
      </c>
      <c r="AC238" s="6" t="s">
        <v>37</v>
      </c>
      <c r="AD238" s="6" t="s">
        <v>37</v>
      </c>
      <c r="AE238" t="s">
        <v>37</v>
      </c>
      <c r="AF238" t="s">
        <v>37</v>
      </c>
      <c r="AG238" s="6" t="s">
        <v>37</v>
      </c>
      <c r="AH238" t="s">
        <v>37</v>
      </c>
      <c r="AI238" t="s">
        <v>37</v>
      </c>
      <c r="AJ238" t="str">
        <f t="shared" si="11"/>
        <v>6ZGQP34KB00BEFY1W8</v>
      </c>
    </row>
    <row r="239" spans="1:36" ht="15" customHeight="1" x14ac:dyDescent="0.25">
      <c r="A239" t="s">
        <v>71</v>
      </c>
      <c r="B239" t="s">
        <v>37</v>
      </c>
      <c r="C239" t="s">
        <v>37</v>
      </c>
      <c r="D239" t="s">
        <v>38</v>
      </c>
      <c r="E239" s="4">
        <v>1938</v>
      </c>
      <c r="F239" s="5">
        <v>45387.96</v>
      </c>
      <c r="G239" s="5" t="s">
        <v>39</v>
      </c>
      <c r="H239" s="5">
        <v>47655.42</v>
      </c>
      <c r="I239" s="5" t="s">
        <v>39</v>
      </c>
      <c r="J239" s="5">
        <v>1543.19064</v>
      </c>
      <c r="K239" s="5">
        <f t="shared" si="9"/>
        <v>0.79627999999999999</v>
      </c>
      <c r="L239" s="5">
        <f t="shared" si="10"/>
        <v>23.419999999999998</v>
      </c>
      <c r="M239" s="5" t="s">
        <v>39</v>
      </c>
      <c r="N239" s="5">
        <v>1543.19064</v>
      </c>
      <c r="O239" s="5" t="s">
        <v>39</v>
      </c>
      <c r="P239" t="s">
        <v>585</v>
      </c>
      <c r="Q239" t="s">
        <v>586</v>
      </c>
      <c r="R239" t="s">
        <v>37</v>
      </c>
      <c r="S239" t="s">
        <v>587</v>
      </c>
      <c r="T239" t="s">
        <v>43</v>
      </c>
      <c r="U239" t="s">
        <v>44</v>
      </c>
      <c r="V239">
        <v>147</v>
      </c>
      <c r="W239" t="s">
        <v>45</v>
      </c>
      <c r="X239" t="s">
        <v>75</v>
      </c>
      <c r="Y239" t="s">
        <v>588</v>
      </c>
      <c r="Z239" t="s">
        <v>37</v>
      </c>
      <c r="AA239" t="s">
        <v>61</v>
      </c>
      <c r="AB239" t="s">
        <v>37</v>
      </c>
      <c r="AC239" s="6" t="s">
        <v>37</v>
      </c>
      <c r="AD239" s="6" t="s">
        <v>37</v>
      </c>
      <c r="AE239" t="s">
        <v>37</v>
      </c>
      <c r="AF239" t="s">
        <v>37</v>
      </c>
      <c r="AG239" s="6" t="s">
        <v>37</v>
      </c>
      <c r="AH239" t="s">
        <v>37</v>
      </c>
      <c r="AI239" t="s">
        <v>37</v>
      </c>
      <c r="AJ239" t="str">
        <f t="shared" si="11"/>
        <v>5KSSWWOJB00BCE30RS</v>
      </c>
    </row>
    <row r="240" spans="1:36" ht="15" customHeight="1" x14ac:dyDescent="0.25">
      <c r="A240" t="s">
        <v>372</v>
      </c>
      <c r="B240" t="s">
        <v>37</v>
      </c>
      <c r="C240" t="s">
        <v>37</v>
      </c>
      <c r="D240" t="s">
        <v>38</v>
      </c>
      <c r="E240" s="4">
        <v>24</v>
      </c>
      <c r="F240" s="5">
        <v>1827.12</v>
      </c>
      <c r="G240" s="5" t="s">
        <v>39</v>
      </c>
      <c r="H240" s="5">
        <v>2655.6</v>
      </c>
      <c r="I240" s="5" t="s">
        <v>39</v>
      </c>
      <c r="J240" s="5">
        <v>62.122079999999997</v>
      </c>
      <c r="K240" s="5">
        <f t="shared" si="9"/>
        <v>2.5884199999999997</v>
      </c>
      <c r="L240" s="5">
        <f t="shared" si="10"/>
        <v>76.13</v>
      </c>
      <c r="M240" s="5" t="s">
        <v>39</v>
      </c>
      <c r="N240" s="5">
        <v>62.122079999999997</v>
      </c>
      <c r="O240" s="5" t="s">
        <v>39</v>
      </c>
      <c r="P240" t="s">
        <v>78</v>
      </c>
      <c r="Q240" t="s">
        <v>469</v>
      </c>
      <c r="R240" t="s">
        <v>37</v>
      </c>
      <c r="S240" t="s">
        <v>470</v>
      </c>
      <c r="T240" t="s">
        <v>43</v>
      </c>
      <c r="U240" t="s">
        <v>44</v>
      </c>
      <c r="V240">
        <v>147</v>
      </c>
      <c r="W240" t="s">
        <v>45</v>
      </c>
      <c r="X240" t="s">
        <v>248</v>
      </c>
      <c r="Y240" t="s">
        <v>471</v>
      </c>
      <c r="Z240" t="s">
        <v>37</v>
      </c>
      <c r="AA240" t="s">
        <v>145</v>
      </c>
      <c r="AB240" t="s">
        <v>37</v>
      </c>
      <c r="AC240" s="6" t="s">
        <v>37</v>
      </c>
      <c r="AD240" s="6" t="s">
        <v>37</v>
      </c>
      <c r="AE240" t="s">
        <v>37</v>
      </c>
      <c r="AF240" t="s">
        <v>37</v>
      </c>
      <c r="AG240" s="6" t="s">
        <v>37</v>
      </c>
      <c r="AH240" t="s">
        <v>37</v>
      </c>
      <c r="AI240" t="s">
        <v>37</v>
      </c>
      <c r="AJ240" t="str">
        <f t="shared" si="11"/>
        <v>135JM91XB0100055LI</v>
      </c>
    </row>
    <row r="241" spans="1:36" ht="15" customHeight="1" x14ac:dyDescent="0.25">
      <c r="A241" t="s">
        <v>133</v>
      </c>
      <c r="B241" t="s">
        <v>37</v>
      </c>
      <c r="C241" t="s">
        <v>37</v>
      </c>
      <c r="D241" t="s">
        <v>38</v>
      </c>
      <c r="E241" s="4">
        <v>20</v>
      </c>
      <c r="F241" s="5">
        <v>633</v>
      </c>
      <c r="G241" s="5" t="s">
        <v>39</v>
      </c>
      <c r="H241" s="5">
        <v>826.2</v>
      </c>
      <c r="I241" s="5" t="s">
        <v>39</v>
      </c>
      <c r="J241" s="5">
        <v>21.521999999999998</v>
      </c>
      <c r="K241" s="5">
        <f t="shared" si="9"/>
        <v>1.0760999999999998</v>
      </c>
      <c r="L241" s="5">
        <f t="shared" si="10"/>
        <v>31.65</v>
      </c>
      <c r="M241" s="5" t="s">
        <v>39</v>
      </c>
      <c r="N241" s="5">
        <v>21.521999999999998</v>
      </c>
      <c r="O241" s="5" t="s">
        <v>39</v>
      </c>
      <c r="P241" t="s">
        <v>116</v>
      </c>
      <c r="Q241" t="s">
        <v>41</v>
      </c>
      <c r="R241" t="s">
        <v>37</v>
      </c>
      <c r="S241" t="s">
        <v>42</v>
      </c>
      <c r="T241" t="s">
        <v>43</v>
      </c>
      <c r="U241" t="s">
        <v>44</v>
      </c>
      <c r="V241">
        <v>147</v>
      </c>
      <c r="W241" t="s">
        <v>45</v>
      </c>
      <c r="X241" t="s">
        <v>46</v>
      </c>
      <c r="Y241" t="s">
        <v>47</v>
      </c>
      <c r="Z241" t="s">
        <v>37</v>
      </c>
      <c r="AA241" t="s">
        <v>48</v>
      </c>
      <c r="AB241" t="s">
        <v>37</v>
      </c>
      <c r="AC241" s="6" t="s">
        <v>37</v>
      </c>
      <c r="AD241" s="6" t="s">
        <v>37</v>
      </c>
      <c r="AE241" t="s">
        <v>37</v>
      </c>
      <c r="AF241" t="s">
        <v>37</v>
      </c>
      <c r="AG241" s="6" t="s">
        <v>37</v>
      </c>
      <c r="AH241" t="s">
        <v>37</v>
      </c>
      <c r="AI241" t="s">
        <v>37</v>
      </c>
      <c r="AJ241" t="str">
        <f t="shared" si="11"/>
        <v>3S7Y1OIVB00CJ5FPTA</v>
      </c>
    </row>
    <row r="242" spans="1:36" ht="15" customHeight="1" x14ac:dyDescent="0.25">
      <c r="A242" t="s">
        <v>262</v>
      </c>
      <c r="B242" t="s">
        <v>37</v>
      </c>
      <c r="C242" t="s">
        <v>37</v>
      </c>
      <c r="D242" t="s">
        <v>38</v>
      </c>
      <c r="E242" s="4">
        <v>816</v>
      </c>
      <c r="F242" s="5">
        <v>16564.8</v>
      </c>
      <c r="G242" s="5" t="s">
        <v>39</v>
      </c>
      <c r="H242" s="5">
        <v>24072</v>
      </c>
      <c r="I242" s="5" t="s">
        <v>39</v>
      </c>
      <c r="J242" s="5">
        <v>563.20320000000004</v>
      </c>
      <c r="K242" s="5">
        <f t="shared" si="9"/>
        <v>0.69020000000000004</v>
      </c>
      <c r="L242" s="5">
        <f t="shared" si="10"/>
        <v>20.3</v>
      </c>
      <c r="M242" s="5" t="s">
        <v>39</v>
      </c>
      <c r="N242" s="5">
        <v>563.20320000000004</v>
      </c>
      <c r="O242" s="5" t="s">
        <v>39</v>
      </c>
      <c r="P242" t="s">
        <v>263</v>
      </c>
      <c r="Q242" t="s">
        <v>135</v>
      </c>
      <c r="R242" t="s">
        <v>37</v>
      </c>
      <c r="S242" t="s">
        <v>136</v>
      </c>
      <c r="T242" t="s">
        <v>43</v>
      </c>
      <c r="U242" t="s">
        <v>44</v>
      </c>
      <c r="V242">
        <v>147</v>
      </c>
      <c r="W242" t="s">
        <v>45</v>
      </c>
      <c r="X242" t="s">
        <v>75</v>
      </c>
      <c r="Y242" t="s">
        <v>137</v>
      </c>
      <c r="Z242" t="s">
        <v>37</v>
      </c>
      <c r="AA242" t="s">
        <v>61</v>
      </c>
      <c r="AB242" t="s">
        <v>37</v>
      </c>
      <c r="AC242" s="6" t="s">
        <v>37</v>
      </c>
      <c r="AD242" s="6" t="s">
        <v>37</v>
      </c>
      <c r="AE242" t="s">
        <v>37</v>
      </c>
      <c r="AF242" t="s">
        <v>37</v>
      </c>
      <c r="AG242" s="6" t="s">
        <v>37</v>
      </c>
      <c r="AH242" t="s">
        <v>37</v>
      </c>
      <c r="AI242" t="s">
        <v>37</v>
      </c>
      <c r="AJ242" t="str">
        <f t="shared" si="11"/>
        <v>3B2Q175VB07W5JK4LF</v>
      </c>
    </row>
    <row r="243" spans="1:36" ht="15" customHeight="1" x14ac:dyDescent="0.25">
      <c r="A243" t="s">
        <v>400</v>
      </c>
      <c r="B243" t="s">
        <v>37</v>
      </c>
      <c r="C243" t="s">
        <v>37</v>
      </c>
      <c r="D243" t="s">
        <v>38</v>
      </c>
      <c r="E243" s="4">
        <v>4</v>
      </c>
      <c r="F243" s="5">
        <v>301.64</v>
      </c>
      <c r="G243" s="5" t="s">
        <v>39</v>
      </c>
      <c r="H243" s="5">
        <v>442.6</v>
      </c>
      <c r="I243" s="5" t="s">
        <v>39</v>
      </c>
      <c r="J243" s="5">
        <v>10.25576</v>
      </c>
      <c r="K243" s="5">
        <f t="shared" si="9"/>
        <v>2.5639400000000001</v>
      </c>
      <c r="L243" s="5">
        <f t="shared" si="10"/>
        <v>75.41</v>
      </c>
      <c r="M243" s="5" t="s">
        <v>39</v>
      </c>
      <c r="N243" s="5">
        <v>10.25576</v>
      </c>
      <c r="O243" s="5" t="s">
        <v>39</v>
      </c>
      <c r="P243" t="s">
        <v>263</v>
      </c>
      <c r="Q243" t="s">
        <v>83</v>
      </c>
      <c r="R243" t="s">
        <v>37</v>
      </c>
      <c r="S243" t="s">
        <v>84</v>
      </c>
      <c r="T243" t="s">
        <v>43</v>
      </c>
      <c r="U243" t="s">
        <v>44</v>
      </c>
      <c r="V243">
        <v>147</v>
      </c>
      <c r="W243" t="s">
        <v>45</v>
      </c>
      <c r="X243" t="s">
        <v>75</v>
      </c>
      <c r="Y243" t="s">
        <v>85</v>
      </c>
      <c r="Z243" t="s">
        <v>37</v>
      </c>
      <c r="AA243" t="s">
        <v>48</v>
      </c>
      <c r="AB243" t="s">
        <v>37</v>
      </c>
      <c r="AC243" s="6" t="s">
        <v>37</v>
      </c>
      <c r="AD243" s="6" t="s">
        <v>37</v>
      </c>
      <c r="AE243" t="s">
        <v>37</v>
      </c>
      <c r="AF243" t="s">
        <v>37</v>
      </c>
      <c r="AG243" s="6" t="s">
        <v>37</v>
      </c>
      <c r="AH243" t="s">
        <v>37</v>
      </c>
      <c r="AI243" t="s">
        <v>37</v>
      </c>
      <c r="AJ243" t="str">
        <f t="shared" si="11"/>
        <v>3B2Q175VB01N6NGNQ8</v>
      </c>
    </row>
    <row r="244" spans="1:36" ht="15" customHeight="1" x14ac:dyDescent="0.25">
      <c r="A244" t="s">
        <v>36</v>
      </c>
      <c r="B244" t="s">
        <v>37</v>
      </c>
      <c r="C244" t="s">
        <v>37</v>
      </c>
      <c r="D244" t="s">
        <v>38</v>
      </c>
      <c r="E244" s="4">
        <v>6</v>
      </c>
      <c r="F244" s="5">
        <v>140.52000000000001</v>
      </c>
      <c r="G244" s="5" t="s">
        <v>39</v>
      </c>
      <c r="H244" s="5">
        <v>195.72</v>
      </c>
      <c r="I244" s="5" t="s">
        <v>39</v>
      </c>
      <c r="J244" s="5">
        <v>4.7776800000000001</v>
      </c>
      <c r="K244" s="5">
        <f t="shared" si="9"/>
        <v>0.79627999999999999</v>
      </c>
      <c r="L244" s="5">
        <f t="shared" si="10"/>
        <v>23.42</v>
      </c>
      <c r="M244" s="5" t="s">
        <v>39</v>
      </c>
      <c r="N244" s="5">
        <v>4.7776800000000001</v>
      </c>
      <c r="O244" s="5" t="s">
        <v>39</v>
      </c>
      <c r="P244" t="s">
        <v>167</v>
      </c>
      <c r="Q244" t="s">
        <v>589</v>
      </c>
      <c r="R244" t="s">
        <v>37</v>
      </c>
      <c r="S244" t="s">
        <v>590</v>
      </c>
      <c r="T244" t="s">
        <v>43</v>
      </c>
      <c r="U244" t="s">
        <v>44</v>
      </c>
      <c r="V244">
        <v>147</v>
      </c>
      <c r="W244" t="s">
        <v>45</v>
      </c>
      <c r="X244" t="s">
        <v>75</v>
      </c>
      <c r="Y244" t="s">
        <v>591</v>
      </c>
      <c r="Z244" t="s">
        <v>37</v>
      </c>
      <c r="AA244" t="s">
        <v>61</v>
      </c>
      <c r="AB244" t="s">
        <v>37</v>
      </c>
      <c r="AC244" s="6" t="s">
        <v>37</v>
      </c>
      <c r="AD244" s="6" t="s">
        <v>37</v>
      </c>
      <c r="AE244" t="s">
        <v>37</v>
      </c>
      <c r="AF244" t="s">
        <v>37</v>
      </c>
      <c r="AG244" s="6" t="s">
        <v>37</v>
      </c>
      <c r="AH244" t="s">
        <v>37</v>
      </c>
      <c r="AI244" t="s">
        <v>37</v>
      </c>
      <c r="AJ244" t="str">
        <f t="shared" si="11"/>
        <v>4FFLHW5MB00BF5QDZU</v>
      </c>
    </row>
    <row r="245" spans="1:36" ht="15" customHeight="1" x14ac:dyDescent="0.25">
      <c r="A245" t="s">
        <v>102</v>
      </c>
      <c r="B245" t="s">
        <v>37</v>
      </c>
      <c r="C245" t="s">
        <v>37</v>
      </c>
      <c r="D245" t="s">
        <v>38</v>
      </c>
      <c r="E245" s="4">
        <v>30</v>
      </c>
      <c r="F245" s="5">
        <v>263.39999999999998</v>
      </c>
      <c r="G245" s="5" t="s">
        <v>39</v>
      </c>
      <c r="H245" s="5">
        <v>393.3</v>
      </c>
      <c r="I245" s="5" t="s">
        <v>39</v>
      </c>
      <c r="J245" s="5">
        <v>8.9556000000000004</v>
      </c>
      <c r="K245" s="5">
        <f t="shared" si="9"/>
        <v>0.29852000000000001</v>
      </c>
      <c r="L245" s="5">
        <f t="shared" si="10"/>
        <v>8.7799999999999994</v>
      </c>
      <c r="M245" s="5" t="s">
        <v>39</v>
      </c>
      <c r="N245" s="5">
        <v>8.9556000000000004</v>
      </c>
      <c r="O245" s="5" t="s">
        <v>39</v>
      </c>
      <c r="P245" t="s">
        <v>592</v>
      </c>
      <c r="Q245" t="s">
        <v>593</v>
      </c>
      <c r="R245" t="s">
        <v>37</v>
      </c>
      <c r="S245" t="s">
        <v>594</v>
      </c>
      <c r="T245" t="s">
        <v>43</v>
      </c>
      <c r="U245" t="s">
        <v>44</v>
      </c>
      <c r="V245">
        <v>147</v>
      </c>
      <c r="W245" t="s">
        <v>45</v>
      </c>
      <c r="X245" t="s">
        <v>53</v>
      </c>
      <c r="Y245" t="s">
        <v>595</v>
      </c>
      <c r="Z245" t="s">
        <v>37</v>
      </c>
      <c r="AA245" t="s">
        <v>61</v>
      </c>
      <c r="AB245" t="s">
        <v>37</v>
      </c>
      <c r="AC245" s="6" t="s">
        <v>37</v>
      </c>
      <c r="AD245" s="6" t="s">
        <v>37</v>
      </c>
      <c r="AE245" t="s">
        <v>37</v>
      </c>
      <c r="AF245" t="s">
        <v>37</v>
      </c>
      <c r="AG245" s="6" t="s">
        <v>37</v>
      </c>
      <c r="AH245" t="s">
        <v>37</v>
      </c>
      <c r="AI245" t="s">
        <v>37</v>
      </c>
      <c r="AJ245" t="str">
        <f t="shared" si="11"/>
        <v>5WP5GFZIB07W5JK4VQ</v>
      </c>
    </row>
    <row r="246" spans="1:36" ht="15" customHeight="1" x14ac:dyDescent="0.25">
      <c r="A246" t="s">
        <v>67</v>
      </c>
      <c r="B246" t="s">
        <v>37</v>
      </c>
      <c r="C246" t="s">
        <v>37</v>
      </c>
      <c r="D246" t="s">
        <v>38</v>
      </c>
      <c r="E246" s="4">
        <v>10</v>
      </c>
      <c r="F246" s="5">
        <v>99.5</v>
      </c>
      <c r="G246" s="5" t="s">
        <v>39</v>
      </c>
      <c r="H246" s="5">
        <v>127.4</v>
      </c>
      <c r="I246" s="5" t="s">
        <v>39</v>
      </c>
      <c r="J246" s="5">
        <v>3.383</v>
      </c>
      <c r="K246" s="5">
        <f t="shared" si="9"/>
        <v>0.33829999999999999</v>
      </c>
      <c r="L246" s="5">
        <f t="shared" si="10"/>
        <v>9.9499999999999993</v>
      </c>
      <c r="M246" s="5" t="s">
        <v>39</v>
      </c>
      <c r="N246" s="5">
        <v>3.383</v>
      </c>
      <c r="O246" s="5" t="s">
        <v>39</v>
      </c>
      <c r="P246" t="s">
        <v>108</v>
      </c>
      <c r="Q246" t="s">
        <v>579</v>
      </c>
      <c r="R246" t="s">
        <v>37</v>
      </c>
      <c r="S246" t="s">
        <v>580</v>
      </c>
      <c r="T246" t="s">
        <v>43</v>
      </c>
      <c r="U246" t="s">
        <v>44</v>
      </c>
      <c r="V246">
        <v>147</v>
      </c>
      <c r="W246" t="s">
        <v>45</v>
      </c>
      <c r="X246" t="s">
        <v>53</v>
      </c>
      <c r="Y246" t="s">
        <v>119</v>
      </c>
      <c r="Z246" t="s">
        <v>37</v>
      </c>
      <c r="AA246" t="s">
        <v>61</v>
      </c>
      <c r="AB246" t="s">
        <v>37</v>
      </c>
      <c r="AC246" s="6" t="s">
        <v>37</v>
      </c>
      <c r="AD246" s="6" t="s">
        <v>37</v>
      </c>
      <c r="AE246" t="s">
        <v>37</v>
      </c>
      <c r="AF246" t="s">
        <v>37</v>
      </c>
      <c r="AG246" s="6" t="s">
        <v>37</v>
      </c>
      <c r="AH246" t="s">
        <v>37</v>
      </c>
      <c r="AI246" t="s">
        <v>37</v>
      </c>
      <c r="AJ246" t="str">
        <f t="shared" si="11"/>
        <v>5HGHPU5OB0056I3IDW</v>
      </c>
    </row>
    <row r="247" spans="1:36" ht="15" customHeight="1" x14ac:dyDescent="0.25">
      <c r="A247" t="s">
        <v>115</v>
      </c>
      <c r="B247" t="s">
        <v>37</v>
      </c>
      <c r="C247" t="s">
        <v>37</v>
      </c>
      <c r="D247" t="s">
        <v>38</v>
      </c>
      <c r="E247" s="4">
        <v>330</v>
      </c>
      <c r="F247" s="5">
        <v>7728.6</v>
      </c>
      <c r="G247" s="5" t="s">
        <v>39</v>
      </c>
      <c r="H247" s="5">
        <v>11088</v>
      </c>
      <c r="I247" s="5" t="s">
        <v>39</v>
      </c>
      <c r="J247" s="5">
        <v>262.7724</v>
      </c>
      <c r="K247" s="5">
        <f t="shared" si="9"/>
        <v>0.79627999999999999</v>
      </c>
      <c r="L247" s="5">
        <f t="shared" si="10"/>
        <v>23.42</v>
      </c>
      <c r="M247" s="5" t="s">
        <v>39</v>
      </c>
      <c r="N247" s="5">
        <v>262.7724</v>
      </c>
      <c r="O247" s="5" t="s">
        <v>39</v>
      </c>
      <c r="P247" t="s">
        <v>189</v>
      </c>
      <c r="Q247" t="s">
        <v>596</v>
      </c>
      <c r="R247" t="s">
        <v>37</v>
      </c>
      <c r="S247" t="s">
        <v>597</v>
      </c>
      <c r="T247" t="s">
        <v>43</v>
      </c>
      <c r="U247" t="s">
        <v>44</v>
      </c>
      <c r="V247">
        <v>147</v>
      </c>
      <c r="W247" t="s">
        <v>45</v>
      </c>
      <c r="X247" t="s">
        <v>53</v>
      </c>
      <c r="Y247" t="s">
        <v>598</v>
      </c>
      <c r="Z247" t="s">
        <v>37</v>
      </c>
      <c r="AA247" t="s">
        <v>61</v>
      </c>
      <c r="AB247" t="s">
        <v>37</v>
      </c>
      <c r="AC247" s="6" t="s">
        <v>37</v>
      </c>
      <c r="AD247" s="6" t="s">
        <v>37</v>
      </c>
      <c r="AE247" t="s">
        <v>37</v>
      </c>
      <c r="AF247" t="s">
        <v>37</v>
      </c>
      <c r="AG247" s="6" t="s">
        <v>37</v>
      </c>
      <c r="AH247" t="s">
        <v>37</v>
      </c>
      <c r="AI247" t="s">
        <v>37</v>
      </c>
      <c r="AJ247" t="str">
        <f t="shared" si="11"/>
        <v>6DPU2MKPB07W6J829F</v>
      </c>
    </row>
    <row r="248" spans="1:36" ht="15" customHeight="1" x14ac:dyDescent="0.25">
      <c r="A248" t="s">
        <v>133</v>
      </c>
      <c r="B248" t="s">
        <v>37</v>
      </c>
      <c r="C248" t="s">
        <v>37</v>
      </c>
      <c r="D248" t="s">
        <v>38</v>
      </c>
      <c r="E248" s="4">
        <v>48</v>
      </c>
      <c r="F248" s="5">
        <v>3619.68</v>
      </c>
      <c r="G248" s="5" t="s">
        <v>39</v>
      </c>
      <c r="H248" s="5">
        <v>4524</v>
      </c>
      <c r="I248" s="5" t="s">
        <v>39</v>
      </c>
      <c r="J248" s="5">
        <v>123.06912</v>
      </c>
      <c r="K248" s="5">
        <f t="shared" si="9"/>
        <v>2.5639400000000001</v>
      </c>
      <c r="L248" s="5">
        <f t="shared" si="10"/>
        <v>75.41</v>
      </c>
      <c r="M248" s="5" t="s">
        <v>39</v>
      </c>
      <c r="N248" s="5">
        <v>123.06912</v>
      </c>
      <c r="O248" s="5" t="s">
        <v>39</v>
      </c>
      <c r="P248" t="s">
        <v>116</v>
      </c>
      <c r="Q248" t="s">
        <v>124</v>
      </c>
      <c r="R248" t="s">
        <v>37</v>
      </c>
      <c r="S248" t="s">
        <v>125</v>
      </c>
      <c r="T248" t="s">
        <v>43</v>
      </c>
      <c r="U248" t="s">
        <v>44</v>
      </c>
      <c r="V248">
        <v>147</v>
      </c>
      <c r="W248" t="s">
        <v>45</v>
      </c>
      <c r="X248" t="s">
        <v>53</v>
      </c>
      <c r="Y248" t="s">
        <v>126</v>
      </c>
      <c r="Z248" t="s">
        <v>37</v>
      </c>
      <c r="AA248" t="s">
        <v>48</v>
      </c>
      <c r="AB248" t="s">
        <v>37</v>
      </c>
      <c r="AC248" s="6" t="s">
        <v>37</v>
      </c>
      <c r="AD248" s="6" t="s">
        <v>37</v>
      </c>
      <c r="AE248" t="s">
        <v>37</v>
      </c>
      <c r="AF248" t="s">
        <v>37</v>
      </c>
      <c r="AG248" s="6" t="s">
        <v>37</v>
      </c>
      <c r="AH248" t="s">
        <v>37</v>
      </c>
      <c r="AI248" t="s">
        <v>37</v>
      </c>
      <c r="AJ248" t="str">
        <f t="shared" si="11"/>
        <v>3S7Y1OIVB07W6JG6Z7</v>
      </c>
    </row>
    <row r="249" spans="1:36" ht="15" customHeight="1" x14ac:dyDescent="0.25">
      <c r="A249" t="s">
        <v>599</v>
      </c>
      <c r="B249" t="s">
        <v>37</v>
      </c>
      <c r="C249" t="s">
        <v>37</v>
      </c>
      <c r="D249" t="s">
        <v>38</v>
      </c>
      <c r="E249" s="4">
        <v>10</v>
      </c>
      <c r="F249" s="5">
        <v>234.2</v>
      </c>
      <c r="G249" s="5" t="s">
        <v>39</v>
      </c>
      <c r="H249" s="5">
        <v>336</v>
      </c>
      <c r="I249" s="5" t="s">
        <v>39</v>
      </c>
      <c r="J249" s="5">
        <v>7.9627999999999997</v>
      </c>
      <c r="K249" s="5">
        <f t="shared" si="9"/>
        <v>0.79627999999999999</v>
      </c>
      <c r="L249" s="5">
        <f t="shared" si="10"/>
        <v>23.419999999999998</v>
      </c>
      <c r="M249" s="5" t="s">
        <v>39</v>
      </c>
      <c r="N249" s="5">
        <v>7.9627999999999997</v>
      </c>
      <c r="O249" s="5" t="s">
        <v>39</v>
      </c>
      <c r="P249" t="s">
        <v>189</v>
      </c>
      <c r="Q249" t="s">
        <v>596</v>
      </c>
      <c r="R249" t="s">
        <v>37</v>
      </c>
      <c r="S249" t="s">
        <v>597</v>
      </c>
      <c r="T249" t="s">
        <v>43</v>
      </c>
      <c r="U249" t="s">
        <v>44</v>
      </c>
      <c r="V249">
        <v>147</v>
      </c>
      <c r="W249" t="s">
        <v>45</v>
      </c>
      <c r="X249" t="s">
        <v>53</v>
      </c>
      <c r="Y249" t="s">
        <v>598</v>
      </c>
      <c r="Z249" t="s">
        <v>37</v>
      </c>
      <c r="AA249" t="s">
        <v>61</v>
      </c>
      <c r="AB249" t="s">
        <v>37</v>
      </c>
      <c r="AC249" s="6" t="s">
        <v>37</v>
      </c>
      <c r="AD249" s="6" t="s">
        <v>37</v>
      </c>
      <c r="AE249" t="s">
        <v>37</v>
      </c>
      <c r="AF249" t="s">
        <v>37</v>
      </c>
      <c r="AG249" s="6" t="s">
        <v>37</v>
      </c>
      <c r="AH249" t="s">
        <v>37</v>
      </c>
      <c r="AI249" t="s">
        <v>37</v>
      </c>
      <c r="AJ249" t="str">
        <f t="shared" si="11"/>
        <v>6DPU2MKPB07W6J829F</v>
      </c>
    </row>
    <row r="250" spans="1:36" ht="15" customHeight="1" x14ac:dyDescent="0.25">
      <c r="A250" t="s">
        <v>36</v>
      </c>
      <c r="B250" t="s">
        <v>37</v>
      </c>
      <c r="C250" t="s">
        <v>37</v>
      </c>
      <c r="D250" t="s">
        <v>38</v>
      </c>
      <c r="E250" s="4">
        <v>8</v>
      </c>
      <c r="F250" s="5">
        <v>1173.68</v>
      </c>
      <c r="G250" s="5" t="s">
        <v>39</v>
      </c>
      <c r="H250" s="5">
        <v>1639.36</v>
      </c>
      <c r="I250" s="5" t="s">
        <v>39</v>
      </c>
      <c r="J250" s="5">
        <v>39.905119999999997</v>
      </c>
      <c r="K250" s="5">
        <f t="shared" si="9"/>
        <v>4.9881399999999996</v>
      </c>
      <c r="L250" s="5">
        <f t="shared" si="10"/>
        <v>146.71</v>
      </c>
      <c r="M250" s="5" t="s">
        <v>39</v>
      </c>
      <c r="N250" s="5">
        <v>39.905119999999997</v>
      </c>
      <c r="O250" s="5" t="s">
        <v>39</v>
      </c>
      <c r="P250" t="s">
        <v>89</v>
      </c>
      <c r="Q250" t="s">
        <v>600</v>
      </c>
      <c r="R250" t="s">
        <v>37</v>
      </c>
      <c r="S250" t="s">
        <v>601</v>
      </c>
      <c r="T250" t="s">
        <v>43</v>
      </c>
      <c r="U250" t="s">
        <v>44</v>
      </c>
      <c r="V250">
        <v>147</v>
      </c>
      <c r="W250" t="s">
        <v>45</v>
      </c>
      <c r="X250" t="s">
        <v>75</v>
      </c>
      <c r="Y250" t="s">
        <v>602</v>
      </c>
      <c r="Z250" t="s">
        <v>37</v>
      </c>
      <c r="AA250" t="s">
        <v>61</v>
      </c>
      <c r="AB250" t="s">
        <v>37</v>
      </c>
      <c r="AC250" s="6" t="s">
        <v>37</v>
      </c>
      <c r="AD250" s="6" t="s">
        <v>37</v>
      </c>
      <c r="AE250" t="s">
        <v>37</v>
      </c>
      <c r="AF250" t="s">
        <v>37</v>
      </c>
      <c r="AG250" s="6" t="s">
        <v>37</v>
      </c>
      <c r="AH250" t="s">
        <v>37</v>
      </c>
      <c r="AI250" t="s">
        <v>37</v>
      </c>
      <c r="AJ250" t="str">
        <f t="shared" si="11"/>
        <v>6D1HFTMSB07W4DJDCS</v>
      </c>
    </row>
    <row r="251" spans="1:36" ht="15" customHeight="1" x14ac:dyDescent="0.25">
      <c r="A251" t="s">
        <v>36</v>
      </c>
      <c r="B251" t="s">
        <v>37</v>
      </c>
      <c r="C251" t="s">
        <v>37</v>
      </c>
      <c r="D251" t="s">
        <v>38</v>
      </c>
      <c r="E251" s="4">
        <v>100</v>
      </c>
      <c r="F251" s="5">
        <v>2342</v>
      </c>
      <c r="G251" s="5" t="s">
        <v>39</v>
      </c>
      <c r="H251" s="5">
        <v>3360</v>
      </c>
      <c r="I251" s="5" t="s">
        <v>39</v>
      </c>
      <c r="J251" s="5">
        <v>79.628</v>
      </c>
      <c r="K251" s="5">
        <f t="shared" si="9"/>
        <v>0.79627999999999999</v>
      </c>
      <c r="L251" s="5">
        <f t="shared" si="10"/>
        <v>23.42</v>
      </c>
      <c r="M251" s="5" t="s">
        <v>39</v>
      </c>
      <c r="N251" s="5">
        <v>79.628</v>
      </c>
      <c r="O251" s="5" t="s">
        <v>39</v>
      </c>
      <c r="P251" t="s">
        <v>89</v>
      </c>
      <c r="Q251" t="s">
        <v>603</v>
      </c>
      <c r="R251" t="s">
        <v>37</v>
      </c>
      <c r="S251" t="s">
        <v>604</v>
      </c>
      <c r="T251" t="s">
        <v>43</v>
      </c>
      <c r="U251" t="s">
        <v>44</v>
      </c>
      <c r="V251">
        <v>147</v>
      </c>
      <c r="W251" t="s">
        <v>45</v>
      </c>
      <c r="X251" t="s">
        <v>53</v>
      </c>
      <c r="Y251" t="s">
        <v>605</v>
      </c>
      <c r="Z251" t="s">
        <v>37</v>
      </c>
      <c r="AA251" t="s">
        <v>61</v>
      </c>
      <c r="AB251" t="s">
        <v>37</v>
      </c>
      <c r="AC251" s="6" t="s">
        <v>37</v>
      </c>
      <c r="AD251" s="6" t="s">
        <v>37</v>
      </c>
      <c r="AE251" t="s">
        <v>37</v>
      </c>
      <c r="AF251" t="s">
        <v>37</v>
      </c>
      <c r="AG251" s="6" t="s">
        <v>37</v>
      </c>
      <c r="AH251" t="s">
        <v>37</v>
      </c>
      <c r="AI251" t="s">
        <v>37</v>
      </c>
      <c r="AJ251" t="str">
        <f t="shared" si="11"/>
        <v>6D1HFTMSB01K7GEAFC</v>
      </c>
    </row>
    <row r="252" spans="1:36" ht="15" customHeight="1" x14ac:dyDescent="0.25">
      <c r="A252" t="s">
        <v>36</v>
      </c>
      <c r="B252" t="s">
        <v>37</v>
      </c>
      <c r="C252" t="s">
        <v>37</v>
      </c>
      <c r="D252" t="s">
        <v>38</v>
      </c>
      <c r="E252" s="4">
        <v>2</v>
      </c>
      <c r="F252" s="5">
        <v>212.98</v>
      </c>
      <c r="G252" s="5" t="s">
        <v>39</v>
      </c>
      <c r="H252" s="5">
        <v>286.86</v>
      </c>
      <c r="I252" s="5" t="s">
        <v>39</v>
      </c>
      <c r="J252" s="5">
        <v>7.24132</v>
      </c>
      <c r="K252" s="5">
        <f t="shared" si="9"/>
        <v>3.62066</v>
      </c>
      <c r="L252" s="5">
        <f t="shared" si="10"/>
        <v>106.49</v>
      </c>
      <c r="M252" s="5" t="s">
        <v>39</v>
      </c>
      <c r="N252" s="5">
        <v>7.24132</v>
      </c>
      <c r="O252" s="5" t="s">
        <v>39</v>
      </c>
      <c r="P252" t="s">
        <v>212</v>
      </c>
      <c r="Q252" t="s">
        <v>606</v>
      </c>
      <c r="R252" t="s">
        <v>37</v>
      </c>
      <c r="S252" t="s">
        <v>607</v>
      </c>
      <c r="T252" t="s">
        <v>43</v>
      </c>
      <c r="U252" t="s">
        <v>44</v>
      </c>
      <c r="V252">
        <v>23</v>
      </c>
      <c r="W252" t="s">
        <v>58</v>
      </c>
      <c r="X252" t="s">
        <v>59</v>
      </c>
      <c r="Y252" t="s">
        <v>608</v>
      </c>
      <c r="Z252" t="s">
        <v>37</v>
      </c>
      <c r="AA252" t="s">
        <v>145</v>
      </c>
      <c r="AB252" t="s">
        <v>37</v>
      </c>
      <c r="AC252" s="6" t="s">
        <v>37</v>
      </c>
      <c r="AD252" s="6" t="s">
        <v>37</v>
      </c>
      <c r="AE252" t="s">
        <v>37</v>
      </c>
      <c r="AF252" t="s">
        <v>37</v>
      </c>
      <c r="AG252" s="6" t="s">
        <v>37</v>
      </c>
      <c r="AH252" t="s">
        <v>37</v>
      </c>
      <c r="AI252" t="s">
        <v>37</v>
      </c>
      <c r="AJ252" t="str">
        <f t="shared" si="11"/>
        <v>4AY3K18CB07G6DL332</v>
      </c>
    </row>
    <row r="253" spans="1:36" ht="15" customHeight="1" x14ac:dyDescent="0.25">
      <c r="A253" t="s">
        <v>36</v>
      </c>
      <c r="B253" t="s">
        <v>37</v>
      </c>
      <c r="C253" t="s">
        <v>37</v>
      </c>
      <c r="D253" t="s">
        <v>38</v>
      </c>
      <c r="E253" s="4">
        <v>48</v>
      </c>
      <c r="F253" s="5">
        <v>2025.6</v>
      </c>
      <c r="G253" s="5" t="s">
        <v>39</v>
      </c>
      <c r="H253" s="5">
        <v>3225.6</v>
      </c>
      <c r="I253" s="5" t="s">
        <v>39</v>
      </c>
      <c r="J253" s="5">
        <v>68.870400000000004</v>
      </c>
      <c r="K253" s="5">
        <f t="shared" si="9"/>
        <v>1.4348000000000001</v>
      </c>
      <c r="L253" s="5">
        <f t="shared" si="10"/>
        <v>42.199999999999996</v>
      </c>
      <c r="M253" s="5" t="s">
        <v>39</v>
      </c>
      <c r="N253" s="5">
        <v>68.870400000000004</v>
      </c>
      <c r="O253" s="5" t="s">
        <v>39</v>
      </c>
      <c r="P253" t="s">
        <v>167</v>
      </c>
      <c r="Q253" t="s">
        <v>356</v>
      </c>
      <c r="R253" t="s">
        <v>37</v>
      </c>
      <c r="S253" t="s">
        <v>357</v>
      </c>
      <c r="T253" t="s">
        <v>43</v>
      </c>
      <c r="U253" t="s">
        <v>44</v>
      </c>
      <c r="V253">
        <v>147</v>
      </c>
      <c r="W253" t="s">
        <v>45</v>
      </c>
      <c r="X253" t="s">
        <v>46</v>
      </c>
      <c r="Y253" t="s">
        <v>358</v>
      </c>
      <c r="Z253" t="s">
        <v>37</v>
      </c>
      <c r="AA253" t="s">
        <v>48</v>
      </c>
      <c r="AB253" t="s">
        <v>37</v>
      </c>
      <c r="AC253" s="6" t="s">
        <v>37</v>
      </c>
      <c r="AD253" s="6" t="s">
        <v>37</v>
      </c>
      <c r="AE253" t="s">
        <v>37</v>
      </c>
      <c r="AF253" t="s">
        <v>37</v>
      </c>
      <c r="AG253" s="6" t="s">
        <v>37</v>
      </c>
      <c r="AH253" t="s">
        <v>37</v>
      </c>
      <c r="AI253" t="s">
        <v>37</v>
      </c>
      <c r="AJ253" t="str">
        <f t="shared" si="11"/>
        <v>4FFLHW5MB01L6L45ES</v>
      </c>
    </row>
    <row r="254" spans="1:36" ht="15" customHeight="1" x14ac:dyDescent="0.25">
      <c r="A254" t="s">
        <v>133</v>
      </c>
      <c r="B254" t="s">
        <v>37</v>
      </c>
      <c r="C254" t="s">
        <v>37</v>
      </c>
      <c r="D254" t="s">
        <v>38</v>
      </c>
      <c r="E254" s="4">
        <v>30</v>
      </c>
      <c r="F254" s="5">
        <v>526.79999999999995</v>
      </c>
      <c r="G254" s="5" t="s">
        <v>39</v>
      </c>
      <c r="H254" s="5">
        <v>762</v>
      </c>
      <c r="I254" s="5" t="s">
        <v>39</v>
      </c>
      <c r="J254" s="5">
        <v>17.911200000000001</v>
      </c>
      <c r="K254" s="5">
        <f t="shared" si="9"/>
        <v>0.59704000000000002</v>
      </c>
      <c r="L254" s="5">
        <f t="shared" si="10"/>
        <v>17.559999999999999</v>
      </c>
      <c r="M254" s="5" t="s">
        <v>39</v>
      </c>
      <c r="N254" s="5">
        <v>17.911200000000001</v>
      </c>
      <c r="O254" s="5" t="s">
        <v>39</v>
      </c>
      <c r="P254" t="s">
        <v>219</v>
      </c>
      <c r="Q254" t="s">
        <v>537</v>
      </c>
      <c r="R254" t="s">
        <v>37</v>
      </c>
      <c r="S254" t="s">
        <v>538</v>
      </c>
      <c r="T254" t="s">
        <v>43</v>
      </c>
      <c r="U254" t="s">
        <v>44</v>
      </c>
      <c r="V254">
        <v>147</v>
      </c>
      <c r="W254" t="s">
        <v>45</v>
      </c>
      <c r="X254" t="s">
        <v>75</v>
      </c>
      <c r="Y254" t="s">
        <v>539</v>
      </c>
      <c r="Z254" t="s">
        <v>540</v>
      </c>
      <c r="AA254" t="s">
        <v>61</v>
      </c>
      <c r="AB254" t="s">
        <v>37</v>
      </c>
      <c r="AC254" s="6" t="s">
        <v>37</v>
      </c>
      <c r="AD254" s="6" t="s">
        <v>37</v>
      </c>
      <c r="AE254" t="s">
        <v>37</v>
      </c>
      <c r="AF254" t="s">
        <v>37</v>
      </c>
      <c r="AG254" s="6" t="s">
        <v>37</v>
      </c>
      <c r="AH254" t="s">
        <v>37</v>
      </c>
      <c r="AI254" t="s">
        <v>37</v>
      </c>
      <c r="AJ254" t="str">
        <f t="shared" si="11"/>
        <v>5EPWKXSHB01ENKI4D2</v>
      </c>
    </row>
    <row r="255" spans="1:36" ht="15" customHeight="1" x14ac:dyDescent="0.25">
      <c r="A255" t="s">
        <v>262</v>
      </c>
      <c r="B255" t="s">
        <v>37</v>
      </c>
      <c r="C255" t="s">
        <v>37</v>
      </c>
      <c r="D255" t="s">
        <v>38</v>
      </c>
      <c r="E255" s="4">
        <v>10</v>
      </c>
      <c r="F255" s="5">
        <v>234.2</v>
      </c>
      <c r="G255" s="5" t="s">
        <v>39</v>
      </c>
      <c r="H255" s="5">
        <v>336</v>
      </c>
      <c r="I255" s="5" t="s">
        <v>39</v>
      </c>
      <c r="J255" s="5">
        <v>7.9627999999999997</v>
      </c>
      <c r="K255" s="5">
        <f t="shared" si="9"/>
        <v>0.79627999999999999</v>
      </c>
      <c r="L255" s="5">
        <f t="shared" si="10"/>
        <v>23.419999999999998</v>
      </c>
      <c r="M255" s="5" t="s">
        <v>39</v>
      </c>
      <c r="N255" s="5">
        <v>7.9627999999999997</v>
      </c>
      <c r="O255" s="5" t="s">
        <v>39</v>
      </c>
      <c r="P255" t="s">
        <v>89</v>
      </c>
      <c r="Q255" t="s">
        <v>603</v>
      </c>
      <c r="R255" t="s">
        <v>37</v>
      </c>
      <c r="S255" t="s">
        <v>604</v>
      </c>
      <c r="T255" t="s">
        <v>43</v>
      </c>
      <c r="U255" t="s">
        <v>44</v>
      </c>
      <c r="V255">
        <v>147</v>
      </c>
      <c r="W255" t="s">
        <v>45</v>
      </c>
      <c r="X255" t="s">
        <v>53</v>
      </c>
      <c r="Y255" t="s">
        <v>605</v>
      </c>
      <c r="Z255" t="s">
        <v>37</v>
      </c>
      <c r="AA255" t="s">
        <v>61</v>
      </c>
      <c r="AB255" t="s">
        <v>37</v>
      </c>
      <c r="AC255" s="6" t="s">
        <v>37</v>
      </c>
      <c r="AD255" s="6" t="s">
        <v>37</v>
      </c>
      <c r="AE255" t="s">
        <v>37</v>
      </c>
      <c r="AF255" t="s">
        <v>37</v>
      </c>
      <c r="AG255" s="6" t="s">
        <v>37</v>
      </c>
      <c r="AH255" t="s">
        <v>37</v>
      </c>
      <c r="AI255" t="s">
        <v>37</v>
      </c>
      <c r="AJ255" t="str">
        <f t="shared" si="11"/>
        <v>6D1HFTMSB01K7GEAFC</v>
      </c>
    </row>
    <row r="256" spans="1:36" ht="15" customHeight="1" x14ac:dyDescent="0.25">
      <c r="A256" t="s">
        <v>67</v>
      </c>
      <c r="B256" t="s">
        <v>37</v>
      </c>
      <c r="C256" t="s">
        <v>37</v>
      </c>
      <c r="D256" t="s">
        <v>38</v>
      </c>
      <c r="E256" s="4">
        <v>36</v>
      </c>
      <c r="F256" s="5">
        <v>1679.76</v>
      </c>
      <c r="G256" s="5" t="s">
        <v>39</v>
      </c>
      <c r="H256" s="5">
        <v>1679.76</v>
      </c>
      <c r="I256" s="5" t="s">
        <v>39</v>
      </c>
      <c r="J256" s="5">
        <v>57.111840000000001</v>
      </c>
      <c r="K256" s="5">
        <f t="shared" si="9"/>
        <v>1.5864400000000001</v>
      </c>
      <c r="L256" s="5">
        <f t="shared" si="10"/>
        <v>46.66</v>
      </c>
      <c r="M256" s="5" t="s">
        <v>39</v>
      </c>
      <c r="N256" s="5">
        <v>57.111840000000001</v>
      </c>
      <c r="O256" s="5" t="s">
        <v>39</v>
      </c>
      <c r="P256" t="s">
        <v>421</v>
      </c>
      <c r="Q256" t="s">
        <v>556</v>
      </c>
      <c r="R256" t="s">
        <v>37</v>
      </c>
      <c r="S256" t="s">
        <v>557</v>
      </c>
      <c r="T256" t="s">
        <v>43</v>
      </c>
      <c r="U256" t="s">
        <v>44</v>
      </c>
      <c r="V256">
        <v>147</v>
      </c>
      <c r="W256" t="s">
        <v>45</v>
      </c>
      <c r="X256" t="s">
        <v>177</v>
      </c>
      <c r="Y256" t="s">
        <v>558</v>
      </c>
      <c r="Z256" t="s">
        <v>37</v>
      </c>
      <c r="AA256" t="s">
        <v>61</v>
      </c>
      <c r="AB256" t="s">
        <v>37</v>
      </c>
      <c r="AC256" s="6" t="s">
        <v>37</v>
      </c>
      <c r="AD256" s="6" t="s">
        <v>37</v>
      </c>
      <c r="AE256" t="s">
        <v>37</v>
      </c>
      <c r="AF256" t="s">
        <v>37</v>
      </c>
      <c r="AG256" s="6" t="s">
        <v>37</v>
      </c>
      <c r="AH256" t="s">
        <v>37</v>
      </c>
      <c r="AI256" t="s">
        <v>37</v>
      </c>
      <c r="AJ256" t="str">
        <f t="shared" si="11"/>
        <v>1QCXHA1RB00C3VSZEW</v>
      </c>
    </row>
    <row r="257" spans="1:36" ht="15" customHeight="1" x14ac:dyDescent="0.25">
      <c r="A257" t="s">
        <v>36</v>
      </c>
      <c r="B257" t="s">
        <v>37</v>
      </c>
      <c r="C257" t="s">
        <v>37</v>
      </c>
      <c r="D257" t="s">
        <v>38</v>
      </c>
      <c r="E257" s="4">
        <v>30</v>
      </c>
      <c r="F257" s="5">
        <v>439.2</v>
      </c>
      <c r="G257" s="5" t="s">
        <v>39</v>
      </c>
      <c r="H257" s="5">
        <v>880.2</v>
      </c>
      <c r="I257" s="5" t="s">
        <v>39</v>
      </c>
      <c r="J257" s="5">
        <v>14.9328</v>
      </c>
      <c r="K257" s="5">
        <f t="shared" si="9"/>
        <v>0.49776000000000004</v>
      </c>
      <c r="L257" s="5">
        <f t="shared" si="10"/>
        <v>14.639999999999999</v>
      </c>
      <c r="M257" s="5" t="s">
        <v>39</v>
      </c>
      <c r="N257" s="5">
        <v>14.9328</v>
      </c>
      <c r="O257" s="5" t="s">
        <v>39</v>
      </c>
      <c r="P257" t="s">
        <v>167</v>
      </c>
      <c r="Q257" t="s">
        <v>278</v>
      </c>
      <c r="R257" t="s">
        <v>37</v>
      </c>
      <c r="S257" t="s">
        <v>279</v>
      </c>
      <c r="T257" t="s">
        <v>43</v>
      </c>
      <c r="U257" t="s">
        <v>44</v>
      </c>
      <c r="V257">
        <v>147</v>
      </c>
      <c r="W257" t="s">
        <v>45</v>
      </c>
      <c r="X257" t="s">
        <v>75</v>
      </c>
      <c r="Y257" t="s">
        <v>280</v>
      </c>
      <c r="Z257" t="s">
        <v>37</v>
      </c>
      <c r="AA257" t="s">
        <v>61</v>
      </c>
      <c r="AB257" t="s">
        <v>37</v>
      </c>
      <c r="AC257" s="6" t="s">
        <v>37</v>
      </c>
      <c r="AD257" s="6" t="s">
        <v>37</v>
      </c>
      <c r="AE257" t="s">
        <v>37</v>
      </c>
      <c r="AF257" t="s">
        <v>37</v>
      </c>
      <c r="AG257" s="6" t="s">
        <v>37</v>
      </c>
      <c r="AH257" t="s">
        <v>37</v>
      </c>
      <c r="AI257" t="s">
        <v>37</v>
      </c>
      <c r="AJ257" t="str">
        <f t="shared" si="11"/>
        <v>4FFLHW5MB01I252A34</v>
      </c>
    </row>
    <row r="258" spans="1:36" ht="15" customHeight="1" x14ac:dyDescent="0.25">
      <c r="A258" t="s">
        <v>49</v>
      </c>
      <c r="B258" t="s">
        <v>37</v>
      </c>
      <c r="C258" t="s">
        <v>37</v>
      </c>
      <c r="D258" t="s">
        <v>38</v>
      </c>
      <c r="E258" s="4">
        <v>0</v>
      </c>
      <c r="F258" s="5">
        <v>0</v>
      </c>
      <c r="G258" s="5" t="s">
        <v>39</v>
      </c>
      <c r="H258" s="5">
        <v>0</v>
      </c>
      <c r="I258" s="5" t="s">
        <v>39</v>
      </c>
      <c r="J258" s="5">
        <v>0</v>
      </c>
      <c r="K258" s="5" t="e">
        <f t="shared" si="9"/>
        <v>#DIV/0!</v>
      </c>
      <c r="L258" s="5" t="e">
        <f t="shared" si="10"/>
        <v>#DIV/0!</v>
      </c>
      <c r="M258" s="5" t="s">
        <v>39</v>
      </c>
      <c r="N258" s="5">
        <v>0</v>
      </c>
      <c r="O258" s="5" t="s">
        <v>39</v>
      </c>
      <c r="P258" t="s">
        <v>609</v>
      </c>
      <c r="Q258" t="s">
        <v>610</v>
      </c>
      <c r="R258" t="s">
        <v>37</v>
      </c>
      <c r="S258" t="s">
        <v>611</v>
      </c>
      <c r="T258" t="s">
        <v>43</v>
      </c>
      <c r="U258" t="s">
        <v>44</v>
      </c>
      <c r="V258">
        <v>147</v>
      </c>
      <c r="W258" t="s">
        <v>45</v>
      </c>
      <c r="X258" t="s">
        <v>177</v>
      </c>
      <c r="Y258" t="s">
        <v>612</v>
      </c>
      <c r="Z258" t="s">
        <v>37</v>
      </c>
      <c r="AA258" t="s">
        <v>61</v>
      </c>
      <c r="AB258" t="s">
        <v>37</v>
      </c>
      <c r="AC258" s="6" t="s">
        <v>37</v>
      </c>
      <c r="AD258" s="6" t="s">
        <v>37</v>
      </c>
      <c r="AE258" t="s">
        <v>37</v>
      </c>
      <c r="AF258" t="s">
        <v>37</v>
      </c>
      <c r="AG258" s="6" t="s">
        <v>37</v>
      </c>
      <c r="AH258" t="s">
        <v>37</v>
      </c>
      <c r="AI258" t="s">
        <v>37</v>
      </c>
      <c r="AJ258" t="str">
        <f t="shared" si="11"/>
        <v>51XCCHHLB01N5NYRES</v>
      </c>
    </row>
    <row r="259" spans="1:36" ht="15" customHeight="1" x14ac:dyDescent="0.25">
      <c r="A259" t="s">
        <v>133</v>
      </c>
      <c r="B259" t="s">
        <v>37</v>
      </c>
      <c r="C259" t="s">
        <v>37</v>
      </c>
      <c r="D259" t="s">
        <v>38</v>
      </c>
      <c r="E259" s="4">
        <v>8</v>
      </c>
      <c r="F259" s="5">
        <v>165.92</v>
      </c>
      <c r="G259" s="5" t="s">
        <v>39</v>
      </c>
      <c r="H259" s="5">
        <v>196.64</v>
      </c>
      <c r="I259" s="5" t="s">
        <v>39</v>
      </c>
      <c r="J259" s="5">
        <v>5.6412800000000001</v>
      </c>
      <c r="K259" s="5">
        <f t="shared" ref="K259:K322" si="12">J259/E259</f>
        <v>0.70516000000000001</v>
      </c>
      <c r="L259" s="5">
        <f t="shared" ref="L259:L322" si="13">F259/E259</f>
        <v>20.74</v>
      </c>
      <c r="M259" s="5" t="s">
        <v>39</v>
      </c>
      <c r="N259" s="5">
        <v>5.6412800000000001</v>
      </c>
      <c r="O259" s="5" t="s">
        <v>39</v>
      </c>
      <c r="P259" t="s">
        <v>116</v>
      </c>
      <c r="Q259" t="s">
        <v>613</v>
      </c>
      <c r="R259" t="s">
        <v>37</v>
      </c>
      <c r="S259" t="s">
        <v>614</v>
      </c>
      <c r="T259" t="s">
        <v>43</v>
      </c>
      <c r="U259" t="s">
        <v>44</v>
      </c>
      <c r="V259">
        <v>23</v>
      </c>
      <c r="W259" t="s">
        <v>95</v>
      </c>
      <c r="X259" t="s">
        <v>96</v>
      </c>
      <c r="Y259" t="s">
        <v>615</v>
      </c>
      <c r="Z259" t="s">
        <v>37</v>
      </c>
      <c r="AA259" t="s">
        <v>145</v>
      </c>
      <c r="AB259" t="s">
        <v>37</v>
      </c>
      <c r="AC259" s="6" t="s">
        <v>37</v>
      </c>
      <c r="AD259" s="6" t="s">
        <v>37</v>
      </c>
      <c r="AE259" t="s">
        <v>37</v>
      </c>
      <c r="AF259" t="s">
        <v>37</v>
      </c>
      <c r="AG259" s="6" t="s">
        <v>37</v>
      </c>
      <c r="AH259" t="s">
        <v>37</v>
      </c>
      <c r="AI259" t="s">
        <v>37</v>
      </c>
      <c r="AJ259" t="str">
        <f t="shared" ref="AJ259:AJ322" si="14">P259&amp;Q259</f>
        <v>3S7Y1OIVB07J9Q68CK</v>
      </c>
    </row>
    <row r="260" spans="1:36" ht="15" customHeight="1" x14ac:dyDescent="0.25">
      <c r="A260" t="s">
        <v>36</v>
      </c>
      <c r="B260" t="s">
        <v>37</v>
      </c>
      <c r="C260" t="s">
        <v>37</v>
      </c>
      <c r="D260" t="s">
        <v>38</v>
      </c>
      <c r="E260" s="4">
        <v>8</v>
      </c>
      <c r="F260" s="5">
        <v>234.24</v>
      </c>
      <c r="G260" s="5" t="s">
        <v>39</v>
      </c>
      <c r="H260" s="5">
        <v>340.88</v>
      </c>
      <c r="I260" s="5" t="s">
        <v>39</v>
      </c>
      <c r="J260" s="5">
        <v>7.9641599999999997</v>
      </c>
      <c r="K260" s="5">
        <f t="shared" si="12"/>
        <v>0.99551999999999996</v>
      </c>
      <c r="L260" s="5">
        <f t="shared" si="13"/>
        <v>29.28</v>
      </c>
      <c r="M260" s="5" t="s">
        <v>39</v>
      </c>
      <c r="N260" s="5">
        <v>7.9641599999999997</v>
      </c>
      <c r="O260" s="5" t="s">
        <v>39</v>
      </c>
      <c r="P260" t="s">
        <v>89</v>
      </c>
      <c r="Q260" t="s">
        <v>251</v>
      </c>
      <c r="R260" t="s">
        <v>37</v>
      </c>
      <c r="S260" t="s">
        <v>252</v>
      </c>
      <c r="T260" t="s">
        <v>43</v>
      </c>
      <c r="U260" t="s">
        <v>44</v>
      </c>
      <c r="V260">
        <v>147</v>
      </c>
      <c r="W260" t="s">
        <v>45</v>
      </c>
      <c r="X260" t="s">
        <v>75</v>
      </c>
      <c r="Y260" t="s">
        <v>253</v>
      </c>
      <c r="Z260" t="s">
        <v>37</v>
      </c>
      <c r="AA260" t="s">
        <v>61</v>
      </c>
      <c r="AB260" t="s">
        <v>37</v>
      </c>
      <c r="AC260" s="6" t="s">
        <v>37</v>
      </c>
      <c r="AD260" s="6" t="s">
        <v>37</v>
      </c>
      <c r="AE260" t="s">
        <v>37</v>
      </c>
      <c r="AF260" t="s">
        <v>37</v>
      </c>
      <c r="AG260" s="6" t="s">
        <v>37</v>
      </c>
      <c r="AH260" t="s">
        <v>37</v>
      </c>
      <c r="AI260" t="s">
        <v>37</v>
      </c>
      <c r="AJ260" t="str">
        <f t="shared" si="14"/>
        <v>6D1HFTMSB07W5JHXF8</v>
      </c>
    </row>
    <row r="261" spans="1:36" ht="15" customHeight="1" x14ac:dyDescent="0.25">
      <c r="A261" t="s">
        <v>67</v>
      </c>
      <c r="B261" t="s">
        <v>37</v>
      </c>
      <c r="C261" t="s">
        <v>37</v>
      </c>
      <c r="D261" t="s">
        <v>38</v>
      </c>
      <c r="E261" s="4">
        <v>2</v>
      </c>
      <c r="F261" s="5">
        <v>167.78</v>
      </c>
      <c r="G261" s="5" t="s">
        <v>39</v>
      </c>
      <c r="H261" s="5">
        <v>270.48</v>
      </c>
      <c r="I261" s="5" t="s">
        <v>39</v>
      </c>
      <c r="J261" s="5">
        <v>5.7045199999999996</v>
      </c>
      <c r="K261" s="5">
        <f t="shared" si="12"/>
        <v>2.8522599999999998</v>
      </c>
      <c r="L261" s="5">
        <f t="shared" si="13"/>
        <v>83.89</v>
      </c>
      <c r="M261" s="5" t="s">
        <v>39</v>
      </c>
      <c r="N261" s="5">
        <v>5.7045199999999996</v>
      </c>
      <c r="O261" s="5" t="s">
        <v>39</v>
      </c>
      <c r="P261" t="s">
        <v>323</v>
      </c>
      <c r="Q261" t="s">
        <v>485</v>
      </c>
      <c r="R261" t="s">
        <v>37</v>
      </c>
      <c r="S261" t="s">
        <v>486</v>
      </c>
      <c r="T261" t="s">
        <v>43</v>
      </c>
      <c r="U261" t="s">
        <v>44</v>
      </c>
      <c r="V261">
        <v>147</v>
      </c>
      <c r="W261" t="s">
        <v>45</v>
      </c>
      <c r="X261" t="s">
        <v>46</v>
      </c>
      <c r="Y261" t="s">
        <v>487</v>
      </c>
      <c r="Z261" t="s">
        <v>37</v>
      </c>
      <c r="AA261" t="s">
        <v>48</v>
      </c>
      <c r="AB261" t="s">
        <v>37</v>
      </c>
      <c r="AC261" s="6" t="s">
        <v>37</v>
      </c>
      <c r="AD261" s="6" t="s">
        <v>37</v>
      </c>
      <c r="AE261" t="s">
        <v>37</v>
      </c>
      <c r="AF261" t="s">
        <v>37</v>
      </c>
      <c r="AG261" s="6" t="s">
        <v>37</v>
      </c>
      <c r="AH261" t="s">
        <v>37</v>
      </c>
      <c r="AI261" t="s">
        <v>37</v>
      </c>
      <c r="AJ261" t="str">
        <f t="shared" si="14"/>
        <v>11CZAECYB01MCXJWD1</v>
      </c>
    </row>
    <row r="262" spans="1:36" ht="15" customHeight="1" x14ac:dyDescent="0.25">
      <c r="A262" t="s">
        <v>67</v>
      </c>
      <c r="B262" t="s">
        <v>37</v>
      </c>
      <c r="C262" t="s">
        <v>37</v>
      </c>
      <c r="D262" t="s">
        <v>38</v>
      </c>
      <c r="E262" s="4">
        <v>4</v>
      </c>
      <c r="F262" s="5">
        <v>147.72</v>
      </c>
      <c r="G262" s="5" t="s">
        <v>39</v>
      </c>
      <c r="H262" s="5">
        <v>236.04</v>
      </c>
      <c r="I262" s="5" t="s">
        <v>39</v>
      </c>
      <c r="J262" s="5">
        <v>5.0224799999999998</v>
      </c>
      <c r="K262" s="5">
        <f t="shared" si="12"/>
        <v>1.25562</v>
      </c>
      <c r="L262" s="5">
        <f t="shared" si="13"/>
        <v>36.93</v>
      </c>
      <c r="M262" s="5" t="s">
        <v>39</v>
      </c>
      <c r="N262" s="5">
        <v>5.0224799999999998</v>
      </c>
      <c r="O262" s="5" t="s">
        <v>39</v>
      </c>
      <c r="P262" t="s">
        <v>63</v>
      </c>
      <c r="Q262" t="s">
        <v>616</v>
      </c>
      <c r="R262" t="s">
        <v>37</v>
      </c>
      <c r="S262" t="s">
        <v>617</v>
      </c>
      <c r="T262" t="s">
        <v>43</v>
      </c>
      <c r="U262" t="s">
        <v>44</v>
      </c>
      <c r="V262">
        <v>147</v>
      </c>
      <c r="W262" t="s">
        <v>45</v>
      </c>
      <c r="X262" t="s">
        <v>46</v>
      </c>
      <c r="Y262" t="s">
        <v>618</v>
      </c>
      <c r="Z262" t="s">
        <v>37</v>
      </c>
      <c r="AA262" t="s">
        <v>145</v>
      </c>
      <c r="AB262" t="s">
        <v>37</v>
      </c>
      <c r="AC262" s="6" t="s">
        <v>37</v>
      </c>
      <c r="AD262" s="6" t="s">
        <v>37</v>
      </c>
      <c r="AE262" t="s">
        <v>37</v>
      </c>
      <c r="AF262" t="s">
        <v>37</v>
      </c>
      <c r="AG262" s="6" t="s">
        <v>37</v>
      </c>
      <c r="AH262" t="s">
        <v>37</v>
      </c>
      <c r="AI262" t="s">
        <v>37</v>
      </c>
      <c r="AJ262" t="str">
        <f t="shared" si="14"/>
        <v>3AWPOPBJB07W6JNK1Z</v>
      </c>
    </row>
    <row r="263" spans="1:36" ht="15" customHeight="1" x14ac:dyDescent="0.25">
      <c r="A263" t="s">
        <v>133</v>
      </c>
      <c r="B263" t="s">
        <v>37</v>
      </c>
      <c r="C263" t="s">
        <v>37</v>
      </c>
      <c r="D263" t="s">
        <v>38</v>
      </c>
      <c r="E263" s="4">
        <v>128</v>
      </c>
      <c r="F263" s="5">
        <v>2624</v>
      </c>
      <c r="G263" s="5" t="s">
        <v>39</v>
      </c>
      <c r="H263" s="5">
        <v>3776</v>
      </c>
      <c r="I263" s="5" t="s">
        <v>39</v>
      </c>
      <c r="J263" s="5">
        <v>89.215999999999994</v>
      </c>
      <c r="K263" s="5">
        <f t="shared" si="12"/>
        <v>0.69699999999999995</v>
      </c>
      <c r="L263" s="5">
        <f t="shared" si="13"/>
        <v>20.5</v>
      </c>
      <c r="M263" s="5" t="s">
        <v>39</v>
      </c>
      <c r="N263" s="5">
        <v>89.215999999999994</v>
      </c>
      <c r="O263" s="5" t="s">
        <v>39</v>
      </c>
      <c r="P263" t="s">
        <v>219</v>
      </c>
      <c r="Q263" t="s">
        <v>226</v>
      </c>
      <c r="R263" t="s">
        <v>37</v>
      </c>
      <c r="S263" t="s">
        <v>227</v>
      </c>
      <c r="T263" t="s">
        <v>43</v>
      </c>
      <c r="U263" t="s">
        <v>44</v>
      </c>
      <c r="V263">
        <v>147</v>
      </c>
      <c r="W263" t="s">
        <v>45</v>
      </c>
      <c r="X263" t="s">
        <v>75</v>
      </c>
      <c r="Y263" t="s">
        <v>228</v>
      </c>
      <c r="Z263" t="s">
        <v>37</v>
      </c>
      <c r="AA263" t="s">
        <v>48</v>
      </c>
      <c r="AB263" t="s">
        <v>37</v>
      </c>
      <c r="AC263" s="6" t="s">
        <v>37</v>
      </c>
      <c r="AD263" s="6" t="s">
        <v>37</v>
      </c>
      <c r="AE263" t="s">
        <v>37</v>
      </c>
      <c r="AF263" t="s">
        <v>37</v>
      </c>
      <c r="AG263" s="6" t="s">
        <v>37</v>
      </c>
      <c r="AH263" t="s">
        <v>37</v>
      </c>
      <c r="AI263" t="s">
        <v>37</v>
      </c>
      <c r="AJ263" t="str">
        <f t="shared" si="14"/>
        <v>5EPWKXSHB01C47ZFLK</v>
      </c>
    </row>
    <row r="264" spans="1:36" ht="15" customHeight="1" x14ac:dyDescent="0.25">
      <c r="A264" t="s">
        <v>400</v>
      </c>
      <c r="B264" t="s">
        <v>37</v>
      </c>
      <c r="C264" t="s">
        <v>37</v>
      </c>
      <c r="D264" t="s">
        <v>38</v>
      </c>
      <c r="E264" s="4">
        <v>152</v>
      </c>
      <c r="F264" s="5">
        <v>10345.120000000001</v>
      </c>
      <c r="G264" s="5" t="s">
        <v>39</v>
      </c>
      <c r="H264" s="5">
        <v>16818.8</v>
      </c>
      <c r="I264" s="5" t="s">
        <v>39</v>
      </c>
      <c r="J264" s="5">
        <v>351.73408000000001</v>
      </c>
      <c r="K264" s="5">
        <f t="shared" si="12"/>
        <v>2.3140399999999999</v>
      </c>
      <c r="L264" s="5">
        <f t="shared" si="13"/>
        <v>68.06</v>
      </c>
      <c r="M264" s="5" t="s">
        <v>39</v>
      </c>
      <c r="N264" s="5">
        <v>351.73408000000001</v>
      </c>
      <c r="O264" s="5" t="s">
        <v>39</v>
      </c>
      <c r="P264" t="s">
        <v>263</v>
      </c>
      <c r="Q264" t="s">
        <v>112</v>
      </c>
      <c r="R264" t="s">
        <v>37</v>
      </c>
      <c r="S264" t="s">
        <v>113</v>
      </c>
      <c r="T264" t="s">
        <v>43</v>
      </c>
      <c r="U264" t="s">
        <v>44</v>
      </c>
      <c r="V264">
        <v>147</v>
      </c>
      <c r="W264" t="s">
        <v>45</v>
      </c>
      <c r="X264" t="s">
        <v>75</v>
      </c>
      <c r="Y264" t="s">
        <v>114</v>
      </c>
      <c r="Z264" t="s">
        <v>37</v>
      </c>
      <c r="AA264" t="s">
        <v>61</v>
      </c>
      <c r="AB264" t="s">
        <v>37</v>
      </c>
      <c r="AC264" s="6" t="s">
        <v>37</v>
      </c>
      <c r="AD264" s="6" t="s">
        <v>37</v>
      </c>
      <c r="AE264" t="s">
        <v>37</v>
      </c>
      <c r="AF264" t="s">
        <v>37</v>
      </c>
      <c r="AG264" s="6" t="s">
        <v>37</v>
      </c>
      <c r="AH264" t="s">
        <v>37</v>
      </c>
      <c r="AI264" t="s">
        <v>37</v>
      </c>
      <c r="AJ264" t="str">
        <f t="shared" si="14"/>
        <v>3B2Q175VB07W6JNQ82</v>
      </c>
    </row>
    <row r="265" spans="1:36" ht="15" customHeight="1" x14ac:dyDescent="0.25">
      <c r="A265" t="s">
        <v>372</v>
      </c>
      <c r="B265" t="s">
        <v>37</v>
      </c>
      <c r="C265" t="s">
        <v>37</v>
      </c>
      <c r="D265" t="s">
        <v>38</v>
      </c>
      <c r="E265" s="4">
        <v>2</v>
      </c>
      <c r="F265" s="5">
        <v>212.98</v>
      </c>
      <c r="G265" s="5" t="s">
        <v>39</v>
      </c>
      <c r="H265" s="5">
        <v>286.86</v>
      </c>
      <c r="I265" s="5" t="s">
        <v>39</v>
      </c>
      <c r="J265" s="5">
        <v>7.24132</v>
      </c>
      <c r="K265" s="5">
        <f t="shared" si="12"/>
        <v>3.62066</v>
      </c>
      <c r="L265" s="5">
        <f t="shared" si="13"/>
        <v>106.49</v>
      </c>
      <c r="M265" s="5" t="s">
        <v>39</v>
      </c>
      <c r="N265" s="5">
        <v>7.24132</v>
      </c>
      <c r="O265" s="5" t="s">
        <v>39</v>
      </c>
      <c r="P265" t="s">
        <v>123</v>
      </c>
      <c r="Q265" t="s">
        <v>619</v>
      </c>
      <c r="R265" t="s">
        <v>37</v>
      </c>
      <c r="S265" t="s">
        <v>620</v>
      </c>
      <c r="T265" t="s">
        <v>43</v>
      </c>
      <c r="U265" t="s">
        <v>44</v>
      </c>
      <c r="V265">
        <v>23</v>
      </c>
      <c r="W265" t="s">
        <v>58</v>
      </c>
      <c r="X265" t="s">
        <v>59</v>
      </c>
      <c r="Y265" t="s">
        <v>621</v>
      </c>
      <c r="Z265" t="s">
        <v>37</v>
      </c>
      <c r="AA265" t="s">
        <v>145</v>
      </c>
      <c r="AB265" t="s">
        <v>37</v>
      </c>
      <c r="AC265" s="6" t="s">
        <v>37</v>
      </c>
      <c r="AD265" s="6" t="s">
        <v>37</v>
      </c>
      <c r="AE265" t="s">
        <v>37</v>
      </c>
      <c r="AF265" t="s">
        <v>37</v>
      </c>
      <c r="AG265" s="6" t="s">
        <v>37</v>
      </c>
      <c r="AH265" t="s">
        <v>37</v>
      </c>
      <c r="AI265" t="s">
        <v>37</v>
      </c>
      <c r="AJ265" t="str">
        <f t="shared" si="14"/>
        <v>81V4YVNTB07G6LZVWH</v>
      </c>
    </row>
    <row r="266" spans="1:36" ht="15" customHeight="1" x14ac:dyDescent="0.25">
      <c r="A266" t="s">
        <v>133</v>
      </c>
      <c r="B266" t="s">
        <v>37</v>
      </c>
      <c r="C266" t="s">
        <v>37</v>
      </c>
      <c r="D266" t="s">
        <v>38</v>
      </c>
      <c r="E266" s="4">
        <v>20</v>
      </c>
      <c r="F266" s="5">
        <v>2129.8000000000002</v>
      </c>
      <c r="G266" s="5" t="s">
        <v>39</v>
      </c>
      <c r="H266" s="5">
        <v>3426</v>
      </c>
      <c r="I266" s="5" t="s">
        <v>39</v>
      </c>
      <c r="J266" s="5">
        <v>72.413200000000003</v>
      </c>
      <c r="K266" s="5">
        <f t="shared" si="12"/>
        <v>3.62066</v>
      </c>
      <c r="L266" s="5">
        <f t="shared" si="13"/>
        <v>106.49000000000001</v>
      </c>
      <c r="M266" s="5" t="s">
        <v>39</v>
      </c>
      <c r="N266" s="5">
        <v>72.413200000000003</v>
      </c>
      <c r="O266" s="5" t="s">
        <v>39</v>
      </c>
      <c r="P266" t="s">
        <v>189</v>
      </c>
      <c r="Q266" t="s">
        <v>622</v>
      </c>
      <c r="R266" t="s">
        <v>37</v>
      </c>
      <c r="S266" t="s">
        <v>623</v>
      </c>
      <c r="T266" t="s">
        <v>43</v>
      </c>
      <c r="U266" t="s">
        <v>44</v>
      </c>
      <c r="V266">
        <v>23</v>
      </c>
      <c r="W266" t="s">
        <v>624</v>
      </c>
      <c r="X266" t="s">
        <v>625</v>
      </c>
      <c r="Y266" t="s">
        <v>626</v>
      </c>
      <c r="Z266" t="s">
        <v>37</v>
      </c>
      <c r="AA266" t="s">
        <v>145</v>
      </c>
      <c r="AB266" t="s">
        <v>37</v>
      </c>
      <c r="AC266" s="6" t="s">
        <v>37</v>
      </c>
      <c r="AD266" s="6" t="s">
        <v>37</v>
      </c>
      <c r="AE266" t="s">
        <v>37</v>
      </c>
      <c r="AF266" t="s">
        <v>37</v>
      </c>
      <c r="AG266" s="6" t="s">
        <v>37</v>
      </c>
      <c r="AH266" t="s">
        <v>37</v>
      </c>
      <c r="AI266" t="s">
        <v>37</v>
      </c>
      <c r="AJ266" t="str">
        <f t="shared" si="14"/>
        <v>6DPU2MKPB07G6MYMKD</v>
      </c>
    </row>
    <row r="267" spans="1:36" ht="15" customHeight="1" x14ac:dyDescent="0.25">
      <c r="A267" t="s">
        <v>67</v>
      </c>
      <c r="B267" t="s">
        <v>37</v>
      </c>
      <c r="C267" t="s">
        <v>37</v>
      </c>
      <c r="D267" t="s">
        <v>38</v>
      </c>
      <c r="E267" s="4">
        <v>88</v>
      </c>
      <c r="F267" s="5">
        <v>6636.08</v>
      </c>
      <c r="G267" s="5" t="s">
        <v>39</v>
      </c>
      <c r="H267" s="5">
        <v>9737.2000000000007</v>
      </c>
      <c r="I267" s="5" t="s">
        <v>39</v>
      </c>
      <c r="J267" s="5">
        <v>225.62672000000001</v>
      </c>
      <c r="K267" s="5">
        <f t="shared" si="12"/>
        <v>2.5639400000000001</v>
      </c>
      <c r="L267" s="5">
        <f t="shared" si="13"/>
        <v>75.41</v>
      </c>
      <c r="M267" s="5" t="s">
        <v>39</v>
      </c>
      <c r="N267" s="5">
        <v>225.62672000000001</v>
      </c>
      <c r="O267" s="5" t="s">
        <v>39</v>
      </c>
      <c r="P267" t="s">
        <v>627</v>
      </c>
      <c r="Q267" t="s">
        <v>242</v>
      </c>
      <c r="R267" t="s">
        <v>37</v>
      </c>
      <c r="S267" t="s">
        <v>243</v>
      </c>
      <c r="T267" t="s">
        <v>43</v>
      </c>
      <c r="U267" t="s">
        <v>44</v>
      </c>
      <c r="V267">
        <v>147</v>
      </c>
      <c r="W267" t="s">
        <v>45</v>
      </c>
      <c r="X267" t="s">
        <v>53</v>
      </c>
      <c r="Y267" t="s">
        <v>244</v>
      </c>
      <c r="Z267" t="s">
        <v>37</v>
      </c>
      <c r="AA267" t="s">
        <v>48</v>
      </c>
      <c r="AB267" t="s">
        <v>37</v>
      </c>
      <c r="AC267" s="6" t="s">
        <v>37</v>
      </c>
      <c r="AD267" s="6" t="s">
        <v>37</v>
      </c>
      <c r="AE267" t="s">
        <v>37</v>
      </c>
      <c r="AF267" t="s">
        <v>37</v>
      </c>
      <c r="AG267" s="6" t="s">
        <v>37</v>
      </c>
      <c r="AH267" t="s">
        <v>37</v>
      </c>
      <c r="AI267" t="s">
        <v>37</v>
      </c>
      <c r="AJ267" t="str">
        <f t="shared" si="14"/>
        <v>8JRL112ZB07W6HDNNV</v>
      </c>
    </row>
    <row r="268" spans="1:36" ht="15" customHeight="1" x14ac:dyDescent="0.25">
      <c r="A268" t="s">
        <v>36</v>
      </c>
      <c r="B268" t="s">
        <v>37</v>
      </c>
      <c r="C268" t="s">
        <v>37</v>
      </c>
      <c r="D268" t="s">
        <v>38</v>
      </c>
      <c r="E268" s="4">
        <v>12</v>
      </c>
      <c r="F268" s="5">
        <v>140.52000000000001</v>
      </c>
      <c r="G268" s="5" t="s">
        <v>39</v>
      </c>
      <c r="H268" s="5">
        <v>140.52000000000001</v>
      </c>
      <c r="I268" s="5" t="s">
        <v>39</v>
      </c>
      <c r="J268" s="5">
        <v>4.7776800000000001</v>
      </c>
      <c r="K268" s="5">
        <f t="shared" si="12"/>
        <v>0.39813999999999999</v>
      </c>
      <c r="L268" s="5">
        <f t="shared" si="13"/>
        <v>11.71</v>
      </c>
      <c r="M268" s="5" t="s">
        <v>39</v>
      </c>
      <c r="N268" s="5">
        <v>4.7776800000000001</v>
      </c>
      <c r="O268" s="5" t="s">
        <v>39</v>
      </c>
      <c r="P268" t="s">
        <v>40</v>
      </c>
      <c r="Q268" t="s">
        <v>628</v>
      </c>
      <c r="R268" t="s">
        <v>37</v>
      </c>
      <c r="S268" t="s">
        <v>629</v>
      </c>
      <c r="T268" t="s">
        <v>43</v>
      </c>
      <c r="U268" t="s">
        <v>44</v>
      </c>
      <c r="V268">
        <v>147</v>
      </c>
      <c r="W268" t="s">
        <v>58</v>
      </c>
      <c r="X268" t="s">
        <v>59</v>
      </c>
      <c r="Y268" t="s">
        <v>630</v>
      </c>
      <c r="Z268" t="s">
        <v>37</v>
      </c>
      <c r="AA268" t="s">
        <v>61</v>
      </c>
      <c r="AB268" t="s">
        <v>37</v>
      </c>
      <c r="AC268" s="6" t="s">
        <v>37</v>
      </c>
      <c r="AD268" s="6" t="s">
        <v>37</v>
      </c>
      <c r="AE268" t="s">
        <v>37</v>
      </c>
      <c r="AF268" t="s">
        <v>37</v>
      </c>
      <c r="AG268" s="6" t="s">
        <v>37</v>
      </c>
      <c r="AH268" t="s">
        <v>37</v>
      </c>
      <c r="AI268" t="s">
        <v>37</v>
      </c>
      <c r="AJ268" t="str">
        <f t="shared" si="14"/>
        <v>8IC45Q9KB000XUQ2LI</v>
      </c>
    </row>
    <row r="269" spans="1:36" ht="15" customHeight="1" x14ac:dyDescent="0.25">
      <c r="A269" t="s">
        <v>67</v>
      </c>
      <c r="B269" t="s">
        <v>37</v>
      </c>
      <c r="C269" t="s">
        <v>37</v>
      </c>
      <c r="D269" t="s">
        <v>38</v>
      </c>
      <c r="E269" s="4">
        <v>880</v>
      </c>
      <c r="F269" s="5">
        <v>4628.8</v>
      </c>
      <c r="G269" s="5" t="s">
        <v>39</v>
      </c>
      <c r="H269" s="5">
        <v>6485.6</v>
      </c>
      <c r="I269" s="5" t="s">
        <v>39</v>
      </c>
      <c r="J269" s="5">
        <v>157.3792</v>
      </c>
      <c r="K269" s="5">
        <f t="shared" si="12"/>
        <v>0.17884</v>
      </c>
      <c r="L269" s="5">
        <f t="shared" si="13"/>
        <v>5.26</v>
      </c>
      <c r="M269" s="5" t="s">
        <v>39</v>
      </c>
      <c r="N269" s="5">
        <v>157.3792</v>
      </c>
      <c r="O269" s="5" t="s">
        <v>39</v>
      </c>
      <c r="P269" t="s">
        <v>631</v>
      </c>
      <c r="Q269" t="s">
        <v>291</v>
      </c>
      <c r="R269" t="s">
        <v>37</v>
      </c>
      <c r="S269" t="s">
        <v>292</v>
      </c>
      <c r="T269" t="s">
        <v>43</v>
      </c>
      <c r="U269" t="s">
        <v>44</v>
      </c>
      <c r="V269">
        <v>147</v>
      </c>
      <c r="W269" t="s">
        <v>45</v>
      </c>
      <c r="X269" t="s">
        <v>53</v>
      </c>
      <c r="Y269" t="s">
        <v>293</v>
      </c>
      <c r="Z269" t="s">
        <v>37</v>
      </c>
      <c r="AA269" t="s">
        <v>61</v>
      </c>
      <c r="AB269" t="s">
        <v>37</v>
      </c>
      <c r="AC269" s="6" t="s">
        <v>37</v>
      </c>
      <c r="AD269" s="6" t="s">
        <v>37</v>
      </c>
      <c r="AE269" t="s">
        <v>37</v>
      </c>
      <c r="AF269" t="s">
        <v>37</v>
      </c>
      <c r="AG269" s="6" t="s">
        <v>37</v>
      </c>
      <c r="AH269" t="s">
        <v>37</v>
      </c>
      <c r="AI269" t="s">
        <v>37</v>
      </c>
      <c r="AJ269" t="str">
        <f t="shared" si="14"/>
        <v>3G5UZVPKB00AZKNPZC</v>
      </c>
    </row>
    <row r="270" spans="1:36" ht="15" customHeight="1" x14ac:dyDescent="0.25">
      <c r="A270" t="s">
        <v>133</v>
      </c>
      <c r="B270" t="s">
        <v>37</v>
      </c>
      <c r="C270" t="s">
        <v>37</v>
      </c>
      <c r="D270" t="s">
        <v>38</v>
      </c>
      <c r="E270" s="4">
        <v>100</v>
      </c>
      <c r="F270" s="5">
        <v>878</v>
      </c>
      <c r="G270" s="5" t="s">
        <v>39</v>
      </c>
      <c r="H270" s="5">
        <v>1311</v>
      </c>
      <c r="I270" s="5" t="s">
        <v>39</v>
      </c>
      <c r="J270" s="5">
        <v>29.852</v>
      </c>
      <c r="K270" s="5">
        <f t="shared" si="12"/>
        <v>0.29852000000000001</v>
      </c>
      <c r="L270" s="5">
        <f t="shared" si="13"/>
        <v>8.7799999999999994</v>
      </c>
      <c r="M270" s="5" t="s">
        <v>39</v>
      </c>
      <c r="N270" s="5">
        <v>29.852</v>
      </c>
      <c r="O270" s="5" t="s">
        <v>39</v>
      </c>
      <c r="P270" t="s">
        <v>189</v>
      </c>
      <c r="Q270" t="s">
        <v>632</v>
      </c>
      <c r="R270" t="s">
        <v>37</v>
      </c>
      <c r="S270" t="s">
        <v>633</v>
      </c>
      <c r="T270" t="s">
        <v>43</v>
      </c>
      <c r="U270" t="s">
        <v>44</v>
      </c>
      <c r="V270">
        <v>147</v>
      </c>
      <c r="W270" t="s">
        <v>45</v>
      </c>
      <c r="X270" t="s">
        <v>53</v>
      </c>
      <c r="Y270" t="s">
        <v>634</v>
      </c>
      <c r="Z270" t="s">
        <v>37</v>
      </c>
      <c r="AA270" t="s">
        <v>61</v>
      </c>
      <c r="AB270" t="s">
        <v>37</v>
      </c>
      <c r="AC270" s="6" t="s">
        <v>37</v>
      </c>
      <c r="AD270" s="6" t="s">
        <v>37</v>
      </c>
      <c r="AE270" t="s">
        <v>37</v>
      </c>
      <c r="AF270" t="s">
        <v>37</v>
      </c>
      <c r="AG270" s="6" t="s">
        <v>37</v>
      </c>
      <c r="AH270" t="s">
        <v>37</v>
      </c>
      <c r="AI270" t="s">
        <v>37</v>
      </c>
      <c r="AJ270" t="str">
        <f t="shared" si="14"/>
        <v>6DPU2MKPB07W4DH9CW</v>
      </c>
    </row>
    <row r="271" spans="1:36" ht="15" customHeight="1" x14ac:dyDescent="0.25">
      <c r="A271" t="s">
        <v>67</v>
      </c>
      <c r="B271" t="s">
        <v>37</v>
      </c>
      <c r="C271" t="s">
        <v>37</v>
      </c>
      <c r="D271" t="s">
        <v>38</v>
      </c>
      <c r="E271" s="4">
        <v>28</v>
      </c>
      <c r="F271" s="5">
        <v>409.92</v>
      </c>
      <c r="G271" s="5" t="s">
        <v>39</v>
      </c>
      <c r="H271" s="5">
        <v>596.4</v>
      </c>
      <c r="I271" s="5" t="s">
        <v>39</v>
      </c>
      <c r="J271" s="5">
        <v>13.937279999999999</v>
      </c>
      <c r="K271" s="5">
        <f t="shared" si="12"/>
        <v>0.49775999999999998</v>
      </c>
      <c r="L271" s="5">
        <f t="shared" si="13"/>
        <v>14.64</v>
      </c>
      <c r="M271" s="5" t="s">
        <v>39</v>
      </c>
      <c r="N271" s="5">
        <v>13.937279999999999</v>
      </c>
      <c r="O271" s="5" t="s">
        <v>39</v>
      </c>
      <c r="P271" t="s">
        <v>63</v>
      </c>
      <c r="Q271" t="s">
        <v>175</v>
      </c>
      <c r="R271" t="s">
        <v>37</v>
      </c>
      <c r="S271" t="s">
        <v>176</v>
      </c>
      <c r="T271" t="s">
        <v>43</v>
      </c>
      <c r="U271" t="s">
        <v>44</v>
      </c>
      <c r="V271">
        <v>147</v>
      </c>
      <c r="W271" t="s">
        <v>45</v>
      </c>
      <c r="X271" t="s">
        <v>177</v>
      </c>
      <c r="Y271" t="s">
        <v>178</v>
      </c>
      <c r="Z271" t="s">
        <v>37</v>
      </c>
      <c r="AA271" t="s">
        <v>145</v>
      </c>
      <c r="AB271" t="s">
        <v>37</v>
      </c>
      <c r="AC271" s="6" t="s">
        <v>37</v>
      </c>
      <c r="AD271" s="6" t="s">
        <v>37</v>
      </c>
      <c r="AE271" t="s">
        <v>37</v>
      </c>
      <c r="AF271" t="s">
        <v>37</v>
      </c>
      <c r="AG271" s="6" t="s">
        <v>37</v>
      </c>
      <c r="AH271" t="s">
        <v>37</v>
      </c>
      <c r="AI271" t="s">
        <v>37</v>
      </c>
      <c r="AJ271" t="str">
        <f t="shared" si="14"/>
        <v>3AWPOPBJB00ZOOKDU4</v>
      </c>
    </row>
    <row r="272" spans="1:36" ht="15" customHeight="1" x14ac:dyDescent="0.25">
      <c r="A272" t="s">
        <v>127</v>
      </c>
      <c r="B272" t="s">
        <v>37</v>
      </c>
      <c r="C272" t="s">
        <v>37</v>
      </c>
      <c r="D272" t="s">
        <v>38</v>
      </c>
      <c r="E272" s="4">
        <v>100</v>
      </c>
      <c r="F272" s="5">
        <v>1464</v>
      </c>
      <c r="G272" s="5" t="s">
        <v>39</v>
      </c>
      <c r="H272" s="5">
        <v>2130</v>
      </c>
      <c r="I272" s="5" t="s">
        <v>39</v>
      </c>
      <c r="J272" s="5">
        <v>49.776000000000003</v>
      </c>
      <c r="K272" s="5">
        <f t="shared" si="12"/>
        <v>0.49776000000000004</v>
      </c>
      <c r="L272" s="5">
        <f t="shared" si="13"/>
        <v>14.64</v>
      </c>
      <c r="M272" s="5" t="s">
        <v>39</v>
      </c>
      <c r="N272" s="5">
        <v>49.776000000000003</v>
      </c>
      <c r="O272" s="5" t="s">
        <v>39</v>
      </c>
      <c r="P272" t="s">
        <v>208</v>
      </c>
      <c r="Q272" t="s">
        <v>369</v>
      </c>
      <c r="R272" t="s">
        <v>37</v>
      </c>
      <c r="S272" t="s">
        <v>370</v>
      </c>
      <c r="T272" t="s">
        <v>43</v>
      </c>
      <c r="U272" t="s">
        <v>44</v>
      </c>
      <c r="V272">
        <v>147</v>
      </c>
      <c r="W272" t="s">
        <v>45</v>
      </c>
      <c r="X272" t="s">
        <v>75</v>
      </c>
      <c r="Y272" t="s">
        <v>371</v>
      </c>
      <c r="Z272" t="s">
        <v>37</v>
      </c>
      <c r="AA272" t="s">
        <v>61</v>
      </c>
      <c r="AB272" t="s">
        <v>37</v>
      </c>
      <c r="AC272" s="6" t="s">
        <v>37</v>
      </c>
      <c r="AD272" s="6" t="s">
        <v>37</v>
      </c>
      <c r="AE272" t="s">
        <v>37</v>
      </c>
      <c r="AF272" t="s">
        <v>37</v>
      </c>
      <c r="AG272" s="6" t="s">
        <v>37</v>
      </c>
      <c r="AH272" t="s">
        <v>37</v>
      </c>
      <c r="AI272" t="s">
        <v>37</v>
      </c>
      <c r="AJ272" t="str">
        <f t="shared" si="14"/>
        <v>2WFUPSOGB004CM47VU</v>
      </c>
    </row>
    <row r="273" spans="1:36" ht="15" customHeight="1" x14ac:dyDescent="0.25">
      <c r="A273" t="s">
        <v>36</v>
      </c>
      <c r="B273" t="s">
        <v>37</v>
      </c>
      <c r="C273" t="s">
        <v>37</v>
      </c>
      <c r="D273" t="s">
        <v>38</v>
      </c>
      <c r="E273" s="4">
        <v>8</v>
      </c>
      <c r="F273" s="5">
        <v>234.24</v>
      </c>
      <c r="G273" s="5" t="s">
        <v>39</v>
      </c>
      <c r="H273" s="5">
        <v>340.88</v>
      </c>
      <c r="I273" s="5" t="s">
        <v>39</v>
      </c>
      <c r="J273" s="5">
        <v>7.9641599999999997</v>
      </c>
      <c r="K273" s="5">
        <f t="shared" si="12"/>
        <v>0.99551999999999996</v>
      </c>
      <c r="L273" s="5">
        <f t="shared" si="13"/>
        <v>29.28</v>
      </c>
      <c r="M273" s="5" t="s">
        <v>39</v>
      </c>
      <c r="N273" s="5">
        <v>7.9641599999999997</v>
      </c>
      <c r="O273" s="5" t="s">
        <v>39</v>
      </c>
      <c r="P273" t="s">
        <v>89</v>
      </c>
      <c r="Q273" t="s">
        <v>635</v>
      </c>
      <c r="R273" t="s">
        <v>37</v>
      </c>
      <c r="S273" t="s">
        <v>636</v>
      </c>
      <c r="T273" t="s">
        <v>43</v>
      </c>
      <c r="U273" t="s">
        <v>44</v>
      </c>
      <c r="V273">
        <v>147</v>
      </c>
      <c r="W273" t="s">
        <v>45</v>
      </c>
      <c r="X273" t="s">
        <v>75</v>
      </c>
      <c r="Y273" t="s">
        <v>637</v>
      </c>
      <c r="Z273" t="s">
        <v>37</v>
      </c>
      <c r="AA273" t="s">
        <v>61</v>
      </c>
      <c r="AB273" t="s">
        <v>37</v>
      </c>
      <c r="AC273" s="6" t="s">
        <v>37</v>
      </c>
      <c r="AD273" s="6" t="s">
        <v>37</v>
      </c>
      <c r="AE273" t="s">
        <v>37</v>
      </c>
      <c r="AF273" t="s">
        <v>37</v>
      </c>
      <c r="AG273" s="6" t="s">
        <v>37</v>
      </c>
      <c r="AH273" t="s">
        <v>37</v>
      </c>
      <c r="AI273" t="s">
        <v>37</v>
      </c>
      <c r="AJ273" t="str">
        <f t="shared" si="14"/>
        <v>6D1HFTMSB013SL1YXO</v>
      </c>
    </row>
    <row r="274" spans="1:36" ht="15" customHeight="1" x14ac:dyDescent="0.25">
      <c r="A274" t="s">
        <v>67</v>
      </c>
      <c r="B274" t="s">
        <v>37</v>
      </c>
      <c r="C274" t="s">
        <v>37</v>
      </c>
      <c r="D274" t="s">
        <v>38</v>
      </c>
      <c r="E274" s="4">
        <v>48</v>
      </c>
      <c r="F274" s="5">
        <v>1772.64</v>
      </c>
      <c r="G274" s="5" t="s">
        <v>39</v>
      </c>
      <c r="H274" s="5">
        <v>3080.64</v>
      </c>
      <c r="I274" s="5" t="s">
        <v>39</v>
      </c>
      <c r="J274" s="5">
        <v>60.269759999999998</v>
      </c>
      <c r="K274" s="5">
        <f t="shared" si="12"/>
        <v>1.25562</v>
      </c>
      <c r="L274" s="5">
        <f t="shared" si="13"/>
        <v>36.93</v>
      </c>
      <c r="M274" s="5" t="s">
        <v>39</v>
      </c>
      <c r="N274" s="5">
        <v>60.269759999999998</v>
      </c>
      <c r="O274" s="5" t="s">
        <v>39</v>
      </c>
      <c r="P274" t="s">
        <v>108</v>
      </c>
      <c r="Q274" t="s">
        <v>408</v>
      </c>
      <c r="R274" t="s">
        <v>37</v>
      </c>
      <c r="S274" t="s">
        <v>409</v>
      </c>
      <c r="T274" t="s">
        <v>43</v>
      </c>
      <c r="U274" t="s">
        <v>44</v>
      </c>
      <c r="V274">
        <v>147</v>
      </c>
      <c r="W274" t="s">
        <v>45</v>
      </c>
      <c r="X274" t="s">
        <v>53</v>
      </c>
      <c r="Y274" t="s">
        <v>410</v>
      </c>
      <c r="Z274" t="s">
        <v>37</v>
      </c>
      <c r="AA274" t="s">
        <v>61</v>
      </c>
      <c r="AB274" t="s">
        <v>37</v>
      </c>
      <c r="AC274" s="6" t="s">
        <v>37</v>
      </c>
      <c r="AD274" s="6" t="s">
        <v>37</v>
      </c>
      <c r="AE274" t="s">
        <v>37</v>
      </c>
      <c r="AF274" t="s">
        <v>37</v>
      </c>
      <c r="AG274" s="6" t="s">
        <v>37</v>
      </c>
      <c r="AH274" t="s">
        <v>37</v>
      </c>
      <c r="AI274" t="s">
        <v>37</v>
      </c>
      <c r="AJ274" t="str">
        <f t="shared" si="14"/>
        <v>5HGHPU5OB00L8VNQ88</v>
      </c>
    </row>
    <row r="275" spans="1:36" ht="15" customHeight="1" x14ac:dyDescent="0.25">
      <c r="A275" t="s">
        <v>67</v>
      </c>
      <c r="B275" t="s">
        <v>37</v>
      </c>
      <c r="C275" t="s">
        <v>37</v>
      </c>
      <c r="D275" t="s">
        <v>38</v>
      </c>
      <c r="E275" s="4">
        <v>10</v>
      </c>
      <c r="F275" s="5">
        <v>175.6</v>
      </c>
      <c r="G275" s="5" t="s">
        <v>39</v>
      </c>
      <c r="H275" s="5">
        <v>254</v>
      </c>
      <c r="I275" s="5" t="s">
        <v>39</v>
      </c>
      <c r="J275" s="5">
        <v>5.9703999999999997</v>
      </c>
      <c r="K275" s="5">
        <f t="shared" si="12"/>
        <v>0.59704000000000002</v>
      </c>
      <c r="L275" s="5">
        <f t="shared" si="13"/>
        <v>17.559999999999999</v>
      </c>
      <c r="M275" s="5" t="s">
        <v>39</v>
      </c>
      <c r="N275" s="5">
        <v>5.9703999999999997</v>
      </c>
      <c r="O275" s="5" t="s">
        <v>39</v>
      </c>
      <c r="P275" t="s">
        <v>245</v>
      </c>
      <c r="Q275" t="s">
        <v>537</v>
      </c>
      <c r="R275" t="s">
        <v>37</v>
      </c>
      <c r="S275" t="s">
        <v>538</v>
      </c>
      <c r="T275" t="s">
        <v>43</v>
      </c>
      <c r="U275" t="s">
        <v>44</v>
      </c>
      <c r="V275">
        <v>147</v>
      </c>
      <c r="W275" t="s">
        <v>45</v>
      </c>
      <c r="X275" t="s">
        <v>75</v>
      </c>
      <c r="Y275" t="s">
        <v>539</v>
      </c>
      <c r="Z275" t="s">
        <v>540</v>
      </c>
      <c r="AA275" t="s">
        <v>61</v>
      </c>
      <c r="AB275" t="s">
        <v>37</v>
      </c>
      <c r="AC275" s="6" t="s">
        <v>37</v>
      </c>
      <c r="AD275" s="6" t="s">
        <v>37</v>
      </c>
      <c r="AE275" t="s">
        <v>37</v>
      </c>
      <c r="AF275" t="s">
        <v>37</v>
      </c>
      <c r="AG275" s="6" t="s">
        <v>37</v>
      </c>
      <c r="AH275" t="s">
        <v>37</v>
      </c>
      <c r="AI275" t="s">
        <v>37</v>
      </c>
      <c r="AJ275" t="str">
        <f t="shared" si="14"/>
        <v>6ZGQP34KB01ENKI4D2</v>
      </c>
    </row>
    <row r="276" spans="1:36" ht="15" customHeight="1" x14ac:dyDescent="0.25">
      <c r="A276" t="s">
        <v>133</v>
      </c>
      <c r="B276" t="s">
        <v>37</v>
      </c>
      <c r="C276" t="s">
        <v>37</v>
      </c>
      <c r="D276" t="s">
        <v>38</v>
      </c>
      <c r="E276" s="4">
        <v>28</v>
      </c>
      <c r="F276" s="5">
        <v>574</v>
      </c>
      <c r="G276" s="5" t="s">
        <v>39</v>
      </c>
      <c r="H276" s="5">
        <v>707.28</v>
      </c>
      <c r="I276" s="5" t="s">
        <v>39</v>
      </c>
      <c r="J276" s="5">
        <v>19.515999999999998</v>
      </c>
      <c r="K276" s="5">
        <f t="shared" si="12"/>
        <v>0.69699999999999995</v>
      </c>
      <c r="L276" s="5">
        <f t="shared" si="13"/>
        <v>20.5</v>
      </c>
      <c r="M276" s="5" t="s">
        <v>39</v>
      </c>
      <c r="N276" s="5">
        <v>19.515999999999998</v>
      </c>
      <c r="O276" s="5" t="s">
        <v>39</v>
      </c>
      <c r="P276" t="s">
        <v>189</v>
      </c>
      <c r="Q276" t="s">
        <v>481</v>
      </c>
      <c r="R276" t="s">
        <v>37</v>
      </c>
      <c r="S276" t="s">
        <v>482</v>
      </c>
      <c r="T276" t="s">
        <v>43</v>
      </c>
      <c r="U276" t="s">
        <v>44</v>
      </c>
      <c r="V276">
        <v>147</v>
      </c>
      <c r="W276" t="s">
        <v>45</v>
      </c>
      <c r="X276" t="s">
        <v>154</v>
      </c>
      <c r="Y276" t="s">
        <v>483</v>
      </c>
      <c r="Z276" t="s">
        <v>37</v>
      </c>
      <c r="AA276" t="s">
        <v>48</v>
      </c>
      <c r="AB276" t="s">
        <v>37</v>
      </c>
      <c r="AC276" s="6" t="s">
        <v>37</v>
      </c>
      <c r="AD276" s="6" t="s">
        <v>37</v>
      </c>
      <c r="AE276" t="s">
        <v>37</v>
      </c>
      <c r="AF276" t="s">
        <v>37</v>
      </c>
      <c r="AG276" s="6" t="s">
        <v>37</v>
      </c>
      <c r="AH276" t="s">
        <v>37</v>
      </c>
      <c r="AI276" t="s">
        <v>37</v>
      </c>
      <c r="AJ276" t="str">
        <f t="shared" si="14"/>
        <v>6DPU2MKPB008S1IOCY</v>
      </c>
    </row>
    <row r="277" spans="1:36" ht="15" customHeight="1" x14ac:dyDescent="0.25">
      <c r="A277" t="s">
        <v>127</v>
      </c>
      <c r="B277" t="s">
        <v>37</v>
      </c>
      <c r="C277" t="s">
        <v>37</v>
      </c>
      <c r="D277" t="s">
        <v>38</v>
      </c>
      <c r="E277" s="4">
        <v>4</v>
      </c>
      <c r="F277" s="5">
        <v>82</v>
      </c>
      <c r="G277" s="5" t="s">
        <v>39</v>
      </c>
      <c r="H277" s="5">
        <v>101.04</v>
      </c>
      <c r="I277" s="5" t="s">
        <v>39</v>
      </c>
      <c r="J277" s="5">
        <v>2.7879999999999998</v>
      </c>
      <c r="K277" s="5">
        <f t="shared" si="12"/>
        <v>0.69699999999999995</v>
      </c>
      <c r="L277" s="5">
        <f t="shared" si="13"/>
        <v>20.5</v>
      </c>
      <c r="M277" s="5" t="s">
        <v>39</v>
      </c>
      <c r="N277" s="5">
        <v>2.7879999999999998</v>
      </c>
      <c r="O277" s="5" t="s">
        <v>39</v>
      </c>
      <c r="P277" t="s">
        <v>189</v>
      </c>
      <c r="Q277" t="s">
        <v>481</v>
      </c>
      <c r="R277" t="s">
        <v>37</v>
      </c>
      <c r="S277" t="s">
        <v>482</v>
      </c>
      <c r="T277" t="s">
        <v>43</v>
      </c>
      <c r="U277" t="s">
        <v>44</v>
      </c>
      <c r="V277">
        <v>147</v>
      </c>
      <c r="W277" t="s">
        <v>45</v>
      </c>
      <c r="X277" t="s">
        <v>154</v>
      </c>
      <c r="Y277" t="s">
        <v>483</v>
      </c>
      <c r="Z277" t="s">
        <v>37</v>
      </c>
      <c r="AA277" t="s">
        <v>48</v>
      </c>
      <c r="AB277" t="s">
        <v>37</v>
      </c>
      <c r="AC277" s="6" t="s">
        <v>37</v>
      </c>
      <c r="AD277" s="6" t="s">
        <v>37</v>
      </c>
      <c r="AE277" t="s">
        <v>37</v>
      </c>
      <c r="AF277" t="s">
        <v>37</v>
      </c>
      <c r="AG277" s="6" t="s">
        <v>37</v>
      </c>
      <c r="AH277" t="s">
        <v>37</v>
      </c>
      <c r="AI277" t="s">
        <v>37</v>
      </c>
      <c r="AJ277" t="str">
        <f t="shared" si="14"/>
        <v>6DPU2MKPB008S1IOCY</v>
      </c>
    </row>
    <row r="278" spans="1:36" ht="15" customHeight="1" x14ac:dyDescent="0.25">
      <c r="A278" t="s">
        <v>262</v>
      </c>
      <c r="B278" t="s">
        <v>37</v>
      </c>
      <c r="C278" t="s">
        <v>37</v>
      </c>
      <c r="D278" t="s">
        <v>38</v>
      </c>
      <c r="E278" s="4">
        <v>10</v>
      </c>
      <c r="F278" s="5">
        <v>580</v>
      </c>
      <c r="G278" s="5" t="s">
        <v>39</v>
      </c>
      <c r="H278" s="5">
        <v>852.4</v>
      </c>
      <c r="I278" s="5" t="s">
        <v>39</v>
      </c>
      <c r="J278" s="5">
        <v>19.72</v>
      </c>
      <c r="K278" s="5">
        <f t="shared" si="12"/>
        <v>1.972</v>
      </c>
      <c r="L278" s="5">
        <f t="shared" si="13"/>
        <v>58</v>
      </c>
      <c r="M278" s="5" t="s">
        <v>39</v>
      </c>
      <c r="N278" s="5">
        <v>19.72</v>
      </c>
      <c r="O278" s="5" t="s">
        <v>39</v>
      </c>
      <c r="P278" t="s">
        <v>638</v>
      </c>
      <c r="Q278" t="s">
        <v>566</v>
      </c>
      <c r="R278" t="s">
        <v>37</v>
      </c>
      <c r="S278" t="s">
        <v>567</v>
      </c>
      <c r="T278" t="s">
        <v>43</v>
      </c>
      <c r="U278" t="s">
        <v>44</v>
      </c>
      <c r="V278">
        <v>147</v>
      </c>
      <c r="W278" t="s">
        <v>45</v>
      </c>
      <c r="X278" t="s">
        <v>53</v>
      </c>
      <c r="Y278" t="s">
        <v>568</v>
      </c>
      <c r="Z278" t="s">
        <v>37</v>
      </c>
      <c r="AA278" t="s">
        <v>61</v>
      </c>
      <c r="AB278" t="s">
        <v>37</v>
      </c>
      <c r="AC278" s="6" t="s">
        <v>37</v>
      </c>
      <c r="AD278" s="6" t="s">
        <v>37</v>
      </c>
      <c r="AE278" t="s">
        <v>37</v>
      </c>
      <c r="AF278" t="s">
        <v>37</v>
      </c>
      <c r="AG278" s="6" t="s">
        <v>37</v>
      </c>
      <c r="AH278" t="s">
        <v>37</v>
      </c>
      <c r="AI278" t="s">
        <v>37</v>
      </c>
      <c r="AJ278" t="str">
        <f t="shared" si="14"/>
        <v>8TBCZ9EDB07W5JHLCB</v>
      </c>
    </row>
    <row r="279" spans="1:36" ht="15" customHeight="1" x14ac:dyDescent="0.25">
      <c r="A279" t="s">
        <v>372</v>
      </c>
      <c r="B279" t="s">
        <v>37</v>
      </c>
      <c r="C279" t="s">
        <v>37</v>
      </c>
      <c r="D279" t="s">
        <v>38</v>
      </c>
      <c r="E279" s="4">
        <v>0</v>
      </c>
      <c r="F279" s="5">
        <v>0</v>
      </c>
      <c r="G279" s="5" t="s">
        <v>39</v>
      </c>
      <c r="H279" s="5">
        <v>0</v>
      </c>
      <c r="I279" s="5" t="s">
        <v>39</v>
      </c>
      <c r="J279" s="5">
        <v>0</v>
      </c>
      <c r="K279" s="5" t="e">
        <f t="shared" si="12"/>
        <v>#DIV/0!</v>
      </c>
      <c r="L279" s="5" t="e">
        <f t="shared" si="13"/>
        <v>#DIV/0!</v>
      </c>
      <c r="M279" s="5" t="s">
        <v>39</v>
      </c>
      <c r="N279" s="5">
        <v>0</v>
      </c>
      <c r="O279" s="5" t="s">
        <v>39</v>
      </c>
      <c r="P279" t="s">
        <v>639</v>
      </c>
      <c r="Q279" t="s">
        <v>640</v>
      </c>
      <c r="R279" t="s">
        <v>37</v>
      </c>
      <c r="S279" t="s">
        <v>641</v>
      </c>
      <c r="T279" t="s">
        <v>43</v>
      </c>
      <c r="U279" t="s">
        <v>44</v>
      </c>
      <c r="V279">
        <v>147</v>
      </c>
      <c r="W279" t="s">
        <v>45</v>
      </c>
      <c r="X279" t="s">
        <v>53</v>
      </c>
      <c r="Y279" t="s">
        <v>642</v>
      </c>
      <c r="Z279" t="s">
        <v>37</v>
      </c>
      <c r="AA279" t="s">
        <v>48</v>
      </c>
      <c r="AB279" t="s">
        <v>37</v>
      </c>
      <c r="AC279" s="6" t="s">
        <v>37</v>
      </c>
      <c r="AD279" s="6" t="s">
        <v>37</v>
      </c>
      <c r="AE279" t="s">
        <v>37</v>
      </c>
      <c r="AF279" t="s">
        <v>37</v>
      </c>
      <c r="AG279" s="6" t="s">
        <v>37</v>
      </c>
      <c r="AH279" t="s">
        <v>37</v>
      </c>
      <c r="AI279" t="s">
        <v>37</v>
      </c>
      <c r="AJ279" t="str">
        <f t="shared" si="14"/>
        <v>5DW1164XB01K7GEG9W</v>
      </c>
    </row>
    <row r="280" spans="1:36" ht="15" customHeight="1" x14ac:dyDescent="0.25">
      <c r="A280" t="s">
        <v>102</v>
      </c>
      <c r="B280" t="s">
        <v>37</v>
      </c>
      <c r="C280" t="s">
        <v>37</v>
      </c>
      <c r="D280" t="s">
        <v>38</v>
      </c>
      <c r="E280" s="4">
        <v>30</v>
      </c>
      <c r="F280" s="5">
        <v>1740</v>
      </c>
      <c r="G280" s="5" t="s">
        <v>39</v>
      </c>
      <c r="H280" s="5">
        <v>2557.1999999999998</v>
      </c>
      <c r="I280" s="5" t="s">
        <v>39</v>
      </c>
      <c r="J280" s="5">
        <v>59.16</v>
      </c>
      <c r="K280" s="5">
        <f t="shared" si="12"/>
        <v>1.972</v>
      </c>
      <c r="L280" s="5">
        <f t="shared" si="13"/>
        <v>58</v>
      </c>
      <c r="M280" s="5" t="s">
        <v>39</v>
      </c>
      <c r="N280" s="5">
        <v>59.16</v>
      </c>
      <c r="O280" s="5" t="s">
        <v>39</v>
      </c>
      <c r="P280" t="s">
        <v>638</v>
      </c>
      <c r="Q280" t="s">
        <v>566</v>
      </c>
      <c r="R280" t="s">
        <v>37</v>
      </c>
      <c r="S280" t="s">
        <v>567</v>
      </c>
      <c r="T280" t="s">
        <v>43</v>
      </c>
      <c r="U280" t="s">
        <v>44</v>
      </c>
      <c r="V280">
        <v>147</v>
      </c>
      <c r="W280" t="s">
        <v>45</v>
      </c>
      <c r="X280" t="s">
        <v>53</v>
      </c>
      <c r="Y280" t="s">
        <v>568</v>
      </c>
      <c r="Z280" t="s">
        <v>37</v>
      </c>
      <c r="AA280" t="s">
        <v>61</v>
      </c>
      <c r="AB280" t="s">
        <v>37</v>
      </c>
      <c r="AC280" s="6" t="s">
        <v>37</v>
      </c>
      <c r="AD280" s="6" t="s">
        <v>37</v>
      </c>
      <c r="AE280" t="s">
        <v>37</v>
      </c>
      <c r="AF280" t="s">
        <v>37</v>
      </c>
      <c r="AG280" s="6" t="s">
        <v>37</v>
      </c>
      <c r="AH280" t="s">
        <v>37</v>
      </c>
      <c r="AI280" t="s">
        <v>37</v>
      </c>
      <c r="AJ280" t="str">
        <f t="shared" si="14"/>
        <v>8TBCZ9EDB07W5JHLCB</v>
      </c>
    </row>
    <row r="281" spans="1:36" ht="15" customHeight="1" x14ac:dyDescent="0.25">
      <c r="A281" t="s">
        <v>67</v>
      </c>
      <c r="B281" t="s">
        <v>37</v>
      </c>
      <c r="C281" t="s">
        <v>37</v>
      </c>
      <c r="D281" t="s">
        <v>38</v>
      </c>
      <c r="E281" s="4">
        <v>8</v>
      </c>
      <c r="F281" s="5">
        <v>1155.5999999999999</v>
      </c>
      <c r="G281" s="5" t="s">
        <v>39</v>
      </c>
      <c r="H281" s="5">
        <v>1698.32</v>
      </c>
      <c r="I281" s="5" t="s">
        <v>39</v>
      </c>
      <c r="J281" s="5">
        <v>39.290399999999998</v>
      </c>
      <c r="K281" s="5">
        <f t="shared" si="12"/>
        <v>4.9112999999999998</v>
      </c>
      <c r="L281" s="5">
        <f t="shared" si="13"/>
        <v>144.44999999999999</v>
      </c>
      <c r="M281" s="5" t="s">
        <v>39</v>
      </c>
      <c r="N281" s="5">
        <v>39.290399999999998</v>
      </c>
      <c r="O281" s="5" t="s">
        <v>39</v>
      </c>
      <c r="P281" t="s">
        <v>182</v>
      </c>
      <c r="Q281" t="s">
        <v>643</v>
      </c>
      <c r="R281" t="s">
        <v>37</v>
      </c>
      <c r="S281" t="s">
        <v>644</v>
      </c>
      <c r="T281" t="s">
        <v>43</v>
      </c>
      <c r="U281" t="s">
        <v>44</v>
      </c>
      <c r="V281">
        <v>147</v>
      </c>
      <c r="W281" t="s">
        <v>45</v>
      </c>
      <c r="X281" t="s">
        <v>177</v>
      </c>
      <c r="Y281" t="s">
        <v>645</v>
      </c>
      <c r="Z281" t="s">
        <v>37</v>
      </c>
      <c r="AA281" t="s">
        <v>61</v>
      </c>
      <c r="AB281" t="s">
        <v>37</v>
      </c>
      <c r="AC281" s="6" t="s">
        <v>37</v>
      </c>
      <c r="AD281" s="6" t="s">
        <v>37</v>
      </c>
      <c r="AE281" t="s">
        <v>37</v>
      </c>
      <c r="AF281" t="s">
        <v>37</v>
      </c>
      <c r="AG281" s="6" t="s">
        <v>37</v>
      </c>
      <c r="AH281" t="s">
        <v>37</v>
      </c>
      <c r="AI281" t="s">
        <v>37</v>
      </c>
      <c r="AJ281" t="str">
        <f t="shared" si="14"/>
        <v>5UESXM5PB0748NCPN5</v>
      </c>
    </row>
    <row r="282" spans="1:36" ht="15" customHeight="1" x14ac:dyDescent="0.25">
      <c r="A282" t="s">
        <v>36</v>
      </c>
      <c r="B282" t="s">
        <v>37</v>
      </c>
      <c r="C282" t="s">
        <v>37</v>
      </c>
      <c r="D282" t="s">
        <v>38</v>
      </c>
      <c r="E282" s="4">
        <v>20</v>
      </c>
      <c r="F282" s="5">
        <v>164</v>
      </c>
      <c r="G282" s="5" t="s">
        <v>39</v>
      </c>
      <c r="H282" s="5">
        <v>237.6</v>
      </c>
      <c r="I282" s="5" t="s">
        <v>39</v>
      </c>
      <c r="J282" s="5">
        <v>5.5759999999999996</v>
      </c>
      <c r="K282" s="5">
        <f t="shared" si="12"/>
        <v>0.27879999999999999</v>
      </c>
      <c r="L282" s="5">
        <f t="shared" si="13"/>
        <v>8.1999999999999993</v>
      </c>
      <c r="M282" s="5" t="s">
        <v>39</v>
      </c>
      <c r="N282" s="5">
        <v>5.5759999999999996</v>
      </c>
      <c r="O282" s="5" t="s">
        <v>39</v>
      </c>
      <c r="P282" t="s">
        <v>167</v>
      </c>
      <c r="Q282" t="s">
        <v>488</v>
      </c>
      <c r="R282" t="s">
        <v>37</v>
      </c>
      <c r="S282" t="s">
        <v>489</v>
      </c>
      <c r="T282" t="s">
        <v>43</v>
      </c>
      <c r="U282" t="s">
        <v>44</v>
      </c>
      <c r="V282">
        <v>147</v>
      </c>
      <c r="W282" t="s">
        <v>45</v>
      </c>
      <c r="X282" t="s">
        <v>75</v>
      </c>
      <c r="Y282" t="s">
        <v>490</v>
      </c>
      <c r="Z282" t="s">
        <v>37</v>
      </c>
      <c r="AA282" t="s">
        <v>61</v>
      </c>
      <c r="AB282" t="s">
        <v>37</v>
      </c>
      <c r="AC282" s="6" t="s">
        <v>37</v>
      </c>
      <c r="AD282" s="6" t="s">
        <v>37</v>
      </c>
      <c r="AE282" t="s">
        <v>37</v>
      </c>
      <c r="AF282" t="s">
        <v>37</v>
      </c>
      <c r="AG282" s="6" t="s">
        <v>37</v>
      </c>
      <c r="AH282" t="s">
        <v>37</v>
      </c>
      <c r="AI282" t="s">
        <v>37</v>
      </c>
      <c r="AJ282" t="str">
        <f t="shared" si="14"/>
        <v>4FFLHW5MB00BT8QIJ4</v>
      </c>
    </row>
    <row r="283" spans="1:36" ht="15" customHeight="1" x14ac:dyDescent="0.25">
      <c r="A283" t="s">
        <v>133</v>
      </c>
      <c r="B283" t="s">
        <v>37</v>
      </c>
      <c r="C283" t="s">
        <v>37</v>
      </c>
      <c r="D283" t="s">
        <v>38</v>
      </c>
      <c r="E283" s="4">
        <v>8</v>
      </c>
      <c r="F283" s="5">
        <v>510.48</v>
      </c>
      <c r="G283" s="5" t="s">
        <v>39</v>
      </c>
      <c r="H283" s="5">
        <v>754</v>
      </c>
      <c r="I283" s="5" t="s">
        <v>39</v>
      </c>
      <c r="J283" s="5">
        <v>17.35632</v>
      </c>
      <c r="K283" s="5">
        <f t="shared" si="12"/>
        <v>2.16954</v>
      </c>
      <c r="L283" s="5">
        <f t="shared" si="13"/>
        <v>63.81</v>
      </c>
      <c r="M283" s="5" t="s">
        <v>39</v>
      </c>
      <c r="N283" s="5">
        <v>17.35632</v>
      </c>
      <c r="O283" s="5" t="s">
        <v>39</v>
      </c>
      <c r="P283" t="s">
        <v>189</v>
      </c>
      <c r="Q283" t="s">
        <v>646</v>
      </c>
      <c r="R283" t="s">
        <v>37</v>
      </c>
      <c r="S283" t="s">
        <v>647</v>
      </c>
      <c r="T283" t="s">
        <v>43</v>
      </c>
      <c r="U283" t="s">
        <v>44</v>
      </c>
      <c r="V283">
        <v>147</v>
      </c>
      <c r="W283" t="s">
        <v>45</v>
      </c>
      <c r="X283" t="s">
        <v>75</v>
      </c>
      <c r="Y283" t="s">
        <v>648</v>
      </c>
      <c r="Z283" t="s">
        <v>37</v>
      </c>
      <c r="AA283" t="s">
        <v>61</v>
      </c>
      <c r="AB283" t="s">
        <v>37</v>
      </c>
      <c r="AC283" s="6" t="s">
        <v>37</v>
      </c>
      <c r="AD283" s="6" t="s">
        <v>37</v>
      </c>
      <c r="AE283" t="s">
        <v>37</v>
      </c>
      <c r="AF283" t="s">
        <v>37</v>
      </c>
      <c r="AG283" s="6" t="s">
        <v>37</v>
      </c>
      <c r="AH283" t="s">
        <v>37</v>
      </c>
      <c r="AI283" t="s">
        <v>37</v>
      </c>
      <c r="AJ283" t="str">
        <f t="shared" si="14"/>
        <v>6DPU2MKPB07W7KMK4Y</v>
      </c>
    </row>
    <row r="284" spans="1:36" ht="15" customHeight="1" x14ac:dyDescent="0.25">
      <c r="A284" t="s">
        <v>127</v>
      </c>
      <c r="B284" t="s">
        <v>37</v>
      </c>
      <c r="C284" t="s">
        <v>37</v>
      </c>
      <c r="D284" t="s">
        <v>38</v>
      </c>
      <c r="E284" s="4">
        <v>20</v>
      </c>
      <c r="F284" s="5">
        <v>199</v>
      </c>
      <c r="G284" s="5" t="s">
        <v>39</v>
      </c>
      <c r="H284" s="5">
        <v>277</v>
      </c>
      <c r="I284" s="5" t="s">
        <v>39</v>
      </c>
      <c r="J284" s="5">
        <v>6.766</v>
      </c>
      <c r="K284" s="5">
        <f t="shared" si="12"/>
        <v>0.33829999999999999</v>
      </c>
      <c r="L284" s="5">
        <f t="shared" si="13"/>
        <v>9.9499999999999993</v>
      </c>
      <c r="M284" s="5" t="s">
        <v>39</v>
      </c>
      <c r="N284" s="5">
        <v>6.766</v>
      </c>
      <c r="O284" s="5" t="s">
        <v>39</v>
      </c>
      <c r="P284" t="s">
        <v>208</v>
      </c>
      <c r="Q284" t="s">
        <v>649</v>
      </c>
      <c r="R284" t="s">
        <v>37</v>
      </c>
      <c r="S284" t="s">
        <v>650</v>
      </c>
      <c r="T284" t="s">
        <v>43</v>
      </c>
      <c r="U284" t="s">
        <v>44</v>
      </c>
      <c r="V284">
        <v>147</v>
      </c>
      <c r="W284" t="s">
        <v>45</v>
      </c>
      <c r="X284" t="s">
        <v>75</v>
      </c>
      <c r="Y284" t="s">
        <v>651</v>
      </c>
      <c r="Z284" t="s">
        <v>37</v>
      </c>
      <c r="AA284" t="s">
        <v>61</v>
      </c>
      <c r="AB284" t="s">
        <v>37</v>
      </c>
      <c r="AC284" s="6" t="s">
        <v>37</v>
      </c>
      <c r="AD284" s="6" t="s">
        <v>37</v>
      </c>
      <c r="AE284" t="s">
        <v>37</v>
      </c>
      <c r="AF284" t="s">
        <v>37</v>
      </c>
      <c r="AG284" s="6" t="s">
        <v>37</v>
      </c>
      <c r="AH284" t="s">
        <v>37</v>
      </c>
      <c r="AI284" t="s">
        <v>37</v>
      </c>
      <c r="AJ284" t="str">
        <f t="shared" si="14"/>
        <v>2WFUPSOGB003PO22H2</v>
      </c>
    </row>
    <row r="285" spans="1:36" ht="15" customHeight="1" x14ac:dyDescent="0.25">
      <c r="A285" t="s">
        <v>133</v>
      </c>
      <c r="B285" t="s">
        <v>37</v>
      </c>
      <c r="C285" t="s">
        <v>37</v>
      </c>
      <c r="D285" t="s">
        <v>38</v>
      </c>
      <c r="E285" s="4">
        <v>16</v>
      </c>
      <c r="F285" s="5">
        <v>5322.72</v>
      </c>
      <c r="G285" s="5" t="s">
        <v>39</v>
      </c>
      <c r="H285" s="5">
        <v>5322.72</v>
      </c>
      <c r="I285" s="5" t="s">
        <v>39</v>
      </c>
      <c r="J285" s="5">
        <v>180.97247999999999</v>
      </c>
      <c r="K285" s="5">
        <f t="shared" si="12"/>
        <v>11.310779999999999</v>
      </c>
      <c r="L285" s="5">
        <f t="shared" si="13"/>
        <v>332.67</v>
      </c>
      <c r="M285" s="5" t="s">
        <v>39</v>
      </c>
      <c r="N285" s="5">
        <v>180.97247999999999</v>
      </c>
      <c r="O285" s="5" t="s">
        <v>39</v>
      </c>
      <c r="P285" t="s">
        <v>189</v>
      </c>
      <c r="Q285" t="s">
        <v>652</v>
      </c>
      <c r="R285" t="s">
        <v>37</v>
      </c>
      <c r="S285" t="s">
        <v>653</v>
      </c>
      <c r="T285" t="s">
        <v>43</v>
      </c>
      <c r="U285" t="s">
        <v>44</v>
      </c>
      <c r="V285">
        <v>147</v>
      </c>
      <c r="W285" t="s">
        <v>45</v>
      </c>
      <c r="X285" t="s">
        <v>177</v>
      </c>
      <c r="Y285" t="s">
        <v>654</v>
      </c>
      <c r="Z285" t="s">
        <v>37</v>
      </c>
      <c r="AA285" t="s">
        <v>48</v>
      </c>
      <c r="AB285" t="s">
        <v>37</v>
      </c>
      <c r="AC285" s="6" t="s">
        <v>37</v>
      </c>
      <c r="AD285" s="6" t="s">
        <v>37</v>
      </c>
      <c r="AE285" t="s">
        <v>37</v>
      </c>
      <c r="AF285" t="s">
        <v>37</v>
      </c>
      <c r="AG285" s="6" t="s">
        <v>37</v>
      </c>
      <c r="AH285" t="s">
        <v>37</v>
      </c>
      <c r="AI285" t="s">
        <v>37</v>
      </c>
      <c r="AJ285" t="str">
        <f t="shared" si="14"/>
        <v>6DPU2MKPB00U77CYLE</v>
      </c>
    </row>
    <row r="286" spans="1:36" ht="15" customHeight="1" x14ac:dyDescent="0.25">
      <c r="A286" t="s">
        <v>67</v>
      </c>
      <c r="B286" t="s">
        <v>37</v>
      </c>
      <c r="C286" t="s">
        <v>37</v>
      </c>
      <c r="D286" t="s">
        <v>38</v>
      </c>
      <c r="E286" s="4">
        <v>0</v>
      </c>
      <c r="F286" s="5">
        <v>0</v>
      </c>
      <c r="G286" s="5" t="s">
        <v>39</v>
      </c>
      <c r="H286" s="5">
        <v>0</v>
      </c>
      <c r="I286" s="5" t="s">
        <v>39</v>
      </c>
      <c r="J286" s="5">
        <v>0</v>
      </c>
      <c r="K286" s="5" t="e">
        <f t="shared" si="12"/>
        <v>#DIV/0!</v>
      </c>
      <c r="L286" s="5" t="e">
        <f t="shared" si="13"/>
        <v>#DIV/0!</v>
      </c>
      <c r="M286" s="5" t="s">
        <v>39</v>
      </c>
      <c r="N286" s="5">
        <v>0</v>
      </c>
      <c r="O286" s="5" t="s">
        <v>39</v>
      </c>
      <c r="P286" t="s">
        <v>89</v>
      </c>
      <c r="Q286" t="s">
        <v>655</v>
      </c>
      <c r="R286" t="s">
        <v>37</v>
      </c>
      <c r="S286" t="s">
        <v>656</v>
      </c>
      <c r="T286" t="s">
        <v>43</v>
      </c>
      <c r="U286" t="s">
        <v>44</v>
      </c>
      <c r="V286">
        <v>23</v>
      </c>
      <c r="W286" t="s">
        <v>657</v>
      </c>
      <c r="X286" t="s">
        <v>301</v>
      </c>
      <c r="Y286" t="s">
        <v>658</v>
      </c>
      <c r="Z286" t="s">
        <v>37</v>
      </c>
      <c r="AA286" t="s">
        <v>61</v>
      </c>
      <c r="AB286" t="s">
        <v>37</v>
      </c>
      <c r="AC286" s="6" t="s">
        <v>37</v>
      </c>
      <c r="AD286" s="6" t="s">
        <v>37</v>
      </c>
      <c r="AE286" t="s">
        <v>37</v>
      </c>
      <c r="AF286" t="s">
        <v>37</v>
      </c>
      <c r="AG286" s="6" t="s">
        <v>37</v>
      </c>
      <c r="AH286" t="s">
        <v>37</v>
      </c>
      <c r="AI286" t="s">
        <v>37</v>
      </c>
      <c r="AJ286" t="str">
        <f t="shared" si="14"/>
        <v>6D1HFTMSB00IRCDT7Y</v>
      </c>
    </row>
    <row r="287" spans="1:36" ht="15" customHeight="1" x14ac:dyDescent="0.25">
      <c r="A287" t="s">
        <v>133</v>
      </c>
      <c r="B287" t="s">
        <v>37</v>
      </c>
      <c r="C287" t="s">
        <v>37</v>
      </c>
      <c r="D287" t="s">
        <v>38</v>
      </c>
      <c r="E287" s="4">
        <v>24</v>
      </c>
      <c r="F287" s="5">
        <v>2323.92</v>
      </c>
      <c r="G287" s="5" t="s">
        <v>39</v>
      </c>
      <c r="H287" s="5">
        <v>2754</v>
      </c>
      <c r="I287" s="5" t="s">
        <v>39</v>
      </c>
      <c r="J287" s="5">
        <v>79.013279999999995</v>
      </c>
      <c r="K287" s="5">
        <f t="shared" si="12"/>
        <v>3.2922199999999999</v>
      </c>
      <c r="L287" s="5">
        <f t="shared" si="13"/>
        <v>96.83</v>
      </c>
      <c r="M287" s="5" t="s">
        <v>39</v>
      </c>
      <c r="N287" s="5">
        <v>79.013279999999995</v>
      </c>
      <c r="O287" s="5" t="s">
        <v>39</v>
      </c>
      <c r="P287" t="s">
        <v>116</v>
      </c>
      <c r="Q287" t="s">
        <v>659</v>
      </c>
      <c r="R287" t="s">
        <v>37</v>
      </c>
      <c r="S287" t="s">
        <v>660</v>
      </c>
      <c r="T287" t="s">
        <v>43</v>
      </c>
      <c r="U287" t="s">
        <v>44</v>
      </c>
      <c r="V287">
        <v>267</v>
      </c>
      <c r="W287" t="s">
        <v>231</v>
      </c>
      <c r="X287" t="s">
        <v>232</v>
      </c>
      <c r="Y287" t="s">
        <v>661</v>
      </c>
      <c r="Z287" t="s">
        <v>37</v>
      </c>
      <c r="AA287" t="s">
        <v>145</v>
      </c>
      <c r="AB287" t="s">
        <v>37</v>
      </c>
      <c r="AC287" s="6" t="s">
        <v>37</v>
      </c>
      <c r="AD287" s="6" t="s">
        <v>37</v>
      </c>
      <c r="AE287" t="s">
        <v>37</v>
      </c>
      <c r="AF287" t="s">
        <v>37</v>
      </c>
      <c r="AG287" s="6" t="s">
        <v>37</v>
      </c>
      <c r="AH287" t="s">
        <v>37</v>
      </c>
      <c r="AI287" t="s">
        <v>37</v>
      </c>
      <c r="AJ287" t="str">
        <f t="shared" si="14"/>
        <v>3S7Y1OIVB00N1YPXW2</v>
      </c>
    </row>
    <row r="288" spans="1:36" ht="15" customHeight="1" x14ac:dyDescent="0.25">
      <c r="A288" t="s">
        <v>67</v>
      </c>
      <c r="B288" t="s">
        <v>37</v>
      </c>
      <c r="C288" t="s">
        <v>37</v>
      </c>
      <c r="D288" t="s">
        <v>38</v>
      </c>
      <c r="E288" s="4">
        <v>8</v>
      </c>
      <c r="F288" s="5">
        <v>337.6</v>
      </c>
      <c r="G288" s="5" t="s">
        <v>39</v>
      </c>
      <c r="H288" s="5">
        <v>537.6</v>
      </c>
      <c r="I288" s="5" t="s">
        <v>39</v>
      </c>
      <c r="J288" s="5">
        <v>11.478400000000001</v>
      </c>
      <c r="K288" s="5">
        <f t="shared" si="12"/>
        <v>1.4348000000000001</v>
      </c>
      <c r="L288" s="5">
        <f t="shared" si="13"/>
        <v>42.2</v>
      </c>
      <c r="M288" s="5" t="s">
        <v>39</v>
      </c>
      <c r="N288" s="5">
        <v>11.478400000000001</v>
      </c>
      <c r="O288" s="5" t="s">
        <v>39</v>
      </c>
      <c r="P288" t="s">
        <v>182</v>
      </c>
      <c r="Q288" t="s">
        <v>662</v>
      </c>
      <c r="R288" t="s">
        <v>37</v>
      </c>
      <c r="S288" t="s">
        <v>663</v>
      </c>
      <c r="T288" t="s">
        <v>43</v>
      </c>
      <c r="U288" t="s">
        <v>44</v>
      </c>
      <c r="V288">
        <v>23</v>
      </c>
      <c r="W288" t="s">
        <v>45</v>
      </c>
      <c r="X288" t="s">
        <v>46</v>
      </c>
      <c r="Y288" t="s">
        <v>664</v>
      </c>
      <c r="Z288" t="s">
        <v>37</v>
      </c>
      <c r="AA288" t="s">
        <v>145</v>
      </c>
      <c r="AB288" t="s">
        <v>37</v>
      </c>
      <c r="AC288" s="6" t="s">
        <v>37</v>
      </c>
      <c r="AD288" s="6" t="s">
        <v>37</v>
      </c>
      <c r="AE288" t="s">
        <v>37</v>
      </c>
      <c r="AF288" t="s">
        <v>37</v>
      </c>
      <c r="AG288" s="6" t="s">
        <v>37</v>
      </c>
      <c r="AH288" t="s">
        <v>37</v>
      </c>
      <c r="AI288" t="s">
        <v>37</v>
      </c>
      <c r="AJ288" t="str">
        <f t="shared" si="14"/>
        <v>5UESXM5PB07W4DHMVB</v>
      </c>
    </row>
    <row r="289" spans="1:36" ht="15" customHeight="1" x14ac:dyDescent="0.25">
      <c r="A289" t="s">
        <v>67</v>
      </c>
      <c r="B289" t="s">
        <v>37</v>
      </c>
      <c r="C289" t="s">
        <v>37</v>
      </c>
      <c r="D289" t="s">
        <v>38</v>
      </c>
      <c r="E289" s="4">
        <v>56</v>
      </c>
      <c r="F289" s="5">
        <v>1148</v>
      </c>
      <c r="G289" s="5" t="s">
        <v>39</v>
      </c>
      <c r="H289" s="5">
        <v>1652</v>
      </c>
      <c r="I289" s="5" t="s">
        <v>39</v>
      </c>
      <c r="J289" s="5">
        <v>39.031999999999996</v>
      </c>
      <c r="K289" s="5">
        <f t="shared" si="12"/>
        <v>0.69699999999999995</v>
      </c>
      <c r="L289" s="5">
        <f t="shared" si="13"/>
        <v>20.5</v>
      </c>
      <c r="M289" s="5" t="s">
        <v>39</v>
      </c>
      <c r="N289" s="5">
        <v>39.031999999999996</v>
      </c>
      <c r="O289" s="5" t="s">
        <v>39</v>
      </c>
      <c r="P289" t="s">
        <v>245</v>
      </c>
      <c r="Q289" t="s">
        <v>168</v>
      </c>
      <c r="R289" t="s">
        <v>37</v>
      </c>
      <c r="S289" t="s">
        <v>169</v>
      </c>
      <c r="T289" t="s">
        <v>43</v>
      </c>
      <c r="U289" t="s">
        <v>44</v>
      </c>
      <c r="V289">
        <v>147</v>
      </c>
      <c r="W289" t="s">
        <v>45</v>
      </c>
      <c r="X289" t="s">
        <v>75</v>
      </c>
      <c r="Y289" t="s">
        <v>170</v>
      </c>
      <c r="Z289" t="s">
        <v>37</v>
      </c>
      <c r="AA289" t="s">
        <v>48</v>
      </c>
      <c r="AB289" t="s">
        <v>37</v>
      </c>
      <c r="AC289" s="6" t="s">
        <v>37</v>
      </c>
      <c r="AD289" s="6" t="s">
        <v>37</v>
      </c>
      <c r="AE289" t="s">
        <v>37</v>
      </c>
      <c r="AF289" t="s">
        <v>37</v>
      </c>
      <c r="AG289" s="6" t="s">
        <v>37</v>
      </c>
      <c r="AH289" t="s">
        <v>37</v>
      </c>
      <c r="AI289" t="s">
        <v>37</v>
      </c>
      <c r="AJ289" t="str">
        <f t="shared" si="14"/>
        <v>6ZGQP34KB01C4HCSOC</v>
      </c>
    </row>
    <row r="290" spans="1:36" ht="15" customHeight="1" x14ac:dyDescent="0.25">
      <c r="A290" t="s">
        <v>127</v>
      </c>
      <c r="B290" t="s">
        <v>37</v>
      </c>
      <c r="C290" t="s">
        <v>37</v>
      </c>
      <c r="D290" t="s">
        <v>38</v>
      </c>
      <c r="E290" s="4">
        <v>8</v>
      </c>
      <c r="F290" s="5">
        <v>2661.36</v>
      </c>
      <c r="G290" s="5" t="s">
        <v>39</v>
      </c>
      <c r="H290" s="5">
        <v>2661.36</v>
      </c>
      <c r="I290" s="5" t="s">
        <v>39</v>
      </c>
      <c r="J290" s="5">
        <v>90.486239999999995</v>
      </c>
      <c r="K290" s="5">
        <f t="shared" si="12"/>
        <v>11.310779999999999</v>
      </c>
      <c r="L290" s="5">
        <f t="shared" si="13"/>
        <v>332.67</v>
      </c>
      <c r="M290" s="5" t="s">
        <v>39</v>
      </c>
      <c r="N290" s="5">
        <v>90.486239999999995</v>
      </c>
      <c r="O290" s="5" t="s">
        <v>39</v>
      </c>
      <c r="P290" t="s">
        <v>189</v>
      </c>
      <c r="Q290" t="s">
        <v>652</v>
      </c>
      <c r="R290" t="s">
        <v>37</v>
      </c>
      <c r="S290" t="s">
        <v>653</v>
      </c>
      <c r="T290" t="s">
        <v>43</v>
      </c>
      <c r="U290" t="s">
        <v>44</v>
      </c>
      <c r="V290">
        <v>147</v>
      </c>
      <c r="W290" t="s">
        <v>45</v>
      </c>
      <c r="X290" t="s">
        <v>177</v>
      </c>
      <c r="Y290" t="s">
        <v>654</v>
      </c>
      <c r="Z290" t="s">
        <v>37</v>
      </c>
      <c r="AA290" t="s">
        <v>48</v>
      </c>
      <c r="AB290" t="s">
        <v>37</v>
      </c>
      <c r="AC290" s="6" t="s">
        <v>37</v>
      </c>
      <c r="AD290" s="6" t="s">
        <v>37</v>
      </c>
      <c r="AE290" t="s">
        <v>37</v>
      </c>
      <c r="AF290" t="s">
        <v>37</v>
      </c>
      <c r="AG290" s="6" t="s">
        <v>37</v>
      </c>
      <c r="AH290" t="s">
        <v>37</v>
      </c>
      <c r="AI290" t="s">
        <v>37</v>
      </c>
      <c r="AJ290" t="str">
        <f t="shared" si="14"/>
        <v>6DPU2MKPB00U77CYLE</v>
      </c>
    </row>
    <row r="291" spans="1:36" ht="15" customHeight="1" x14ac:dyDescent="0.25">
      <c r="A291" t="s">
        <v>67</v>
      </c>
      <c r="B291" t="s">
        <v>37</v>
      </c>
      <c r="C291" t="s">
        <v>37</v>
      </c>
      <c r="D291" t="s">
        <v>38</v>
      </c>
      <c r="E291" s="4">
        <v>10</v>
      </c>
      <c r="F291" s="5">
        <v>99.5</v>
      </c>
      <c r="G291" s="5" t="s">
        <v>39</v>
      </c>
      <c r="H291" s="5">
        <v>122.9</v>
      </c>
      <c r="I291" s="5" t="s">
        <v>39</v>
      </c>
      <c r="J291" s="5">
        <v>3.383</v>
      </c>
      <c r="K291" s="5">
        <f t="shared" si="12"/>
        <v>0.33829999999999999</v>
      </c>
      <c r="L291" s="5">
        <f t="shared" si="13"/>
        <v>9.9499999999999993</v>
      </c>
      <c r="M291" s="5" t="s">
        <v>39</v>
      </c>
      <c r="N291" s="5">
        <v>3.383</v>
      </c>
      <c r="O291" s="5" t="s">
        <v>39</v>
      </c>
      <c r="P291" t="s">
        <v>245</v>
      </c>
      <c r="Q291" t="s">
        <v>202</v>
      </c>
      <c r="R291" t="s">
        <v>37</v>
      </c>
      <c r="S291" t="s">
        <v>203</v>
      </c>
      <c r="T291" t="s">
        <v>43</v>
      </c>
      <c r="U291" t="s">
        <v>44</v>
      </c>
      <c r="V291">
        <v>147</v>
      </c>
      <c r="W291" t="s">
        <v>45</v>
      </c>
      <c r="X291" t="s">
        <v>75</v>
      </c>
      <c r="Y291" t="s">
        <v>204</v>
      </c>
      <c r="Z291" t="s">
        <v>37</v>
      </c>
      <c r="AA291" t="s">
        <v>61</v>
      </c>
      <c r="AB291" t="s">
        <v>37</v>
      </c>
      <c r="AC291" s="6" t="s">
        <v>37</v>
      </c>
      <c r="AD291" s="6" t="s">
        <v>37</v>
      </c>
      <c r="AE291" t="s">
        <v>37</v>
      </c>
      <c r="AF291" t="s">
        <v>37</v>
      </c>
      <c r="AG291" s="6" t="s">
        <v>37</v>
      </c>
      <c r="AH291" t="s">
        <v>37</v>
      </c>
      <c r="AI291" t="s">
        <v>37</v>
      </c>
      <c r="AJ291" t="str">
        <f t="shared" si="14"/>
        <v>6ZGQP34KB003PAMIA2</v>
      </c>
    </row>
    <row r="292" spans="1:36" ht="15" customHeight="1" x14ac:dyDescent="0.25">
      <c r="A292" t="s">
        <v>67</v>
      </c>
      <c r="B292" t="s">
        <v>37</v>
      </c>
      <c r="C292" t="s">
        <v>37</v>
      </c>
      <c r="D292" t="s">
        <v>38</v>
      </c>
      <c r="E292" s="4">
        <v>4</v>
      </c>
      <c r="F292" s="5">
        <v>189.92</v>
      </c>
      <c r="G292" s="5" t="s">
        <v>39</v>
      </c>
      <c r="H292" s="5">
        <v>304.88</v>
      </c>
      <c r="I292" s="5" t="s">
        <v>39</v>
      </c>
      <c r="J292" s="5">
        <v>6.4572799999999999</v>
      </c>
      <c r="K292" s="5">
        <f t="shared" si="12"/>
        <v>1.61432</v>
      </c>
      <c r="L292" s="5">
        <f t="shared" si="13"/>
        <v>47.48</v>
      </c>
      <c r="M292" s="5" t="s">
        <v>39</v>
      </c>
      <c r="N292" s="5">
        <v>6.4572799999999999</v>
      </c>
      <c r="O292" s="5" t="s">
        <v>39</v>
      </c>
      <c r="P292" t="s">
        <v>182</v>
      </c>
      <c r="Q292" t="s">
        <v>665</v>
      </c>
      <c r="R292" t="s">
        <v>37</v>
      </c>
      <c r="S292" t="s">
        <v>666</v>
      </c>
      <c r="T292" t="s">
        <v>43</v>
      </c>
      <c r="U292" t="s">
        <v>44</v>
      </c>
      <c r="V292">
        <v>147</v>
      </c>
      <c r="W292" t="s">
        <v>45</v>
      </c>
      <c r="X292" t="s">
        <v>53</v>
      </c>
      <c r="Y292" t="s">
        <v>667</v>
      </c>
      <c r="Z292" t="s">
        <v>37</v>
      </c>
      <c r="AA292" t="s">
        <v>61</v>
      </c>
      <c r="AB292" t="s">
        <v>37</v>
      </c>
      <c r="AC292" s="6" t="s">
        <v>37</v>
      </c>
      <c r="AD292" s="6" t="s">
        <v>37</v>
      </c>
      <c r="AE292" t="s">
        <v>37</v>
      </c>
      <c r="AF292" t="s">
        <v>37</v>
      </c>
      <c r="AG292" s="6" t="s">
        <v>37</v>
      </c>
      <c r="AH292" t="s">
        <v>37</v>
      </c>
      <c r="AI292" t="s">
        <v>37</v>
      </c>
      <c r="AJ292" t="str">
        <f t="shared" si="14"/>
        <v>5UESXM5PB07W5JK8TR</v>
      </c>
    </row>
    <row r="293" spans="1:36" ht="15" customHeight="1" x14ac:dyDescent="0.25">
      <c r="A293" t="s">
        <v>133</v>
      </c>
      <c r="B293" t="s">
        <v>37</v>
      </c>
      <c r="C293" t="s">
        <v>37</v>
      </c>
      <c r="D293" t="s">
        <v>38</v>
      </c>
      <c r="E293" s="4">
        <v>204</v>
      </c>
      <c r="F293" s="5">
        <v>4141.2</v>
      </c>
      <c r="G293" s="5" t="s">
        <v>39</v>
      </c>
      <c r="H293" s="5">
        <v>6018</v>
      </c>
      <c r="I293" s="5" t="s">
        <v>39</v>
      </c>
      <c r="J293" s="5">
        <v>140.80080000000001</v>
      </c>
      <c r="K293" s="5">
        <f t="shared" si="12"/>
        <v>0.69020000000000004</v>
      </c>
      <c r="L293" s="5">
        <f t="shared" si="13"/>
        <v>20.3</v>
      </c>
      <c r="M293" s="5" t="s">
        <v>39</v>
      </c>
      <c r="N293" s="5">
        <v>140.80080000000001</v>
      </c>
      <c r="O293" s="5" t="s">
        <v>39</v>
      </c>
      <c r="P293" t="s">
        <v>219</v>
      </c>
      <c r="Q293" t="s">
        <v>135</v>
      </c>
      <c r="R293" t="s">
        <v>37</v>
      </c>
      <c r="S293" t="s">
        <v>136</v>
      </c>
      <c r="T293" t="s">
        <v>43</v>
      </c>
      <c r="U293" t="s">
        <v>44</v>
      </c>
      <c r="V293">
        <v>147</v>
      </c>
      <c r="W293" t="s">
        <v>45</v>
      </c>
      <c r="X293" t="s">
        <v>75</v>
      </c>
      <c r="Y293" t="s">
        <v>137</v>
      </c>
      <c r="Z293" t="s">
        <v>37</v>
      </c>
      <c r="AA293" t="s">
        <v>61</v>
      </c>
      <c r="AB293" t="s">
        <v>37</v>
      </c>
      <c r="AC293" s="6" t="s">
        <v>37</v>
      </c>
      <c r="AD293" s="6" t="s">
        <v>37</v>
      </c>
      <c r="AE293" t="s">
        <v>37</v>
      </c>
      <c r="AF293" t="s">
        <v>37</v>
      </c>
      <c r="AG293" s="6" t="s">
        <v>37</v>
      </c>
      <c r="AH293" t="s">
        <v>37</v>
      </c>
      <c r="AI293" t="s">
        <v>37</v>
      </c>
      <c r="AJ293" t="str">
        <f t="shared" si="14"/>
        <v>5EPWKXSHB07W5JK4LF</v>
      </c>
    </row>
    <row r="294" spans="1:36" ht="15" customHeight="1" x14ac:dyDescent="0.25">
      <c r="A294" t="s">
        <v>36</v>
      </c>
      <c r="B294" t="s">
        <v>37</v>
      </c>
      <c r="C294" t="s">
        <v>37</v>
      </c>
      <c r="D294" t="s">
        <v>38</v>
      </c>
      <c r="E294" s="4">
        <v>8</v>
      </c>
      <c r="F294" s="5">
        <v>1272.72</v>
      </c>
      <c r="G294" s="5" t="s">
        <v>39</v>
      </c>
      <c r="H294" s="5">
        <v>1508.16</v>
      </c>
      <c r="I294" s="5" t="s">
        <v>39</v>
      </c>
      <c r="J294" s="5">
        <v>43.272480000000002</v>
      </c>
      <c r="K294" s="5">
        <f t="shared" si="12"/>
        <v>5.4090600000000002</v>
      </c>
      <c r="L294" s="5">
        <f t="shared" si="13"/>
        <v>159.09</v>
      </c>
      <c r="M294" s="5" t="s">
        <v>39</v>
      </c>
      <c r="N294" s="5">
        <v>43.272480000000002</v>
      </c>
      <c r="O294" s="5" t="s">
        <v>39</v>
      </c>
      <c r="P294" t="s">
        <v>103</v>
      </c>
      <c r="Q294" t="s">
        <v>668</v>
      </c>
      <c r="R294" t="s">
        <v>37</v>
      </c>
      <c r="S294" t="s">
        <v>669</v>
      </c>
      <c r="T294" t="s">
        <v>43</v>
      </c>
      <c r="U294" t="s">
        <v>44</v>
      </c>
      <c r="V294">
        <v>267</v>
      </c>
      <c r="W294" t="s">
        <v>231</v>
      </c>
      <c r="X294" t="s">
        <v>232</v>
      </c>
      <c r="Y294" t="s">
        <v>670</v>
      </c>
      <c r="Z294" t="s">
        <v>37</v>
      </c>
      <c r="AA294" t="s">
        <v>145</v>
      </c>
      <c r="AB294" t="s">
        <v>37</v>
      </c>
      <c r="AC294" s="6" t="s">
        <v>37</v>
      </c>
      <c r="AD294" s="6" t="s">
        <v>37</v>
      </c>
      <c r="AE294" t="s">
        <v>37</v>
      </c>
      <c r="AF294" t="s">
        <v>37</v>
      </c>
      <c r="AG294" s="6" t="s">
        <v>37</v>
      </c>
      <c r="AH294" t="s">
        <v>37</v>
      </c>
      <c r="AI294" t="s">
        <v>37</v>
      </c>
      <c r="AJ294" t="str">
        <f t="shared" si="14"/>
        <v>68K72QXCB078MHS3SC</v>
      </c>
    </row>
    <row r="295" spans="1:36" ht="15" customHeight="1" x14ac:dyDescent="0.25">
      <c r="A295" t="s">
        <v>67</v>
      </c>
      <c r="B295" t="s">
        <v>37</v>
      </c>
      <c r="C295" t="s">
        <v>37</v>
      </c>
      <c r="D295" t="s">
        <v>38</v>
      </c>
      <c r="E295" s="4">
        <v>10</v>
      </c>
      <c r="F295" s="5">
        <v>146.4</v>
      </c>
      <c r="G295" s="5" t="s">
        <v>39</v>
      </c>
      <c r="H295" s="5">
        <v>213</v>
      </c>
      <c r="I295" s="5" t="s">
        <v>39</v>
      </c>
      <c r="J295" s="5">
        <v>4.9775999999999998</v>
      </c>
      <c r="K295" s="5">
        <f t="shared" si="12"/>
        <v>0.49775999999999998</v>
      </c>
      <c r="L295" s="5">
        <f t="shared" si="13"/>
        <v>14.64</v>
      </c>
      <c r="M295" s="5" t="s">
        <v>39</v>
      </c>
      <c r="N295" s="5">
        <v>4.9775999999999998</v>
      </c>
      <c r="O295" s="5" t="s">
        <v>39</v>
      </c>
      <c r="P295" t="s">
        <v>245</v>
      </c>
      <c r="Q295" t="s">
        <v>369</v>
      </c>
      <c r="R295" t="s">
        <v>37</v>
      </c>
      <c r="S295" t="s">
        <v>370</v>
      </c>
      <c r="T295" t="s">
        <v>43</v>
      </c>
      <c r="U295" t="s">
        <v>44</v>
      </c>
      <c r="V295">
        <v>147</v>
      </c>
      <c r="W295" t="s">
        <v>45</v>
      </c>
      <c r="X295" t="s">
        <v>75</v>
      </c>
      <c r="Y295" t="s">
        <v>371</v>
      </c>
      <c r="Z295" t="s">
        <v>37</v>
      </c>
      <c r="AA295" t="s">
        <v>61</v>
      </c>
      <c r="AB295" t="s">
        <v>37</v>
      </c>
      <c r="AC295" s="6" t="s">
        <v>37</v>
      </c>
      <c r="AD295" s="6" t="s">
        <v>37</v>
      </c>
      <c r="AE295" t="s">
        <v>37</v>
      </c>
      <c r="AF295" t="s">
        <v>37</v>
      </c>
      <c r="AG295" s="6" t="s">
        <v>37</v>
      </c>
      <c r="AH295" t="s">
        <v>37</v>
      </c>
      <c r="AI295" t="s">
        <v>37</v>
      </c>
      <c r="AJ295" t="str">
        <f t="shared" si="14"/>
        <v>6ZGQP34KB004CM47VU</v>
      </c>
    </row>
    <row r="296" spans="1:36" ht="15" customHeight="1" x14ac:dyDescent="0.25">
      <c r="A296" t="s">
        <v>133</v>
      </c>
      <c r="B296" t="s">
        <v>37</v>
      </c>
      <c r="C296" t="s">
        <v>37</v>
      </c>
      <c r="D296" t="s">
        <v>38</v>
      </c>
      <c r="E296" s="4">
        <v>12</v>
      </c>
      <c r="F296" s="5">
        <v>943.44</v>
      </c>
      <c r="G296" s="5" t="s">
        <v>39</v>
      </c>
      <c r="H296" s="5">
        <v>1524.48</v>
      </c>
      <c r="I296" s="5" t="s">
        <v>39</v>
      </c>
      <c r="J296" s="5">
        <v>32.07696</v>
      </c>
      <c r="K296" s="5">
        <f t="shared" si="12"/>
        <v>2.6730800000000001</v>
      </c>
      <c r="L296" s="5">
        <f t="shared" si="13"/>
        <v>78.62</v>
      </c>
      <c r="M296" s="5" t="s">
        <v>39</v>
      </c>
      <c r="N296" s="5">
        <v>32.07696</v>
      </c>
      <c r="O296" s="5" t="s">
        <v>39</v>
      </c>
      <c r="P296" t="s">
        <v>250</v>
      </c>
      <c r="Q296" t="s">
        <v>671</v>
      </c>
      <c r="R296" t="s">
        <v>37</v>
      </c>
      <c r="S296" t="s">
        <v>672</v>
      </c>
      <c r="T296" t="s">
        <v>43</v>
      </c>
      <c r="U296" t="s">
        <v>44</v>
      </c>
      <c r="V296">
        <v>147</v>
      </c>
      <c r="W296" t="s">
        <v>45</v>
      </c>
      <c r="X296" t="s">
        <v>46</v>
      </c>
      <c r="Y296" t="s">
        <v>673</v>
      </c>
      <c r="Z296" t="s">
        <v>37</v>
      </c>
      <c r="AA296" t="s">
        <v>48</v>
      </c>
      <c r="AB296" t="s">
        <v>37</v>
      </c>
      <c r="AC296" s="6" t="s">
        <v>37</v>
      </c>
      <c r="AD296" s="6" t="s">
        <v>37</v>
      </c>
      <c r="AE296" t="s">
        <v>37</v>
      </c>
      <c r="AF296" t="s">
        <v>37</v>
      </c>
      <c r="AG296" s="6" t="s">
        <v>37</v>
      </c>
      <c r="AH296" t="s">
        <v>37</v>
      </c>
      <c r="AI296" t="s">
        <v>37</v>
      </c>
      <c r="AJ296" t="str">
        <f t="shared" si="14"/>
        <v>3O2Z95HBB01MQ0N57Q</v>
      </c>
    </row>
    <row r="297" spans="1:36" ht="15" customHeight="1" x14ac:dyDescent="0.25">
      <c r="A297" t="s">
        <v>127</v>
      </c>
      <c r="B297" t="s">
        <v>37</v>
      </c>
      <c r="C297" t="s">
        <v>37</v>
      </c>
      <c r="D297" t="s">
        <v>38</v>
      </c>
      <c r="E297" s="4">
        <v>6</v>
      </c>
      <c r="F297" s="5">
        <v>471.72</v>
      </c>
      <c r="G297" s="5" t="s">
        <v>39</v>
      </c>
      <c r="H297" s="5">
        <v>762.24</v>
      </c>
      <c r="I297" s="5" t="s">
        <v>39</v>
      </c>
      <c r="J297" s="5">
        <v>16.03848</v>
      </c>
      <c r="K297" s="5">
        <f t="shared" si="12"/>
        <v>2.6730800000000001</v>
      </c>
      <c r="L297" s="5">
        <f t="shared" si="13"/>
        <v>78.62</v>
      </c>
      <c r="M297" s="5" t="s">
        <v>39</v>
      </c>
      <c r="N297" s="5">
        <v>16.03848</v>
      </c>
      <c r="O297" s="5" t="s">
        <v>39</v>
      </c>
      <c r="P297" t="s">
        <v>250</v>
      </c>
      <c r="Q297" t="s">
        <v>671</v>
      </c>
      <c r="R297" t="s">
        <v>37</v>
      </c>
      <c r="S297" t="s">
        <v>672</v>
      </c>
      <c r="T297" t="s">
        <v>43</v>
      </c>
      <c r="U297" t="s">
        <v>44</v>
      </c>
      <c r="V297">
        <v>147</v>
      </c>
      <c r="W297" t="s">
        <v>45</v>
      </c>
      <c r="X297" t="s">
        <v>46</v>
      </c>
      <c r="Y297" t="s">
        <v>673</v>
      </c>
      <c r="Z297" t="s">
        <v>37</v>
      </c>
      <c r="AA297" t="s">
        <v>48</v>
      </c>
      <c r="AB297" t="s">
        <v>37</v>
      </c>
      <c r="AC297" s="6" t="s">
        <v>37</v>
      </c>
      <c r="AD297" s="6" t="s">
        <v>37</v>
      </c>
      <c r="AE297" t="s">
        <v>37</v>
      </c>
      <c r="AF297" t="s">
        <v>37</v>
      </c>
      <c r="AG297" s="6" t="s">
        <v>37</v>
      </c>
      <c r="AH297" t="s">
        <v>37</v>
      </c>
      <c r="AI297" t="s">
        <v>37</v>
      </c>
      <c r="AJ297" t="str">
        <f t="shared" si="14"/>
        <v>3O2Z95HBB01MQ0N57Q</v>
      </c>
    </row>
    <row r="298" spans="1:36" ht="15" customHeight="1" x14ac:dyDescent="0.25">
      <c r="A298" t="s">
        <v>71</v>
      </c>
      <c r="B298" t="s">
        <v>37</v>
      </c>
      <c r="C298" t="s">
        <v>37</v>
      </c>
      <c r="D298" t="s">
        <v>38</v>
      </c>
      <c r="E298" s="4">
        <v>200</v>
      </c>
      <c r="F298" s="5">
        <v>2928</v>
      </c>
      <c r="G298" s="5" t="s">
        <v>39</v>
      </c>
      <c r="H298" s="5">
        <v>4082</v>
      </c>
      <c r="I298" s="5" t="s">
        <v>39</v>
      </c>
      <c r="J298" s="5">
        <v>99.552000000000007</v>
      </c>
      <c r="K298" s="5">
        <f t="shared" si="12"/>
        <v>0.49776000000000004</v>
      </c>
      <c r="L298" s="5">
        <f t="shared" si="13"/>
        <v>14.64</v>
      </c>
      <c r="M298" s="5" t="s">
        <v>39</v>
      </c>
      <c r="N298" s="5">
        <v>99.552000000000007</v>
      </c>
      <c r="O298" s="5" t="s">
        <v>39</v>
      </c>
      <c r="P298" t="s">
        <v>585</v>
      </c>
      <c r="Q298" t="s">
        <v>674</v>
      </c>
      <c r="R298" t="s">
        <v>37</v>
      </c>
      <c r="S298" t="s">
        <v>675</v>
      </c>
      <c r="T298" t="s">
        <v>43</v>
      </c>
      <c r="U298" t="s">
        <v>44</v>
      </c>
      <c r="V298">
        <v>147</v>
      </c>
      <c r="W298" t="s">
        <v>45</v>
      </c>
      <c r="X298" t="s">
        <v>75</v>
      </c>
      <c r="Y298" t="s">
        <v>676</v>
      </c>
      <c r="Z298" t="s">
        <v>37</v>
      </c>
      <c r="AA298" t="s">
        <v>48</v>
      </c>
      <c r="AB298" t="s">
        <v>37</v>
      </c>
      <c r="AC298" s="6" t="s">
        <v>37</v>
      </c>
      <c r="AD298" s="6" t="s">
        <v>37</v>
      </c>
      <c r="AE298" t="s">
        <v>37</v>
      </c>
      <c r="AF298" t="s">
        <v>37</v>
      </c>
      <c r="AG298" s="6" t="s">
        <v>37</v>
      </c>
      <c r="AH298" t="s">
        <v>37</v>
      </c>
      <c r="AI298" t="s">
        <v>37</v>
      </c>
      <c r="AJ298" t="str">
        <f t="shared" si="14"/>
        <v>5KSSWWOJB003K1FXTO</v>
      </c>
    </row>
    <row r="299" spans="1:36" ht="15" customHeight="1" x14ac:dyDescent="0.25">
      <c r="A299" t="s">
        <v>36</v>
      </c>
      <c r="B299" t="s">
        <v>37</v>
      </c>
      <c r="C299" t="s">
        <v>37</v>
      </c>
      <c r="D299" t="s">
        <v>38</v>
      </c>
      <c r="E299" s="4">
        <v>8</v>
      </c>
      <c r="F299" s="5">
        <v>923.52</v>
      </c>
      <c r="G299" s="5" t="s">
        <v>39</v>
      </c>
      <c r="H299" s="5">
        <v>1370.4</v>
      </c>
      <c r="I299" s="5" t="s">
        <v>39</v>
      </c>
      <c r="J299" s="5">
        <v>31.39968</v>
      </c>
      <c r="K299" s="5">
        <f t="shared" si="12"/>
        <v>3.92496</v>
      </c>
      <c r="L299" s="5">
        <f t="shared" si="13"/>
        <v>115.44</v>
      </c>
      <c r="M299" s="5" t="s">
        <v>39</v>
      </c>
      <c r="N299" s="5">
        <v>31.39968</v>
      </c>
      <c r="O299" s="5" t="s">
        <v>39</v>
      </c>
      <c r="P299" t="s">
        <v>167</v>
      </c>
      <c r="Q299" t="s">
        <v>677</v>
      </c>
      <c r="R299" t="s">
        <v>37</v>
      </c>
      <c r="S299" t="s">
        <v>678</v>
      </c>
      <c r="T299" t="s">
        <v>43</v>
      </c>
      <c r="U299" t="s">
        <v>44</v>
      </c>
      <c r="V299">
        <v>147</v>
      </c>
      <c r="W299" t="s">
        <v>45</v>
      </c>
      <c r="X299" t="s">
        <v>75</v>
      </c>
      <c r="Y299" t="s">
        <v>679</v>
      </c>
      <c r="Z299" t="s">
        <v>37</v>
      </c>
      <c r="AA299" t="s">
        <v>48</v>
      </c>
      <c r="AB299" t="s">
        <v>37</v>
      </c>
      <c r="AC299" s="6" t="s">
        <v>37</v>
      </c>
      <c r="AD299" s="6" t="s">
        <v>37</v>
      </c>
      <c r="AE299" t="s">
        <v>37</v>
      </c>
      <c r="AF299" t="s">
        <v>37</v>
      </c>
      <c r="AG299" s="6" t="s">
        <v>37</v>
      </c>
      <c r="AH299" t="s">
        <v>37</v>
      </c>
      <c r="AI299" t="s">
        <v>37</v>
      </c>
      <c r="AJ299" t="str">
        <f t="shared" si="14"/>
        <v>4FFLHW5MB074KGS5C3</v>
      </c>
    </row>
    <row r="300" spans="1:36" ht="15" customHeight="1" x14ac:dyDescent="0.25">
      <c r="A300" t="s">
        <v>67</v>
      </c>
      <c r="B300" t="s">
        <v>37</v>
      </c>
      <c r="C300" t="s">
        <v>37</v>
      </c>
      <c r="D300" t="s">
        <v>38</v>
      </c>
      <c r="E300" s="4">
        <v>24</v>
      </c>
      <c r="F300" s="5">
        <v>1113.5999999999999</v>
      </c>
      <c r="G300" s="5" t="s">
        <v>39</v>
      </c>
      <c r="H300" s="5">
        <v>1612.8</v>
      </c>
      <c r="I300" s="5" t="s">
        <v>39</v>
      </c>
      <c r="J300" s="5">
        <v>37.862400000000001</v>
      </c>
      <c r="K300" s="5">
        <f t="shared" si="12"/>
        <v>1.5776000000000001</v>
      </c>
      <c r="L300" s="5">
        <f t="shared" si="13"/>
        <v>46.4</v>
      </c>
      <c r="M300" s="5" t="s">
        <v>39</v>
      </c>
      <c r="N300" s="5">
        <v>37.862400000000001</v>
      </c>
      <c r="O300" s="5" t="s">
        <v>39</v>
      </c>
      <c r="P300" t="s">
        <v>108</v>
      </c>
      <c r="Q300" t="s">
        <v>680</v>
      </c>
      <c r="R300" t="s">
        <v>37</v>
      </c>
      <c r="S300" t="s">
        <v>681</v>
      </c>
      <c r="T300" t="s">
        <v>43</v>
      </c>
      <c r="U300" t="s">
        <v>44</v>
      </c>
      <c r="V300">
        <v>147</v>
      </c>
      <c r="W300" t="s">
        <v>45</v>
      </c>
      <c r="X300" t="s">
        <v>53</v>
      </c>
      <c r="Y300" t="s">
        <v>682</v>
      </c>
      <c r="Z300" t="s">
        <v>37</v>
      </c>
      <c r="AA300" t="s">
        <v>61</v>
      </c>
      <c r="AB300" t="s">
        <v>37</v>
      </c>
      <c r="AC300" s="6" t="s">
        <v>37</v>
      </c>
      <c r="AD300" s="6" t="s">
        <v>37</v>
      </c>
      <c r="AE300" t="s">
        <v>37</v>
      </c>
      <c r="AF300" t="s">
        <v>37</v>
      </c>
      <c r="AG300" s="6" t="s">
        <v>37</v>
      </c>
      <c r="AH300" t="s">
        <v>37</v>
      </c>
      <c r="AI300" t="s">
        <v>37</v>
      </c>
      <c r="AJ300" t="str">
        <f t="shared" si="14"/>
        <v>5HGHPU5OB07W8P4PDD</v>
      </c>
    </row>
    <row r="301" spans="1:36" ht="15" customHeight="1" x14ac:dyDescent="0.25">
      <c r="A301" t="s">
        <v>102</v>
      </c>
      <c r="B301" t="s">
        <v>37</v>
      </c>
      <c r="C301" t="s">
        <v>37</v>
      </c>
      <c r="D301" t="s">
        <v>38</v>
      </c>
      <c r="E301" s="4">
        <v>8</v>
      </c>
      <c r="F301" s="5">
        <v>140.47999999999999</v>
      </c>
      <c r="G301" s="5" t="s">
        <v>39</v>
      </c>
      <c r="H301" s="5">
        <v>327.52</v>
      </c>
      <c r="I301" s="5" t="s">
        <v>39</v>
      </c>
      <c r="J301" s="5">
        <v>4.7763200000000001</v>
      </c>
      <c r="K301" s="5">
        <f t="shared" si="12"/>
        <v>0.59704000000000002</v>
      </c>
      <c r="L301" s="5">
        <f t="shared" si="13"/>
        <v>17.559999999999999</v>
      </c>
      <c r="M301" s="5" t="s">
        <v>39</v>
      </c>
      <c r="N301" s="5">
        <v>4.7763200000000001</v>
      </c>
      <c r="O301" s="5" t="s">
        <v>39</v>
      </c>
      <c r="P301" t="s">
        <v>683</v>
      </c>
      <c r="Q301" t="s">
        <v>513</v>
      </c>
      <c r="R301" t="s">
        <v>37</v>
      </c>
      <c r="S301" t="s">
        <v>514</v>
      </c>
      <c r="T301" t="s">
        <v>43</v>
      </c>
      <c r="U301" t="s">
        <v>44</v>
      </c>
      <c r="V301">
        <v>147</v>
      </c>
      <c r="W301" t="s">
        <v>45</v>
      </c>
      <c r="X301" t="s">
        <v>75</v>
      </c>
      <c r="Y301" t="s">
        <v>515</v>
      </c>
      <c r="Z301" t="s">
        <v>37</v>
      </c>
      <c r="AA301" t="s">
        <v>145</v>
      </c>
      <c r="AB301" t="s">
        <v>37</v>
      </c>
      <c r="AC301" s="6" t="s">
        <v>37</v>
      </c>
      <c r="AD301" s="6" t="s">
        <v>37</v>
      </c>
      <c r="AE301" t="s">
        <v>37</v>
      </c>
      <c r="AF301" t="s">
        <v>37</v>
      </c>
      <c r="AG301" s="6" t="s">
        <v>37</v>
      </c>
      <c r="AH301" t="s">
        <v>37</v>
      </c>
      <c r="AI301" t="s">
        <v>37</v>
      </c>
      <c r="AJ301" t="str">
        <f t="shared" si="14"/>
        <v>1ABLPEELB002L3TSLQ</v>
      </c>
    </row>
    <row r="302" spans="1:36" ht="15" customHeight="1" x14ac:dyDescent="0.25">
      <c r="A302" t="s">
        <v>36</v>
      </c>
      <c r="B302" t="s">
        <v>37</v>
      </c>
      <c r="C302" t="s">
        <v>37</v>
      </c>
      <c r="D302" t="s">
        <v>38</v>
      </c>
      <c r="E302" s="4">
        <v>4</v>
      </c>
      <c r="F302" s="5">
        <v>314.48</v>
      </c>
      <c r="G302" s="5" t="s">
        <v>39</v>
      </c>
      <c r="H302" s="5">
        <v>508.16</v>
      </c>
      <c r="I302" s="5" t="s">
        <v>39</v>
      </c>
      <c r="J302" s="5">
        <v>10.69232</v>
      </c>
      <c r="K302" s="5">
        <f t="shared" si="12"/>
        <v>2.6730800000000001</v>
      </c>
      <c r="L302" s="5">
        <f t="shared" si="13"/>
        <v>78.62</v>
      </c>
      <c r="M302" s="5" t="s">
        <v>39</v>
      </c>
      <c r="N302" s="5">
        <v>10.69232</v>
      </c>
      <c r="O302" s="5" t="s">
        <v>39</v>
      </c>
      <c r="P302" t="s">
        <v>167</v>
      </c>
      <c r="Q302" t="s">
        <v>684</v>
      </c>
      <c r="R302" t="s">
        <v>37</v>
      </c>
      <c r="S302" t="s">
        <v>685</v>
      </c>
      <c r="T302" t="s">
        <v>43</v>
      </c>
      <c r="U302" t="s">
        <v>44</v>
      </c>
      <c r="V302">
        <v>147</v>
      </c>
      <c r="W302" t="s">
        <v>45</v>
      </c>
      <c r="X302" t="s">
        <v>46</v>
      </c>
      <c r="Y302" t="s">
        <v>686</v>
      </c>
      <c r="Z302" t="s">
        <v>37</v>
      </c>
      <c r="AA302" t="s">
        <v>48</v>
      </c>
      <c r="AB302" t="s">
        <v>37</v>
      </c>
      <c r="AC302" s="6" t="s">
        <v>37</v>
      </c>
      <c r="AD302" s="6" t="s">
        <v>37</v>
      </c>
      <c r="AE302" t="s">
        <v>37</v>
      </c>
      <c r="AF302" t="s">
        <v>37</v>
      </c>
      <c r="AG302" s="6" t="s">
        <v>37</v>
      </c>
      <c r="AH302" t="s">
        <v>37</v>
      </c>
      <c r="AI302" t="s">
        <v>37</v>
      </c>
      <c r="AJ302" t="str">
        <f t="shared" si="14"/>
        <v>4FFLHW5MB074C9889M</v>
      </c>
    </row>
    <row r="303" spans="1:36" ht="15" customHeight="1" x14ac:dyDescent="0.25">
      <c r="A303" t="s">
        <v>36</v>
      </c>
      <c r="B303" t="s">
        <v>37</v>
      </c>
      <c r="C303" t="s">
        <v>37</v>
      </c>
      <c r="D303" t="s">
        <v>38</v>
      </c>
      <c r="E303" s="4">
        <v>16</v>
      </c>
      <c r="F303" s="5">
        <v>187.36</v>
      </c>
      <c r="G303" s="5" t="s">
        <v>39</v>
      </c>
      <c r="H303" s="5">
        <v>287.83999999999997</v>
      </c>
      <c r="I303" s="5" t="s">
        <v>39</v>
      </c>
      <c r="J303" s="5">
        <v>6.3702399999999999</v>
      </c>
      <c r="K303" s="5">
        <f t="shared" si="12"/>
        <v>0.39813999999999999</v>
      </c>
      <c r="L303" s="5">
        <f t="shared" si="13"/>
        <v>11.71</v>
      </c>
      <c r="M303" s="5" t="s">
        <v>39</v>
      </c>
      <c r="N303" s="5">
        <v>6.3702399999999999</v>
      </c>
      <c r="O303" s="5" t="s">
        <v>39</v>
      </c>
      <c r="P303" t="s">
        <v>40</v>
      </c>
      <c r="Q303" t="s">
        <v>391</v>
      </c>
      <c r="R303" t="s">
        <v>37</v>
      </c>
      <c r="S303" t="s">
        <v>392</v>
      </c>
      <c r="T303" t="s">
        <v>43</v>
      </c>
      <c r="U303" t="s">
        <v>44</v>
      </c>
      <c r="V303">
        <v>23</v>
      </c>
      <c r="W303" t="s">
        <v>45</v>
      </c>
      <c r="X303" t="s">
        <v>248</v>
      </c>
      <c r="Y303" t="s">
        <v>393</v>
      </c>
      <c r="Z303" t="s">
        <v>37</v>
      </c>
      <c r="AA303" t="s">
        <v>61</v>
      </c>
      <c r="AB303" t="s">
        <v>37</v>
      </c>
      <c r="AC303" s="6" t="s">
        <v>37</v>
      </c>
      <c r="AD303" s="6" t="s">
        <v>37</v>
      </c>
      <c r="AE303" t="s">
        <v>37</v>
      </c>
      <c r="AF303" t="s">
        <v>37</v>
      </c>
      <c r="AG303" s="6" t="s">
        <v>37</v>
      </c>
      <c r="AH303" t="s">
        <v>37</v>
      </c>
      <c r="AI303" t="s">
        <v>37</v>
      </c>
      <c r="AJ303" t="str">
        <f t="shared" si="14"/>
        <v>8IC45Q9KB00544XKK4</v>
      </c>
    </row>
    <row r="304" spans="1:36" ht="15" customHeight="1" x14ac:dyDescent="0.25">
      <c r="A304" t="s">
        <v>67</v>
      </c>
      <c r="B304" t="s">
        <v>37</v>
      </c>
      <c r="C304" t="s">
        <v>37</v>
      </c>
      <c r="D304" t="s">
        <v>38</v>
      </c>
      <c r="E304" s="4">
        <v>4</v>
      </c>
      <c r="F304" s="5">
        <v>165.96</v>
      </c>
      <c r="G304" s="5" t="s">
        <v>39</v>
      </c>
      <c r="H304" s="5">
        <v>203.24</v>
      </c>
      <c r="I304" s="5" t="s">
        <v>39</v>
      </c>
      <c r="J304" s="5">
        <v>5.6426400000000001</v>
      </c>
      <c r="K304" s="5">
        <f t="shared" si="12"/>
        <v>1.41066</v>
      </c>
      <c r="L304" s="5">
        <f t="shared" si="13"/>
        <v>41.49</v>
      </c>
      <c r="M304" s="5" t="s">
        <v>39</v>
      </c>
      <c r="N304" s="5">
        <v>5.6426400000000001</v>
      </c>
      <c r="O304" s="5" t="s">
        <v>39</v>
      </c>
      <c r="P304" t="s">
        <v>63</v>
      </c>
      <c r="Q304" t="s">
        <v>687</v>
      </c>
      <c r="R304" t="s">
        <v>37</v>
      </c>
      <c r="S304" t="s">
        <v>688</v>
      </c>
      <c r="T304" t="s">
        <v>43</v>
      </c>
      <c r="U304" t="s">
        <v>44</v>
      </c>
      <c r="V304">
        <v>23</v>
      </c>
      <c r="W304" t="s">
        <v>95</v>
      </c>
      <c r="X304" t="s">
        <v>96</v>
      </c>
      <c r="Y304" t="s">
        <v>689</v>
      </c>
      <c r="Z304" t="s">
        <v>37</v>
      </c>
      <c r="AA304" t="s">
        <v>145</v>
      </c>
      <c r="AB304" t="s">
        <v>37</v>
      </c>
      <c r="AC304" s="6" t="s">
        <v>37</v>
      </c>
      <c r="AD304" s="6" t="s">
        <v>37</v>
      </c>
      <c r="AE304" t="s">
        <v>37</v>
      </c>
      <c r="AF304" t="s">
        <v>37</v>
      </c>
      <c r="AG304" s="6" t="s">
        <v>37</v>
      </c>
      <c r="AH304" t="s">
        <v>37</v>
      </c>
      <c r="AI304" t="s">
        <v>37</v>
      </c>
      <c r="AJ304" t="str">
        <f t="shared" si="14"/>
        <v>3AWPOPBJB07W6HLN9H</v>
      </c>
    </row>
    <row r="305" spans="1:36" ht="15" customHeight="1" x14ac:dyDescent="0.25">
      <c r="A305" t="s">
        <v>36</v>
      </c>
      <c r="B305" t="s">
        <v>37</v>
      </c>
      <c r="C305" t="s">
        <v>37</v>
      </c>
      <c r="D305" t="s">
        <v>38</v>
      </c>
      <c r="E305" s="4">
        <v>40</v>
      </c>
      <c r="F305" s="5">
        <v>2934.4</v>
      </c>
      <c r="G305" s="5" t="s">
        <v>39</v>
      </c>
      <c r="H305" s="5">
        <v>3934.4</v>
      </c>
      <c r="I305" s="5" t="s">
        <v>39</v>
      </c>
      <c r="J305" s="5">
        <v>99.769599999999997</v>
      </c>
      <c r="K305" s="5">
        <f t="shared" si="12"/>
        <v>2.49424</v>
      </c>
      <c r="L305" s="5">
        <f t="shared" si="13"/>
        <v>73.36</v>
      </c>
      <c r="M305" s="5" t="s">
        <v>39</v>
      </c>
      <c r="N305" s="5">
        <v>99.769599999999997</v>
      </c>
      <c r="O305" s="5" t="s">
        <v>39</v>
      </c>
      <c r="P305" t="s">
        <v>89</v>
      </c>
      <c r="Q305" t="s">
        <v>690</v>
      </c>
      <c r="R305" t="s">
        <v>37</v>
      </c>
      <c r="S305" t="s">
        <v>691</v>
      </c>
      <c r="T305" t="s">
        <v>43</v>
      </c>
      <c r="U305" t="s">
        <v>44</v>
      </c>
      <c r="V305">
        <v>147</v>
      </c>
      <c r="W305" t="s">
        <v>45</v>
      </c>
      <c r="X305" t="s">
        <v>75</v>
      </c>
      <c r="Y305" t="s">
        <v>692</v>
      </c>
      <c r="Z305" t="s">
        <v>37</v>
      </c>
      <c r="AA305" t="s">
        <v>61</v>
      </c>
      <c r="AB305" t="s">
        <v>37</v>
      </c>
      <c r="AC305" s="6" t="s">
        <v>37</v>
      </c>
      <c r="AD305" s="6" t="s">
        <v>37</v>
      </c>
      <c r="AE305" t="s">
        <v>37</v>
      </c>
      <c r="AF305" t="s">
        <v>37</v>
      </c>
      <c r="AG305" s="6" t="s">
        <v>37</v>
      </c>
      <c r="AH305" t="s">
        <v>37</v>
      </c>
      <c r="AI305" t="s">
        <v>37</v>
      </c>
      <c r="AJ305" t="str">
        <f t="shared" si="14"/>
        <v>6D1HFTMSB07W6HJVDK</v>
      </c>
    </row>
    <row r="306" spans="1:36" ht="15" customHeight="1" x14ac:dyDescent="0.25">
      <c r="A306" t="s">
        <v>36</v>
      </c>
      <c r="B306" t="s">
        <v>37</v>
      </c>
      <c r="C306" t="s">
        <v>37</v>
      </c>
      <c r="D306" t="s">
        <v>38</v>
      </c>
      <c r="E306" s="4">
        <v>10</v>
      </c>
      <c r="F306" s="5">
        <v>146.4</v>
      </c>
      <c r="G306" s="5" t="s">
        <v>39</v>
      </c>
      <c r="H306" s="5">
        <v>204.1</v>
      </c>
      <c r="I306" s="5" t="s">
        <v>39</v>
      </c>
      <c r="J306" s="5">
        <v>4.9775999999999998</v>
      </c>
      <c r="K306" s="5">
        <f t="shared" si="12"/>
        <v>0.49775999999999998</v>
      </c>
      <c r="L306" s="5">
        <f t="shared" si="13"/>
        <v>14.64</v>
      </c>
      <c r="M306" s="5" t="s">
        <v>39</v>
      </c>
      <c r="N306" s="5">
        <v>4.9775999999999998</v>
      </c>
      <c r="O306" s="5" t="s">
        <v>39</v>
      </c>
      <c r="P306" t="s">
        <v>167</v>
      </c>
      <c r="Q306" t="s">
        <v>576</v>
      </c>
      <c r="R306" t="s">
        <v>37</v>
      </c>
      <c r="S306" t="s">
        <v>577</v>
      </c>
      <c r="T306" t="s">
        <v>43</v>
      </c>
      <c r="U306" t="s">
        <v>44</v>
      </c>
      <c r="V306">
        <v>147</v>
      </c>
      <c r="W306" t="s">
        <v>45</v>
      </c>
      <c r="X306" t="s">
        <v>75</v>
      </c>
      <c r="Y306" t="s">
        <v>578</v>
      </c>
      <c r="Z306" t="s">
        <v>37</v>
      </c>
      <c r="AA306" t="s">
        <v>61</v>
      </c>
      <c r="AB306" t="s">
        <v>37</v>
      </c>
      <c r="AC306" s="6" t="s">
        <v>37</v>
      </c>
      <c r="AD306" s="6" t="s">
        <v>37</v>
      </c>
      <c r="AE306" t="s">
        <v>37</v>
      </c>
      <c r="AF306" t="s">
        <v>37</v>
      </c>
      <c r="AG306" s="6" t="s">
        <v>37</v>
      </c>
      <c r="AH306" t="s">
        <v>37</v>
      </c>
      <c r="AI306" t="s">
        <v>37</v>
      </c>
      <c r="AJ306" t="str">
        <f t="shared" si="14"/>
        <v>4FFLHW5MB00EJ3RMDM</v>
      </c>
    </row>
    <row r="307" spans="1:36" ht="15" customHeight="1" x14ac:dyDescent="0.25">
      <c r="A307" t="s">
        <v>400</v>
      </c>
      <c r="B307" t="s">
        <v>37</v>
      </c>
      <c r="C307" t="s">
        <v>37</v>
      </c>
      <c r="D307" t="s">
        <v>38</v>
      </c>
      <c r="E307" s="4">
        <v>43</v>
      </c>
      <c r="F307" s="5">
        <v>9052.36</v>
      </c>
      <c r="G307" s="5" t="s">
        <v>39</v>
      </c>
      <c r="H307" s="5">
        <v>14415.75</v>
      </c>
      <c r="I307" s="5" t="s">
        <v>39</v>
      </c>
      <c r="J307" s="5">
        <v>307.78023999999999</v>
      </c>
      <c r="K307" s="5">
        <f t="shared" si="12"/>
        <v>7.15768</v>
      </c>
      <c r="L307" s="5">
        <f t="shared" si="13"/>
        <v>210.52</v>
      </c>
      <c r="M307" s="5" t="s">
        <v>39</v>
      </c>
      <c r="N307" s="5">
        <v>307.78023999999999</v>
      </c>
      <c r="O307" s="5" t="s">
        <v>39</v>
      </c>
      <c r="P307" t="s">
        <v>263</v>
      </c>
      <c r="Q307" t="s">
        <v>86</v>
      </c>
      <c r="R307" t="s">
        <v>37</v>
      </c>
      <c r="S307" t="s">
        <v>87</v>
      </c>
      <c r="T307" t="s">
        <v>43</v>
      </c>
      <c r="U307" t="s">
        <v>44</v>
      </c>
      <c r="V307">
        <v>147</v>
      </c>
      <c r="W307" t="s">
        <v>45</v>
      </c>
      <c r="X307" t="s">
        <v>46</v>
      </c>
      <c r="Y307" t="s">
        <v>88</v>
      </c>
      <c r="Z307" t="s">
        <v>37</v>
      </c>
      <c r="AA307" t="s">
        <v>61</v>
      </c>
      <c r="AB307" t="s">
        <v>37</v>
      </c>
      <c r="AC307" s="6" t="s">
        <v>37</v>
      </c>
      <c r="AD307" s="6" t="s">
        <v>37</v>
      </c>
      <c r="AE307" t="s">
        <v>37</v>
      </c>
      <c r="AF307" t="s">
        <v>37</v>
      </c>
      <c r="AG307" s="6" t="s">
        <v>37</v>
      </c>
      <c r="AH307" t="s">
        <v>37</v>
      </c>
      <c r="AI307" t="s">
        <v>37</v>
      </c>
      <c r="AJ307" t="str">
        <f t="shared" si="14"/>
        <v>3B2Q175VB011N78DMA</v>
      </c>
    </row>
    <row r="308" spans="1:36" ht="15" customHeight="1" x14ac:dyDescent="0.25">
      <c r="A308" t="s">
        <v>420</v>
      </c>
      <c r="B308" t="s">
        <v>37</v>
      </c>
      <c r="C308" t="s">
        <v>37</v>
      </c>
      <c r="D308" t="s">
        <v>38</v>
      </c>
      <c r="E308" s="4">
        <v>0</v>
      </c>
      <c r="F308" s="5">
        <v>0</v>
      </c>
      <c r="G308" s="5" t="s">
        <v>39</v>
      </c>
      <c r="H308" s="5">
        <v>0</v>
      </c>
      <c r="I308" s="5" t="s">
        <v>39</v>
      </c>
      <c r="J308" s="5">
        <v>0</v>
      </c>
      <c r="K308" s="5" t="e">
        <f t="shared" si="12"/>
        <v>#DIV/0!</v>
      </c>
      <c r="L308" s="5" t="e">
        <f t="shared" si="13"/>
        <v>#DIV/0!</v>
      </c>
      <c r="M308" s="5" t="s">
        <v>39</v>
      </c>
      <c r="N308" s="5">
        <v>0</v>
      </c>
      <c r="O308" s="5" t="s">
        <v>39</v>
      </c>
      <c r="P308" t="s">
        <v>245</v>
      </c>
      <c r="Q308" t="s">
        <v>693</v>
      </c>
      <c r="R308" t="s">
        <v>37</v>
      </c>
      <c r="S308" t="s">
        <v>694</v>
      </c>
      <c r="T308" t="s">
        <v>43</v>
      </c>
      <c r="U308" t="s">
        <v>44</v>
      </c>
      <c r="V308">
        <v>147</v>
      </c>
      <c r="W308" t="s">
        <v>45</v>
      </c>
      <c r="X308" t="s">
        <v>75</v>
      </c>
      <c r="Y308" t="s">
        <v>695</v>
      </c>
      <c r="Z308" t="s">
        <v>37</v>
      </c>
      <c r="AA308" t="s">
        <v>61</v>
      </c>
      <c r="AB308" t="s">
        <v>37</v>
      </c>
      <c r="AC308" s="6" t="s">
        <v>37</v>
      </c>
      <c r="AD308" s="6" t="s">
        <v>37</v>
      </c>
      <c r="AE308" t="s">
        <v>37</v>
      </c>
      <c r="AF308" t="s">
        <v>37</v>
      </c>
      <c r="AG308" s="6" t="s">
        <v>37</v>
      </c>
      <c r="AH308" t="s">
        <v>37</v>
      </c>
      <c r="AI308" t="s">
        <v>37</v>
      </c>
      <c r="AJ308" t="str">
        <f t="shared" si="14"/>
        <v>6ZGQP34KB003UL1RGC</v>
      </c>
    </row>
    <row r="309" spans="1:36" ht="15" customHeight="1" x14ac:dyDescent="0.25">
      <c r="A309" t="s">
        <v>36</v>
      </c>
      <c r="B309" t="s">
        <v>37</v>
      </c>
      <c r="C309" t="s">
        <v>37</v>
      </c>
      <c r="D309" t="s">
        <v>38</v>
      </c>
      <c r="E309" s="4">
        <v>76</v>
      </c>
      <c r="F309" s="5">
        <v>2225.2800000000002</v>
      </c>
      <c r="G309" s="5" t="s">
        <v>39</v>
      </c>
      <c r="H309" s="5">
        <v>2225.2800000000002</v>
      </c>
      <c r="I309" s="5" t="s">
        <v>39</v>
      </c>
      <c r="J309" s="5">
        <v>75.659520000000001</v>
      </c>
      <c r="K309" s="5">
        <f t="shared" si="12"/>
        <v>0.99551999999999996</v>
      </c>
      <c r="L309" s="5">
        <f t="shared" si="13"/>
        <v>29.28</v>
      </c>
      <c r="M309" s="5" t="s">
        <v>39</v>
      </c>
      <c r="N309" s="5">
        <v>75.659520000000001</v>
      </c>
      <c r="O309" s="5" t="s">
        <v>39</v>
      </c>
      <c r="P309" t="s">
        <v>89</v>
      </c>
      <c r="Q309" t="s">
        <v>655</v>
      </c>
      <c r="R309" t="s">
        <v>37</v>
      </c>
      <c r="S309" t="s">
        <v>656</v>
      </c>
      <c r="T309" t="s">
        <v>43</v>
      </c>
      <c r="U309" t="s">
        <v>44</v>
      </c>
      <c r="V309">
        <v>23</v>
      </c>
      <c r="W309" t="s">
        <v>657</v>
      </c>
      <c r="X309" t="s">
        <v>301</v>
      </c>
      <c r="Y309" t="s">
        <v>658</v>
      </c>
      <c r="Z309" t="s">
        <v>37</v>
      </c>
      <c r="AA309" t="s">
        <v>61</v>
      </c>
      <c r="AB309" t="s">
        <v>37</v>
      </c>
      <c r="AC309" s="6" t="s">
        <v>37</v>
      </c>
      <c r="AD309" s="6" t="s">
        <v>37</v>
      </c>
      <c r="AE309" t="s">
        <v>37</v>
      </c>
      <c r="AF309" t="s">
        <v>37</v>
      </c>
      <c r="AG309" s="6" t="s">
        <v>37</v>
      </c>
      <c r="AH309" t="s">
        <v>37</v>
      </c>
      <c r="AI309" t="s">
        <v>37</v>
      </c>
      <c r="AJ309" t="str">
        <f t="shared" si="14"/>
        <v>6D1HFTMSB00IRCDT7Y</v>
      </c>
    </row>
    <row r="310" spans="1:36" ht="15" customHeight="1" x14ac:dyDescent="0.25">
      <c r="A310" t="s">
        <v>67</v>
      </c>
      <c r="B310" t="s">
        <v>37</v>
      </c>
      <c r="C310" t="s">
        <v>37</v>
      </c>
      <c r="D310" t="s">
        <v>38</v>
      </c>
      <c r="E310" s="4">
        <v>10</v>
      </c>
      <c r="F310" s="5">
        <v>99.5</v>
      </c>
      <c r="G310" s="5" t="s">
        <v>39</v>
      </c>
      <c r="H310" s="5">
        <v>138.5</v>
      </c>
      <c r="I310" s="5" t="s">
        <v>39</v>
      </c>
      <c r="J310" s="5">
        <v>3.383</v>
      </c>
      <c r="K310" s="5">
        <f t="shared" si="12"/>
        <v>0.33829999999999999</v>
      </c>
      <c r="L310" s="5">
        <f t="shared" si="13"/>
        <v>9.9499999999999993</v>
      </c>
      <c r="M310" s="5" t="s">
        <v>39</v>
      </c>
      <c r="N310" s="5">
        <v>3.383</v>
      </c>
      <c r="O310" s="5" t="s">
        <v>39</v>
      </c>
      <c r="P310" t="s">
        <v>245</v>
      </c>
      <c r="Q310" t="s">
        <v>649</v>
      </c>
      <c r="R310" t="s">
        <v>37</v>
      </c>
      <c r="S310" t="s">
        <v>650</v>
      </c>
      <c r="T310" t="s">
        <v>43</v>
      </c>
      <c r="U310" t="s">
        <v>44</v>
      </c>
      <c r="V310">
        <v>147</v>
      </c>
      <c r="W310" t="s">
        <v>45</v>
      </c>
      <c r="X310" t="s">
        <v>75</v>
      </c>
      <c r="Y310" t="s">
        <v>651</v>
      </c>
      <c r="Z310" t="s">
        <v>37</v>
      </c>
      <c r="AA310" t="s">
        <v>61</v>
      </c>
      <c r="AB310" t="s">
        <v>37</v>
      </c>
      <c r="AC310" s="6" t="s">
        <v>37</v>
      </c>
      <c r="AD310" s="6" t="s">
        <v>37</v>
      </c>
      <c r="AE310" t="s">
        <v>37</v>
      </c>
      <c r="AF310" t="s">
        <v>37</v>
      </c>
      <c r="AG310" s="6" t="s">
        <v>37</v>
      </c>
      <c r="AH310" t="s">
        <v>37</v>
      </c>
      <c r="AI310" t="s">
        <v>37</v>
      </c>
      <c r="AJ310" t="str">
        <f t="shared" si="14"/>
        <v>6ZGQP34KB003PO22H2</v>
      </c>
    </row>
    <row r="311" spans="1:36" ht="15" customHeight="1" x14ac:dyDescent="0.25">
      <c r="A311" t="s">
        <v>67</v>
      </c>
      <c r="B311" t="s">
        <v>37</v>
      </c>
      <c r="C311" t="s">
        <v>37</v>
      </c>
      <c r="D311" t="s">
        <v>38</v>
      </c>
      <c r="E311" s="4">
        <v>40</v>
      </c>
      <c r="F311" s="5">
        <v>328</v>
      </c>
      <c r="G311" s="5" t="s">
        <v>39</v>
      </c>
      <c r="H311" s="5">
        <v>491.6</v>
      </c>
      <c r="I311" s="5" t="s">
        <v>39</v>
      </c>
      <c r="J311" s="5">
        <v>11.151999999999999</v>
      </c>
      <c r="K311" s="5">
        <f t="shared" si="12"/>
        <v>0.27879999999999999</v>
      </c>
      <c r="L311" s="5">
        <f t="shared" si="13"/>
        <v>8.1999999999999993</v>
      </c>
      <c r="M311" s="5" t="s">
        <v>39</v>
      </c>
      <c r="N311" s="5">
        <v>11.151999999999999</v>
      </c>
      <c r="O311" s="5" t="s">
        <v>39</v>
      </c>
      <c r="P311" t="s">
        <v>245</v>
      </c>
      <c r="Q311" t="s">
        <v>693</v>
      </c>
      <c r="R311" t="s">
        <v>37</v>
      </c>
      <c r="S311" t="s">
        <v>694</v>
      </c>
      <c r="T311" t="s">
        <v>43</v>
      </c>
      <c r="U311" t="s">
        <v>44</v>
      </c>
      <c r="V311">
        <v>147</v>
      </c>
      <c r="W311" t="s">
        <v>45</v>
      </c>
      <c r="X311" t="s">
        <v>75</v>
      </c>
      <c r="Y311" t="s">
        <v>695</v>
      </c>
      <c r="Z311" t="s">
        <v>37</v>
      </c>
      <c r="AA311" t="s">
        <v>61</v>
      </c>
      <c r="AB311" t="s">
        <v>37</v>
      </c>
      <c r="AC311" s="6" t="s">
        <v>37</v>
      </c>
      <c r="AD311" s="6" t="s">
        <v>37</v>
      </c>
      <c r="AE311" t="s">
        <v>37</v>
      </c>
      <c r="AF311" t="s">
        <v>37</v>
      </c>
      <c r="AG311" s="6" t="s">
        <v>37</v>
      </c>
      <c r="AH311" t="s">
        <v>37</v>
      </c>
      <c r="AI311" t="s">
        <v>37</v>
      </c>
      <c r="AJ311" t="str">
        <f t="shared" si="14"/>
        <v>6ZGQP34KB003UL1RGC</v>
      </c>
    </row>
    <row r="312" spans="1:36" ht="15" customHeight="1" x14ac:dyDescent="0.25">
      <c r="A312" t="s">
        <v>67</v>
      </c>
      <c r="B312" t="s">
        <v>37</v>
      </c>
      <c r="C312" t="s">
        <v>37</v>
      </c>
      <c r="D312" t="s">
        <v>38</v>
      </c>
      <c r="E312" s="4">
        <v>8</v>
      </c>
      <c r="F312" s="5">
        <v>281.04000000000002</v>
      </c>
      <c r="G312" s="5" t="s">
        <v>39</v>
      </c>
      <c r="H312" s="5">
        <v>406.48</v>
      </c>
      <c r="I312" s="5" t="s">
        <v>39</v>
      </c>
      <c r="J312" s="5">
        <v>9.5553600000000003</v>
      </c>
      <c r="K312" s="5">
        <f t="shared" si="12"/>
        <v>1.19442</v>
      </c>
      <c r="L312" s="5">
        <f t="shared" si="13"/>
        <v>35.130000000000003</v>
      </c>
      <c r="M312" s="5" t="s">
        <v>39</v>
      </c>
      <c r="N312" s="5">
        <v>9.5553600000000003</v>
      </c>
      <c r="O312" s="5" t="s">
        <v>39</v>
      </c>
      <c r="P312" t="s">
        <v>108</v>
      </c>
      <c r="Q312" t="s">
        <v>696</v>
      </c>
      <c r="R312" t="s">
        <v>37</v>
      </c>
      <c r="S312" t="s">
        <v>697</v>
      </c>
      <c r="T312" t="s">
        <v>43</v>
      </c>
      <c r="U312" t="s">
        <v>44</v>
      </c>
      <c r="V312">
        <v>147</v>
      </c>
      <c r="W312" t="s">
        <v>45</v>
      </c>
      <c r="X312" t="s">
        <v>75</v>
      </c>
      <c r="Y312" t="s">
        <v>698</v>
      </c>
      <c r="Z312" t="s">
        <v>37</v>
      </c>
      <c r="AA312" t="s">
        <v>61</v>
      </c>
      <c r="AB312" t="s">
        <v>37</v>
      </c>
      <c r="AC312" s="6" t="s">
        <v>37</v>
      </c>
      <c r="AD312" s="6" t="s">
        <v>37</v>
      </c>
      <c r="AE312" t="s">
        <v>37</v>
      </c>
      <c r="AF312" t="s">
        <v>37</v>
      </c>
      <c r="AG312" s="6" t="s">
        <v>37</v>
      </c>
      <c r="AH312" t="s">
        <v>37</v>
      </c>
      <c r="AI312" t="s">
        <v>37</v>
      </c>
      <c r="AJ312" t="str">
        <f t="shared" si="14"/>
        <v>5HGHPU5OB07VL9YHC9</v>
      </c>
    </row>
    <row r="313" spans="1:36" ht="15" customHeight="1" x14ac:dyDescent="0.25">
      <c r="A313" t="s">
        <v>133</v>
      </c>
      <c r="B313" t="s">
        <v>37</v>
      </c>
      <c r="C313" t="s">
        <v>37</v>
      </c>
      <c r="D313" t="s">
        <v>38</v>
      </c>
      <c r="E313" s="4">
        <v>240</v>
      </c>
      <c r="F313" s="5">
        <v>1262.4000000000001</v>
      </c>
      <c r="G313" s="5" t="s">
        <v>39</v>
      </c>
      <c r="H313" s="5">
        <v>1768.8</v>
      </c>
      <c r="I313" s="5" t="s">
        <v>39</v>
      </c>
      <c r="J313" s="5">
        <v>42.921599999999998</v>
      </c>
      <c r="K313" s="5">
        <f t="shared" si="12"/>
        <v>0.17884</v>
      </c>
      <c r="L313" s="5">
        <f t="shared" si="13"/>
        <v>5.2600000000000007</v>
      </c>
      <c r="M313" s="5" t="s">
        <v>39</v>
      </c>
      <c r="N313" s="5">
        <v>42.921599999999998</v>
      </c>
      <c r="O313" s="5" t="s">
        <v>39</v>
      </c>
      <c r="P313" t="s">
        <v>397</v>
      </c>
      <c r="Q313" t="s">
        <v>291</v>
      </c>
      <c r="R313" t="s">
        <v>37</v>
      </c>
      <c r="S313" t="s">
        <v>292</v>
      </c>
      <c r="T313" t="s">
        <v>43</v>
      </c>
      <c r="U313" t="s">
        <v>44</v>
      </c>
      <c r="V313">
        <v>147</v>
      </c>
      <c r="W313" t="s">
        <v>45</v>
      </c>
      <c r="X313" t="s">
        <v>53</v>
      </c>
      <c r="Y313" t="s">
        <v>293</v>
      </c>
      <c r="Z313" t="s">
        <v>37</v>
      </c>
      <c r="AA313" t="s">
        <v>61</v>
      </c>
      <c r="AB313" t="s">
        <v>37</v>
      </c>
      <c r="AC313" s="6" t="s">
        <v>37</v>
      </c>
      <c r="AD313" s="6" t="s">
        <v>37</v>
      </c>
      <c r="AE313" t="s">
        <v>37</v>
      </c>
      <c r="AF313" t="s">
        <v>37</v>
      </c>
      <c r="AG313" s="6" t="s">
        <v>37</v>
      </c>
      <c r="AH313" t="s">
        <v>37</v>
      </c>
      <c r="AI313" t="s">
        <v>37</v>
      </c>
      <c r="AJ313" t="str">
        <f t="shared" si="14"/>
        <v>7M2QCA5KB00AZKNPZC</v>
      </c>
    </row>
    <row r="314" spans="1:36" ht="15" customHeight="1" x14ac:dyDescent="0.25">
      <c r="A314" t="s">
        <v>262</v>
      </c>
      <c r="B314" t="s">
        <v>37</v>
      </c>
      <c r="C314" t="s">
        <v>37</v>
      </c>
      <c r="D314" t="s">
        <v>38</v>
      </c>
      <c r="E314" s="4">
        <v>28</v>
      </c>
      <c r="F314" s="5">
        <v>819.84</v>
      </c>
      <c r="G314" s="5" t="s">
        <v>39</v>
      </c>
      <c r="H314" s="5">
        <v>819.84</v>
      </c>
      <c r="I314" s="5" t="s">
        <v>39</v>
      </c>
      <c r="J314" s="5">
        <v>27.874559999999999</v>
      </c>
      <c r="K314" s="5">
        <f t="shared" si="12"/>
        <v>0.99551999999999996</v>
      </c>
      <c r="L314" s="5">
        <f t="shared" si="13"/>
        <v>29.28</v>
      </c>
      <c r="M314" s="5" t="s">
        <v>39</v>
      </c>
      <c r="N314" s="5">
        <v>27.874559999999999</v>
      </c>
      <c r="O314" s="5" t="s">
        <v>39</v>
      </c>
      <c r="P314" t="s">
        <v>89</v>
      </c>
      <c r="Q314" t="s">
        <v>655</v>
      </c>
      <c r="R314" t="s">
        <v>37</v>
      </c>
      <c r="S314" t="s">
        <v>656</v>
      </c>
      <c r="T314" t="s">
        <v>43</v>
      </c>
      <c r="U314" t="s">
        <v>44</v>
      </c>
      <c r="V314">
        <v>23</v>
      </c>
      <c r="W314" t="s">
        <v>657</v>
      </c>
      <c r="X314" t="s">
        <v>301</v>
      </c>
      <c r="Y314" t="s">
        <v>658</v>
      </c>
      <c r="Z314" t="s">
        <v>37</v>
      </c>
      <c r="AA314" t="s">
        <v>61</v>
      </c>
      <c r="AB314" t="s">
        <v>37</v>
      </c>
      <c r="AC314" s="6" t="s">
        <v>37</v>
      </c>
      <c r="AD314" s="6" t="s">
        <v>37</v>
      </c>
      <c r="AE314" t="s">
        <v>37</v>
      </c>
      <c r="AF314" t="s">
        <v>37</v>
      </c>
      <c r="AG314" s="6" t="s">
        <v>37</v>
      </c>
      <c r="AH314" t="s">
        <v>37</v>
      </c>
      <c r="AI314" t="s">
        <v>37</v>
      </c>
      <c r="AJ314" t="str">
        <f t="shared" si="14"/>
        <v>6D1HFTMSB00IRCDT7Y</v>
      </c>
    </row>
    <row r="315" spans="1:36" ht="15" customHeight="1" x14ac:dyDescent="0.25">
      <c r="A315" t="s">
        <v>67</v>
      </c>
      <c r="B315" t="s">
        <v>37</v>
      </c>
      <c r="C315" t="s">
        <v>37</v>
      </c>
      <c r="D315" t="s">
        <v>38</v>
      </c>
      <c r="E315" s="4">
        <v>12</v>
      </c>
      <c r="F315" s="5">
        <v>253.2</v>
      </c>
      <c r="G315" s="5" t="s">
        <v>39</v>
      </c>
      <c r="H315" s="5">
        <v>403.2</v>
      </c>
      <c r="I315" s="5" t="s">
        <v>39</v>
      </c>
      <c r="J315" s="5">
        <v>8.6088000000000005</v>
      </c>
      <c r="K315" s="5">
        <f t="shared" si="12"/>
        <v>0.71740000000000004</v>
      </c>
      <c r="L315" s="5">
        <f t="shared" si="13"/>
        <v>21.099999999999998</v>
      </c>
      <c r="M315" s="5" t="s">
        <v>39</v>
      </c>
      <c r="N315" s="5">
        <v>8.6088000000000005</v>
      </c>
      <c r="O315" s="5" t="s">
        <v>39</v>
      </c>
      <c r="P315" t="s">
        <v>63</v>
      </c>
      <c r="Q315" t="s">
        <v>699</v>
      </c>
      <c r="R315" t="s">
        <v>37</v>
      </c>
      <c r="S315" t="s">
        <v>700</v>
      </c>
      <c r="T315" t="s">
        <v>43</v>
      </c>
      <c r="U315" t="s">
        <v>44</v>
      </c>
      <c r="V315">
        <v>147</v>
      </c>
      <c r="W315" t="s">
        <v>45</v>
      </c>
      <c r="X315" t="s">
        <v>46</v>
      </c>
      <c r="Y315" t="s">
        <v>701</v>
      </c>
      <c r="Z315" t="s">
        <v>37</v>
      </c>
      <c r="AA315" t="s">
        <v>48</v>
      </c>
      <c r="AB315" t="s">
        <v>37</v>
      </c>
      <c r="AC315" s="6" t="s">
        <v>37</v>
      </c>
      <c r="AD315" s="6" t="s">
        <v>37</v>
      </c>
      <c r="AE315" t="s">
        <v>37</v>
      </c>
      <c r="AF315" t="s">
        <v>37</v>
      </c>
      <c r="AG315" s="6" t="s">
        <v>37</v>
      </c>
      <c r="AH315" t="s">
        <v>37</v>
      </c>
      <c r="AI315" t="s">
        <v>37</v>
      </c>
      <c r="AJ315" t="str">
        <f t="shared" si="14"/>
        <v>3AWPOPBJB01DIJICIQ</v>
      </c>
    </row>
    <row r="316" spans="1:36" ht="15" customHeight="1" x14ac:dyDescent="0.25">
      <c r="A316" t="s">
        <v>127</v>
      </c>
      <c r="B316" t="s">
        <v>37</v>
      </c>
      <c r="C316" t="s">
        <v>37</v>
      </c>
      <c r="D316" t="s">
        <v>38</v>
      </c>
      <c r="E316" s="4">
        <v>10</v>
      </c>
      <c r="F316" s="5">
        <v>82</v>
      </c>
      <c r="G316" s="5" t="s">
        <v>39</v>
      </c>
      <c r="H316" s="5">
        <v>122.1</v>
      </c>
      <c r="I316" s="5" t="s">
        <v>39</v>
      </c>
      <c r="J316" s="5">
        <v>2.7879999999999998</v>
      </c>
      <c r="K316" s="5">
        <f t="shared" si="12"/>
        <v>0.27879999999999999</v>
      </c>
      <c r="L316" s="5">
        <f t="shared" si="13"/>
        <v>8.1999999999999993</v>
      </c>
      <c r="M316" s="5" t="s">
        <v>39</v>
      </c>
      <c r="N316" s="5">
        <v>2.7879999999999998</v>
      </c>
      <c r="O316" s="5" t="s">
        <v>39</v>
      </c>
      <c r="P316" t="s">
        <v>128</v>
      </c>
      <c r="Q316" t="s">
        <v>146</v>
      </c>
      <c r="R316" t="s">
        <v>37</v>
      </c>
      <c r="S316" t="s">
        <v>147</v>
      </c>
      <c r="T316" t="s">
        <v>43</v>
      </c>
      <c r="U316" t="s">
        <v>44</v>
      </c>
      <c r="V316">
        <v>147</v>
      </c>
      <c r="W316" t="s">
        <v>45</v>
      </c>
      <c r="X316" t="s">
        <v>75</v>
      </c>
      <c r="Y316" t="s">
        <v>148</v>
      </c>
      <c r="Z316" t="s">
        <v>37</v>
      </c>
      <c r="AA316" t="s">
        <v>61</v>
      </c>
      <c r="AB316" t="s">
        <v>37</v>
      </c>
      <c r="AC316" s="6" t="s">
        <v>37</v>
      </c>
      <c r="AD316" s="6" t="s">
        <v>37</v>
      </c>
      <c r="AE316" t="s">
        <v>37</v>
      </c>
      <c r="AF316" t="s">
        <v>37</v>
      </c>
      <c r="AG316" s="6" t="s">
        <v>37</v>
      </c>
      <c r="AH316" t="s">
        <v>37</v>
      </c>
      <c r="AI316" t="s">
        <v>37</v>
      </c>
      <c r="AJ316" t="str">
        <f t="shared" si="14"/>
        <v>5DN5PI5YB0056C69DO</v>
      </c>
    </row>
    <row r="317" spans="1:36" ht="15" customHeight="1" x14ac:dyDescent="0.25">
      <c r="A317" t="s">
        <v>127</v>
      </c>
      <c r="B317" t="s">
        <v>37</v>
      </c>
      <c r="C317" t="s">
        <v>37</v>
      </c>
      <c r="D317" t="s">
        <v>38</v>
      </c>
      <c r="E317" s="4">
        <v>10</v>
      </c>
      <c r="F317" s="5">
        <v>146.4</v>
      </c>
      <c r="G317" s="5" t="s">
        <v>39</v>
      </c>
      <c r="H317" s="5">
        <v>146.4</v>
      </c>
      <c r="I317" s="5" t="s">
        <v>39</v>
      </c>
      <c r="J317" s="5">
        <v>4.9775999999999998</v>
      </c>
      <c r="K317" s="5">
        <f t="shared" si="12"/>
        <v>0.49775999999999998</v>
      </c>
      <c r="L317" s="5">
        <f t="shared" si="13"/>
        <v>14.64</v>
      </c>
      <c r="M317" s="5" t="s">
        <v>39</v>
      </c>
      <c r="N317" s="5">
        <v>4.9775999999999998</v>
      </c>
      <c r="O317" s="5" t="s">
        <v>39</v>
      </c>
      <c r="P317" t="s">
        <v>208</v>
      </c>
      <c r="Q317" t="s">
        <v>570</v>
      </c>
      <c r="R317" t="s">
        <v>37</v>
      </c>
      <c r="S317" t="s">
        <v>571</v>
      </c>
      <c r="T317" t="s">
        <v>43</v>
      </c>
      <c r="U317" t="s">
        <v>44</v>
      </c>
      <c r="V317">
        <v>147</v>
      </c>
      <c r="W317" t="s">
        <v>45</v>
      </c>
      <c r="X317" t="s">
        <v>75</v>
      </c>
      <c r="Y317" t="s">
        <v>572</v>
      </c>
      <c r="Z317" t="s">
        <v>37</v>
      </c>
      <c r="AA317" t="s">
        <v>61</v>
      </c>
      <c r="AB317" t="s">
        <v>37</v>
      </c>
      <c r="AC317" s="6" t="s">
        <v>37</v>
      </c>
      <c r="AD317" s="6" t="s">
        <v>37</v>
      </c>
      <c r="AE317" t="s">
        <v>37</v>
      </c>
      <c r="AF317" t="s">
        <v>37</v>
      </c>
      <c r="AG317" s="6" t="s">
        <v>37</v>
      </c>
      <c r="AH317" t="s">
        <v>37</v>
      </c>
      <c r="AI317" t="s">
        <v>37</v>
      </c>
      <c r="AJ317" t="str">
        <f t="shared" si="14"/>
        <v>2WFUPSOGB00EJ3RN7C</v>
      </c>
    </row>
    <row r="318" spans="1:36" ht="15" customHeight="1" x14ac:dyDescent="0.25">
      <c r="A318" t="s">
        <v>133</v>
      </c>
      <c r="B318" t="s">
        <v>37</v>
      </c>
      <c r="C318" t="s">
        <v>37</v>
      </c>
      <c r="D318" t="s">
        <v>38</v>
      </c>
      <c r="E318" s="4">
        <v>8</v>
      </c>
      <c r="F318" s="5">
        <v>126.56</v>
      </c>
      <c r="G318" s="5" t="s">
        <v>39</v>
      </c>
      <c r="H318" s="5">
        <v>203.2</v>
      </c>
      <c r="I318" s="5" t="s">
        <v>39</v>
      </c>
      <c r="J318" s="5">
        <v>4.3030400000000002</v>
      </c>
      <c r="K318" s="5">
        <f t="shared" si="12"/>
        <v>0.53788000000000002</v>
      </c>
      <c r="L318" s="5">
        <f t="shared" si="13"/>
        <v>15.82</v>
      </c>
      <c r="M318" s="5" t="s">
        <v>39</v>
      </c>
      <c r="N318" s="5">
        <v>4.3030400000000002</v>
      </c>
      <c r="O318" s="5" t="s">
        <v>39</v>
      </c>
      <c r="P318" t="s">
        <v>189</v>
      </c>
      <c r="Q318" t="s">
        <v>120</v>
      </c>
      <c r="R318" t="s">
        <v>37</v>
      </c>
      <c r="S318" t="s">
        <v>121</v>
      </c>
      <c r="T318" t="s">
        <v>43</v>
      </c>
      <c r="U318" t="s">
        <v>44</v>
      </c>
      <c r="V318">
        <v>147</v>
      </c>
      <c r="W318" t="s">
        <v>45</v>
      </c>
      <c r="X318" t="s">
        <v>46</v>
      </c>
      <c r="Y318" t="s">
        <v>122</v>
      </c>
      <c r="Z318" t="s">
        <v>37</v>
      </c>
      <c r="AA318" t="s">
        <v>48</v>
      </c>
      <c r="AB318" t="s">
        <v>37</v>
      </c>
      <c r="AC318" s="6" t="s">
        <v>37</v>
      </c>
      <c r="AD318" s="6" t="s">
        <v>37</v>
      </c>
      <c r="AE318" t="s">
        <v>37</v>
      </c>
      <c r="AF318" t="s">
        <v>37</v>
      </c>
      <c r="AG318" s="6" t="s">
        <v>37</v>
      </c>
      <c r="AH318" t="s">
        <v>37</v>
      </c>
      <c r="AI318" t="s">
        <v>37</v>
      </c>
      <c r="AJ318" t="str">
        <f t="shared" si="14"/>
        <v>6DPU2MKPB01DIJIE1Q</v>
      </c>
    </row>
    <row r="319" spans="1:36" ht="15" customHeight="1" x14ac:dyDescent="0.25">
      <c r="A319" t="s">
        <v>36</v>
      </c>
      <c r="B319" t="s">
        <v>37</v>
      </c>
      <c r="C319" t="s">
        <v>37</v>
      </c>
      <c r="D319" t="s">
        <v>38</v>
      </c>
      <c r="E319" s="4">
        <v>4</v>
      </c>
      <c r="F319" s="5">
        <v>251.16</v>
      </c>
      <c r="G319" s="5" t="s">
        <v>39</v>
      </c>
      <c r="H319" s="5">
        <v>409.8</v>
      </c>
      <c r="I319" s="5" t="s">
        <v>39</v>
      </c>
      <c r="J319" s="5">
        <v>8.5394400000000008</v>
      </c>
      <c r="K319" s="5">
        <f t="shared" si="12"/>
        <v>2.1348600000000002</v>
      </c>
      <c r="L319" s="5">
        <f t="shared" si="13"/>
        <v>62.79</v>
      </c>
      <c r="M319" s="5" t="s">
        <v>39</v>
      </c>
      <c r="N319" s="5">
        <v>8.5394400000000008</v>
      </c>
      <c r="O319" s="5" t="s">
        <v>39</v>
      </c>
      <c r="P319" t="s">
        <v>167</v>
      </c>
      <c r="Q319" t="s">
        <v>702</v>
      </c>
      <c r="R319" t="s">
        <v>37</v>
      </c>
      <c r="S319" t="s">
        <v>703</v>
      </c>
      <c r="T319" t="s">
        <v>43</v>
      </c>
      <c r="U319" t="s">
        <v>44</v>
      </c>
      <c r="V319">
        <v>147</v>
      </c>
      <c r="W319" t="s">
        <v>45</v>
      </c>
      <c r="X319" t="s">
        <v>75</v>
      </c>
      <c r="Y319" t="s">
        <v>704</v>
      </c>
      <c r="Z319" t="s">
        <v>37</v>
      </c>
      <c r="AA319" t="s">
        <v>61</v>
      </c>
      <c r="AB319" t="s">
        <v>37</v>
      </c>
      <c r="AC319" s="6" t="s">
        <v>37</v>
      </c>
      <c r="AD319" s="6" t="s">
        <v>37</v>
      </c>
      <c r="AE319" t="s">
        <v>37</v>
      </c>
      <c r="AF319" t="s">
        <v>37</v>
      </c>
      <c r="AG319" s="6" t="s">
        <v>37</v>
      </c>
      <c r="AH319" t="s">
        <v>37</v>
      </c>
      <c r="AI319" t="s">
        <v>37</v>
      </c>
      <c r="AJ319" t="str">
        <f t="shared" si="14"/>
        <v>4FFLHW5MB07W5JKPSF</v>
      </c>
    </row>
    <row r="320" spans="1:36" ht="15" customHeight="1" x14ac:dyDescent="0.25">
      <c r="A320" t="s">
        <v>36</v>
      </c>
      <c r="B320" t="s">
        <v>37</v>
      </c>
      <c r="C320" t="s">
        <v>37</v>
      </c>
      <c r="D320" t="s">
        <v>38</v>
      </c>
      <c r="E320" s="4">
        <v>40</v>
      </c>
      <c r="F320" s="5">
        <v>1899.2</v>
      </c>
      <c r="G320" s="5" t="s">
        <v>39</v>
      </c>
      <c r="H320" s="5">
        <v>3048.8</v>
      </c>
      <c r="I320" s="5" t="s">
        <v>39</v>
      </c>
      <c r="J320" s="5">
        <v>64.572800000000001</v>
      </c>
      <c r="K320" s="5">
        <f t="shared" si="12"/>
        <v>1.61432</v>
      </c>
      <c r="L320" s="5">
        <f t="shared" si="13"/>
        <v>47.480000000000004</v>
      </c>
      <c r="M320" s="5" t="s">
        <v>39</v>
      </c>
      <c r="N320" s="5">
        <v>64.572800000000001</v>
      </c>
      <c r="O320" s="5" t="s">
        <v>39</v>
      </c>
      <c r="P320" t="s">
        <v>40</v>
      </c>
      <c r="Q320" t="s">
        <v>574</v>
      </c>
      <c r="R320" t="s">
        <v>37</v>
      </c>
      <c r="S320" t="s">
        <v>575</v>
      </c>
      <c r="T320" t="s">
        <v>43</v>
      </c>
      <c r="U320" t="s">
        <v>44</v>
      </c>
      <c r="V320">
        <v>147</v>
      </c>
      <c r="W320" t="s">
        <v>45</v>
      </c>
      <c r="X320" t="s">
        <v>46</v>
      </c>
      <c r="Y320" t="s">
        <v>338</v>
      </c>
      <c r="Z320" t="s">
        <v>37</v>
      </c>
      <c r="AA320" t="s">
        <v>61</v>
      </c>
      <c r="AB320" t="s">
        <v>37</v>
      </c>
      <c r="AC320" s="6" t="s">
        <v>37</v>
      </c>
      <c r="AD320" s="6" t="s">
        <v>37</v>
      </c>
      <c r="AE320" t="s">
        <v>37</v>
      </c>
      <c r="AF320" t="s">
        <v>37</v>
      </c>
      <c r="AG320" s="6" t="s">
        <v>37</v>
      </c>
      <c r="AH320" t="s">
        <v>37</v>
      </c>
      <c r="AI320" t="s">
        <v>37</v>
      </c>
      <c r="AJ320" t="str">
        <f t="shared" si="14"/>
        <v>8IC45Q9KB07GS6ZB7T</v>
      </c>
    </row>
    <row r="321" spans="1:36" ht="15" customHeight="1" x14ac:dyDescent="0.25">
      <c r="A321" t="s">
        <v>67</v>
      </c>
      <c r="B321" t="s">
        <v>37</v>
      </c>
      <c r="C321" t="s">
        <v>37</v>
      </c>
      <c r="D321" t="s">
        <v>38</v>
      </c>
      <c r="E321" s="4">
        <v>8</v>
      </c>
      <c r="F321" s="5">
        <v>510.48</v>
      </c>
      <c r="G321" s="5" t="s">
        <v>39</v>
      </c>
      <c r="H321" s="5">
        <v>754</v>
      </c>
      <c r="I321" s="5" t="s">
        <v>39</v>
      </c>
      <c r="J321" s="5">
        <v>17.35632</v>
      </c>
      <c r="K321" s="5">
        <f t="shared" si="12"/>
        <v>2.16954</v>
      </c>
      <c r="L321" s="5">
        <f t="shared" si="13"/>
        <v>63.81</v>
      </c>
      <c r="M321" s="5" t="s">
        <v>39</v>
      </c>
      <c r="N321" s="5">
        <v>17.35632</v>
      </c>
      <c r="O321" s="5" t="s">
        <v>39</v>
      </c>
      <c r="P321" t="s">
        <v>108</v>
      </c>
      <c r="Q321" t="s">
        <v>646</v>
      </c>
      <c r="R321" t="s">
        <v>37</v>
      </c>
      <c r="S321" t="s">
        <v>647</v>
      </c>
      <c r="T321" t="s">
        <v>43</v>
      </c>
      <c r="U321" t="s">
        <v>44</v>
      </c>
      <c r="V321">
        <v>147</v>
      </c>
      <c r="W321" t="s">
        <v>45</v>
      </c>
      <c r="X321" t="s">
        <v>75</v>
      </c>
      <c r="Y321" t="s">
        <v>648</v>
      </c>
      <c r="Z321" t="s">
        <v>37</v>
      </c>
      <c r="AA321" t="s">
        <v>61</v>
      </c>
      <c r="AB321" t="s">
        <v>37</v>
      </c>
      <c r="AC321" s="6" t="s">
        <v>37</v>
      </c>
      <c r="AD321" s="6" t="s">
        <v>37</v>
      </c>
      <c r="AE321" t="s">
        <v>37</v>
      </c>
      <c r="AF321" t="s">
        <v>37</v>
      </c>
      <c r="AG321" s="6" t="s">
        <v>37</v>
      </c>
      <c r="AH321" t="s">
        <v>37</v>
      </c>
      <c r="AI321" t="s">
        <v>37</v>
      </c>
      <c r="AJ321" t="str">
        <f t="shared" si="14"/>
        <v>5HGHPU5OB07W7KMK4Y</v>
      </c>
    </row>
    <row r="322" spans="1:36" ht="15" customHeight="1" x14ac:dyDescent="0.25">
      <c r="A322" t="s">
        <v>67</v>
      </c>
      <c r="B322" t="s">
        <v>37</v>
      </c>
      <c r="C322" t="s">
        <v>37</v>
      </c>
      <c r="D322" t="s">
        <v>38</v>
      </c>
      <c r="E322" s="4">
        <v>52</v>
      </c>
      <c r="F322" s="5">
        <v>4362.28</v>
      </c>
      <c r="G322" s="5" t="s">
        <v>39</v>
      </c>
      <c r="H322" s="5">
        <v>7032.48</v>
      </c>
      <c r="I322" s="5" t="s">
        <v>39</v>
      </c>
      <c r="J322" s="5">
        <v>148.31752</v>
      </c>
      <c r="K322" s="5">
        <f t="shared" si="12"/>
        <v>2.8522600000000002</v>
      </c>
      <c r="L322" s="5">
        <f t="shared" si="13"/>
        <v>83.89</v>
      </c>
      <c r="M322" s="5" t="s">
        <v>39</v>
      </c>
      <c r="N322" s="5">
        <v>148.31752</v>
      </c>
      <c r="O322" s="5" t="s">
        <v>39</v>
      </c>
      <c r="P322" t="s">
        <v>108</v>
      </c>
      <c r="Q322" t="s">
        <v>705</v>
      </c>
      <c r="R322" t="s">
        <v>37</v>
      </c>
      <c r="S322" t="s">
        <v>706</v>
      </c>
      <c r="T322" t="s">
        <v>43</v>
      </c>
      <c r="U322" t="s">
        <v>44</v>
      </c>
      <c r="V322">
        <v>147</v>
      </c>
      <c r="W322" t="s">
        <v>45</v>
      </c>
      <c r="X322" t="s">
        <v>53</v>
      </c>
      <c r="Y322" t="s">
        <v>352</v>
      </c>
      <c r="Z322" t="s">
        <v>37</v>
      </c>
      <c r="AA322" t="s">
        <v>61</v>
      </c>
      <c r="AB322" t="s">
        <v>37</v>
      </c>
      <c r="AC322" s="6" t="s">
        <v>37</v>
      </c>
      <c r="AD322" s="6" t="s">
        <v>37</v>
      </c>
      <c r="AE322" t="s">
        <v>37</v>
      </c>
      <c r="AF322" t="s">
        <v>37</v>
      </c>
      <c r="AG322" s="6" t="s">
        <v>37</v>
      </c>
      <c r="AH322" t="s">
        <v>37</v>
      </c>
      <c r="AI322" t="s">
        <v>37</v>
      </c>
      <c r="AJ322" t="str">
        <f t="shared" si="14"/>
        <v>5HGHPU5OB07W6J51XR</v>
      </c>
    </row>
    <row r="323" spans="1:36" ht="15" customHeight="1" x14ac:dyDescent="0.25">
      <c r="A323" t="s">
        <v>133</v>
      </c>
      <c r="B323" t="s">
        <v>37</v>
      </c>
      <c r="C323" t="s">
        <v>37</v>
      </c>
      <c r="D323" t="s">
        <v>38</v>
      </c>
      <c r="E323" s="4">
        <v>6</v>
      </c>
      <c r="F323" s="5">
        <v>121.8</v>
      </c>
      <c r="G323" s="5" t="s">
        <v>39</v>
      </c>
      <c r="H323" s="5">
        <v>177</v>
      </c>
      <c r="I323" s="5" t="s">
        <v>39</v>
      </c>
      <c r="J323" s="5">
        <v>4.1412000000000004</v>
      </c>
      <c r="K323" s="5">
        <f t="shared" ref="K323:K386" si="15">J323/E323</f>
        <v>0.69020000000000004</v>
      </c>
      <c r="L323" s="5">
        <f t="shared" ref="L323:L386" si="16">F323/E323</f>
        <v>20.3</v>
      </c>
      <c r="M323" s="5" t="s">
        <v>39</v>
      </c>
      <c r="N323" s="5">
        <v>4.1412000000000004</v>
      </c>
      <c r="O323" s="5" t="s">
        <v>39</v>
      </c>
      <c r="P323" t="s">
        <v>128</v>
      </c>
      <c r="Q323" t="s">
        <v>507</v>
      </c>
      <c r="R323" t="s">
        <v>37</v>
      </c>
      <c r="S323" t="s">
        <v>508</v>
      </c>
      <c r="T323" t="s">
        <v>43</v>
      </c>
      <c r="U323" t="s">
        <v>44</v>
      </c>
      <c r="V323">
        <v>147</v>
      </c>
      <c r="W323" t="s">
        <v>45</v>
      </c>
      <c r="X323" t="s">
        <v>75</v>
      </c>
      <c r="Y323" t="s">
        <v>509</v>
      </c>
      <c r="Z323" t="s">
        <v>37</v>
      </c>
      <c r="AA323" t="s">
        <v>61</v>
      </c>
      <c r="AB323" t="s">
        <v>37</v>
      </c>
      <c r="AC323" s="6" t="s">
        <v>37</v>
      </c>
      <c r="AD323" s="6" t="s">
        <v>37</v>
      </c>
      <c r="AE323" t="s">
        <v>37</v>
      </c>
      <c r="AF323" t="s">
        <v>37</v>
      </c>
      <c r="AG323" s="6" t="s">
        <v>37</v>
      </c>
      <c r="AH323" t="s">
        <v>37</v>
      </c>
      <c r="AI323" t="s">
        <v>37</v>
      </c>
      <c r="AJ323" t="str">
        <f t="shared" ref="AJ323:AJ386" si="17">P323&amp;Q323</f>
        <v>5DN5PI5YB07W7KJC28</v>
      </c>
    </row>
    <row r="324" spans="1:36" ht="15" customHeight="1" x14ac:dyDescent="0.25">
      <c r="A324" t="s">
        <v>102</v>
      </c>
      <c r="B324" t="s">
        <v>37</v>
      </c>
      <c r="C324" t="s">
        <v>37</v>
      </c>
      <c r="D324" t="s">
        <v>38</v>
      </c>
      <c r="E324" s="4">
        <v>10</v>
      </c>
      <c r="F324" s="5">
        <v>99.5</v>
      </c>
      <c r="G324" s="5" t="s">
        <v>39</v>
      </c>
      <c r="H324" s="5">
        <v>99.5</v>
      </c>
      <c r="I324" s="5" t="s">
        <v>39</v>
      </c>
      <c r="J324" s="5">
        <v>3.383</v>
      </c>
      <c r="K324" s="5">
        <f t="shared" si="15"/>
        <v>0.33829999999999999</v>
      </c>
      <c r="L324" s="5">
        <f t="shared" si="16"/>
        <v>9.9499999999999993</v>
      </c>
      <c r="M324" s="5" t="s">
        <v>39</v>
      </c>
      <c r="N324" s="5">
        <v>3.383</v>
      </c>
      <c r="O324" s="5" t="s">
        <v>39</v>
      </c>
      <c r="P324" t="s">
        <v>592</v>
      </c>
      <c r="Q324" t="s">
        <v>172</v>
      </c>
      <c r="R324" t="s">
        <v>37</v>
      </c>
      <c r="S324" t="s">
        <v>173</v>
      </c>
      <c r="T324" t="s">
        <v>43</v>
      </c>
      <c r="U324" t="s">
        <v>44</v>
      </c>
      <c r="V324">
        <v>147</v>
      </c>
      <c r="W324" t="s">
        <v>45</v>
      </c>
      <c r="X324" t="s">
        <v>53</v>
      </c>
      <c r="Y324" t="s">
        <v>174</v>
      </c>
      <c r="Z324" t="s">
        <v>37</v>
      </c>
      <c r="AA324" t="s">
        <v>61</v>
      </c>
      <c r="AB324" t="s">
        <v>37</v>
      </c>
      <c r="AC324" s="6" t="s">
        <v>37</v>
      </c>
      <c r="AD324" s="6" t="s">
        <v>37</v>
      </c>
      <c r="AE324" t="s">
        <v>37</v>
      </c>
      <c r="AF324" t="s">
        <v>37</v>
      </c>
      <c r="AG324" s="6" t="s">
        <v>37</v>
      </c>
      <c r="AH324" t="s">
        <v>37</v>
      </c>
      <c r="AI324" t="s">
        <v>37</v>
      </c>
      <c r="AJ324" t="str">
        <f t="shared" si="17"/>
        <v>5WP5GFZIB00544XJDM</v>
      </c>
    </row>
    <row r="325" spans="1:36" ht="15" customHeight="1" x14ac:dyDescent="0.25">
      <c r="A325" t="s">
        <v>67</v>
      </c>
      <c r="B325" t="s">
        <v>37</v>
      </c>
      <c r="C325" t="s">
        <v>37</v>
      </c>
      <c r="D325" t="s">
        <v>38</v>
      </c>
      <c r="E325" s="4">
        <v>8</v>
      </c>
      <c r="F325" s="5">
        <v>331.92</v>
      </c>
      <c r="G325" s="5" t="s">
        <v>39</v>
      </c>
      <c r="H325" s="5">
        <v>406.48</v>
      </c>
      <c r="I325" s="5" t="s">
        <v>39</v>
      </c>
      <c r="J325" s="5">
        <v>11.28528</v>
      </c>
      <c r="K325" s="5">
        <f t="shared" si="15"/>
        <v>1.41066</v>
      </c>
      <c r="L325" s="5">
        <f t="shared" si="16"/>
        <v>41.49</v>
      </c>
      <c r="M325" s="5" t="s">
        <v>39</v>
      </c>
      <c r="N325" s="5">
        <v>11.28528</v>
      </c>
      <c r="O325" s="5" t="s">
        <v>39</v>
      </c>
      <c r="P325" t="s">
        <v>63</v>
      </c>
      <c r="Q325" t="s">
        <v>707</v>
      </c>
      <c r="R325" t="s">
        <v>37</v>
      </c>
      <c r="S325" t="s">
        <v>708</v>
      </c>
      <c r="T325" t="s">
        <v>43</v>
      </c>
      <c r="U325" t="s">
        <v>44</v>
      </c>
      <c r="V325">
        <v>23</v>
      </c>
      <c r="W325" t="s">
        <v>95</v>
      </c>
      <c r="X325" t="s">
        <v>96</v>
      </c>
      <c r="Y325" t="s">
        <v>709</v>
      </c>
      <c r="Z325" t="s">
        <v>37</v>
      </c>
      <c r="AA325" t="s">
        <v>145</v>
      </c>
      <c r="AB325" t="s">
        <v>37</v>
      </c>
      <c r="AC325" s="6" t="s">
        <v>37</v>
      </c>
      <c r="AD325" s="6" t="s">
        <v>37</v>
      </c>
      <c r="AE325" t="s">
        <v>37</v>
      </c>
      <c r="AF325" t="s">
        <v>37</v>
      </c>
      <c r="AG325" s="6" t="s">
        <v>37</v>
      </c>
      <c r="AH325" t="s">
        <v>37</v>
      </c>
      <c r="AI325" t="s">
        <v>37</v>
      </c>
      <c r="AJ325" t="str">
        <f t="shared" si="17"/>
        <v>3AWPOPBJB07W6HDNPF</v>
      </c>
    </row>
    <row r="326" spans="1:36" ht="15" customHeight="1" x14ac:dyDescent="0.25">
      <c r="A326" t="s">
        <v>67</v>
      </c>
      <c r="B326" t="s">
        <v>37</v>
      </c>
      <c r="C326" t="s">
        <v>37</v>
      </c>
      <c r="D326" t="s">
        <v>38</v>
      </c>
      <c r="E326" s="4">
        <v>12</v>
      </c>
      <c r="F326" s="5">
        <v>497.88</v>
      </c>
      <c r="G326" s="5" t="s">
        <v>39</v>
      </c>
      <c r="H326" s="5">
        <v>609.72</v>
      </c>
      <c r="I326" s="5" t="s">
        <v>39</v>
      </c>
      <c r="J326" s="5">
        <v>16.92792</v>
      </c>
      <c r="K326" s="5">
        <f t="shared" si="15"/>
        <v>1.41066</v>
      </c>
      <c r="L326" s="5">
        <f t="shared" si="16"/>
        <v>41.49</v>
      </c>
      <c r="M326" s="5" t="s">
        <v>39</v>
      </c>
      <c r="N326" s="5">
        <v>16.92792</v>
      </c>
      <c r="O326" s="5" t="s">
        <v>39</v>
      </c>
      <c r="P326" t="s">
        <v>63</v>
      </c>
      <c r="Q326" t="s">
        <v>710</v>
      </c>
      <c r="R326" t="s">
        <v>37</v>
      </c>
      <c r="S326" t="s">
        <v>711</v>
      </c>
      <c r="T326" t="s">
        <v>43</v>
      </c>
      <c r="U326" t="s">
        <v>44</v>
      </c>
      <c r="V326">
        <v>23</v>
      </c>
      <c r="W326" t="s">
        <v>95</v>
      </c>
      <c r="X326" t="s">
        <v>96</v>
      </c>
      <c r="Y326" t="s">
        <v>712</v>
      </c>
      <c r="Z326" t="s">
        <v>37</v>
      </c>
      <c r="AA326" t="s">
        <v>145</v>
      </c>
      <c r="AB326" t="s">
        <v>37</v>
      </c>
      <c r="AC326" s="6" t="s">
        <v>37</v>
      </c>
      <c r="AD326" s="6" t="s">
        <v>37</v>
      </c>
      <c r="AE326" t="s">
        <v>37</v>
      </c>
      <c r="AF326" t="s">
        <v>37</v>
      </c>
      <c r="AG326" s="6" t="s">
        <v>37</v>
      </c>
      <c r="AH326" t="s">
        <v>37</v>
      </c>
      <c r="AI326" t="s">
        <v>37</v>
      </c>
      <c r="AJ326" t="str">
        <f t="shared" si="17"/>
        <v>3AWPOPBJB07W6HDNPG</v>
      </c>
    </row>
    <row r="327" spans="1:36" ht="15" customHeight="1" x14ac:dyDescent="0.25">
      <c r="A327" t="s">
        <v>133</v>
      </c>
      <c r="B327" t="s">
        <v>37</v>
      </c>
      <c r="C327" t="s">
        <v>37</v>
      </c>
      <c r="D327" t="s">
        <v>38</v>
      </c>
      <c r="E327" s="4">
        <v>8</v>
      </c>
      <c r="F327" s="5">
        <v>1067.3599999999999</v>
      </c>
      <c r="G327" s="5" t="s">
        <v>39</v>
      </c>
      <c r="H327" s="5">
        <v>1508.16</v>
      </c>
      <c r="I327" s="5" t="s">
        <v>39</v>
      </c>
      <c r="J327" s="5">
        <v>36.290239999999997</v>
      </c>
      <c r="K327" s="5">
        <f t="shared" si="15"/>
        <v>4.5362799999999996</v>
      </c>
      <c r="L327" s="5">
        <f t="shared" si="16"/>
        <v>133.41999999999999</v>
      </c>
      <c r="M327" s="5" t="s">
        <v>39</v>
      </c>
      <c r="N327" s="5">
        <v>36.290239999999997</v>
      </c>
      <c r="O327" s="5" t="s">
        <v>39</v>
      </c>
      <c r="P327" t="s">
        <v>189</v>
      </c>
      <c r="Q327" t="s">
        <v>713</v>
      </c>
      <c r="R327" t="s">
        <v>37</v>
      </c>
      <c r="S327" t="s">
        <v>714</v>
      </c>
      <c r="T327" t="s">
        <v>43</v>
      </c>
      <c r="U327" t="s">
        <v>44</v>
      </c>
      <c r="V327">
        <v>147</v>
      </c>
      <c r="W327" t="s">
        <v>45</v>
      </c>
      <c r="X327" t="s">
        <v>75</v>
      </c>
      <c r="Y327" t="s">
        <v>715</v>
      </c>
      <c r="Z327" t="s">
        <v>37</v>
      </c>
      <c r="AA327" t="s">
        <v>61</v>
      </c>
      <c r="AB327" t="s">
        <v>37</v>
      </c>
      <c r="AC327" s="6" t="s">
        <v>37</v>
      </c>
      <c r="AD327" s="6" t="s">
        <v>37</v>
      </c>
      <c r="AE327" t="s">
        <v>37</v>
      </c>
      <c r="AF327" t="s">
        <v>37</v>
      </c>
      <c r="AG327" s="6" t="s">
        <v>37</v>
      </c>
      <c r="AH327" t="s">
        <v>37</v>
      </c>
      <c r="AI327" t="s">
        <v>37</v>
      </c>
      <c r="AJ327" t="str">
        <f t="shared" si="17"/>
        <v>6DPU2MKPB07W6JNF81</v>
      </c>
    </row>
    <row r="328" spans="1:36" ht="15" customHeight="1" x14ac:dyDescent="0.25">
      <c r="A328" t="s">
        <v>67</v>
      </c>
      <c r="B328" t="s">
        <v>37</v>
      </c>
      <c r="C328" t="s">
        <v>37</v>
      </c>
      <c r="D328" t="s">
        <v>38</v>
      </c>
      <c r="E328" s="4">
        <v>4</v>
      </c>
      <c r="F328" s="5">
        <v>140.52000000000001</v>
      </c>
      <c r="G328" s="5" t="s">
        <v>39</v>
      </c>
      <c r="H328" s="5">
        <v>171.96</v>
      </c>
      <c r="I328" s="5" t="s">
        <v>39</v>
      </c>
      <c r="J328" s="5">
        <v>4.7776800000000001</v>
      </c>
      <c r="K328" s="5">
        <f t="shared" si="15"/>
        <v>1.19442</v>
      </c>
      <c r="L328" s="5">
        <f t="shared" si="16"/>
        <v>35.130000000000003</v>
      </c>
      <c r="M328" s="5" t="s">
        <v>39</v>
      </c>
      <c r="N328" s="5">
        <v>4.7776800000000001</v>
      </c>
      <c r="O328" s="5" t="s">
        <v>39</v>
      </c>
      <c r="P328" t="s">
        <v>182</v>
      </c>
      <c r="Q328" t="s">
        <v>716</v>
      </c>
      <c r="R328" t="s">
        <v>37</v>
      </c>
      <c r="S328" t="s">
        <v>717</v>
      </c>
      <c r="T328" t="s">
        <v>43</v>
      </c>
      <c r="U328" t="s">
        <v>44</v>
      </c>
      <c r="V328">
        <v>147</v>
      </c>
      <c r="W328" t="s">
        <v>45</v>
      </c>
      <c r="X328" t="s">
        <v>248</v>
      </c>
      <c r="Y328" t="s">
        <v>718</v>
      </c>
      <c r="Z328" t="s">
        <v>37</v>
      </c>
      <c r="AA328" t="s">
        <v>61</v>
      </c>
      <c r="AB328" t="s">
        <v>37</v>
      </c>
      <c r="AC328" s="6" t="s">
        <v>37</v>
      </c>
      <c r="AD328" s="6" t="s">
        <v>37</v>
      </c>
      <c r="AE328" t="s">
        <v>37</v>
      </c>
      <c r="AF328" t="s">
        <v>37</v>
      </c>
      <c r="AG328" s="6" t="s">
        <v>37</v>
      </c>
      <c r="AH328" t="s">
        <v>37</v>
      </c>
      <c r="AI328" t="s">
        <v>37</v>
      </c>
      <c r="AJ328" t="str">
        <f t="shared" si="17"/>
        <v>5UESXM5PB00JKDN6RW</v>
      </c>
    </row>
    <row r="329" spans="1:36" ht="15" customHeight="1" x14ac:dyDescent="0.25">
      <c r="A329" t="s">
        <v>36</v>
      </c>
      <c r="B329" t="s">
        <v>37</v>
      </c>
      <c r="C329" t="s">
        <v>37</v>
      </c>
      <c r="D329" t="s">
        <v>38</v>
      </c>
      <c r="E329" s="4">
        <v>4</v>
      </c>
      <c r="F329" s="5">
        <v>126.6</v>
      </c>
      <c r="G329" s="5" t="s">
        <v>39</v>
      </c>
      <c r="H329" s="5">
        <v>203.24</v>
      </c>
      <c r="I329" s="5" t="s">
        <v>39</v>
      </c>
      <c r="J329" s="5">
        <v>4.3044000000000002</v>
      </c>
      <c r="K329" s="5">
        <f t="shared" si="15"/>
        <v>1.0761000000000001</v>
      </c>
      <c r="L329" s="5">
        <f t="shared" si="16"/>
        <v>31.65</v>
      </c>
      <c r="M329" s="5" t="s">
        <v>39</v>
      </c>
      <c r="N329" s="5">
        <v>4.3044000000000002</v>
      </c>
      <c r="O329" s="5" t="s">
        <v>39</v>
      </c>
      <c r="P329" t="s">
        <v>40</v>
      </c>
      <c r="Q329" t="s">
        <v>313</v>
      </c>
      <c r="R329" t="s">
        <v>37</v>
      </c>
      <c r="S329" t="s">
        <v>314</v>
      </c>
      <c r="T329" t="s">
        <v>43</v>
      </c>
      <c r="U329" t="s">
        <v>44</v>
      </c>
      <c r="V329">
        <v>147</v>
      </c>
      <c r="W329" t="s">
        <v>45</v>
      </c>
      <c r="X329" t="s">
        <v>177</v>
      </c>
      <c r="Y329" t="s">
        <v>315</v>
      </c>
      <c r="Z329" t="s">
        <v>37</v>
      </c>
      <c r="AA329" t="s">
        <v>145</v>
      </c>
      <c r="AB329" t="s">
        <v>37</v>
      </c>
      <c r="AC329" s="6" t="s">
        <v>37</v>
      </c>
      <c r="AD329" s="6" t="s">
        <v>37</v>
      </c>
      <c r="AE329" t="s">
        <v>37</v>
      </c>
      <c r="AF329" t="s">
        <v>37</v>
      </c>
      <c r="AG329" s="6" t="s">
        <v>37</v>
      </c>
      <c r="AH329" t="s">
        <v>37</v>
      </c>
      <c r="AI329" t="s">
        <v>37</v>
      </c>
      <c r="AJ329" t="str">
        <f t="shared" si="17"/>
        <v>8IC45Q9KB07MTWHWZ1</v>
      </c>
    </row>
    <row r="330" spans="1:36" ht="15" customHeight="1" x14ac:dyDescent="0.25">
      <c r="A330" t="s">
        <v>67</v>
      </c>
      <c r="B330" t="s">
        <v>37</v>
      </c>
      <c r="C330" t="s">
        <v>37</v>
      </c>
      <c r="D330" t="s">
        <v>38</v>
      </c>
      <c r="E330" s="4">
        <v>20</v>
      </c>
      <c r="F330" s="5">
        <v>292.8</v>
      </c>
      <c r="G330" s="5" t="s">
        <v>39</v>
      </c>
      <c r="H330" s="5">
        <v>426</v>
      </c>
      <c r="I330" s="5" t="s">
        <v>39</v>
      </c>
      <c r="J330" s="5">
        <v>9.9551999999999996</v>
      </c>
      <c r="K330" s="5">
        <f t="shared" si="15"/>
        <v>0.49775999999999998</v>
      </c>
      <c r="L330" s="5">
        <f t="shared" si="16"/>
        <v>14.64</v>
      </c>
      <c r="M330" s="5" t="s">
        <v>39</v>
      </c>
      <c r="N330" s="5">
        <v>9.9551999999999996</v>
      </c>
      <c r="O330" s="5" t="s">
        <v>39</v>
      </c>
      <c r="P330" t="s">
        <v>245</v>
      </c>
      <c r="Q330" t="s">
        <v>495</v>
      </c>
      <c r="R330" t="s">
        <v>37</v>
      </c>
      <c r="S330" t="s">
        <v>496</v>
      </c>
      <c r="T330" t="s">
        <v>43</v>
      </c>
      <c r="U330" t="s">
        <v>44</v>
      </c>
      <c r="V330">
        <v>147</v>
      </c>
      <c r="W330" t="s">
        <v>45</v>
      </c>
      <c r="X330" t="s">
        <v>75</v>
      </c>
      <c r="Y330" t="s">
        <v>497</v>
      </c>
      <c r="Z330" t="s">
        <v>37</v>
      </c>
      <c r="AA330" t="s">
        <v>61</v>
      </c>
      <c r="AB330" t="s">
        <v>37</v>
      </c>
      <c r="AC330" s="6" t="s">
        <v>37</v>
      </c>
      <c r="AD330" s="6" t="s">
        <v>37</v>
      </c>
      <c r="AE330" t="s">
        <v>37</v>
      </c>
      <c r="AF330" t="s">
        <v>37</v>
      </c>
      <c r="AG330" s="6" t="s">
        <v>37</v>
      </c>
      <c r="AH330" t="s">
        <v>37</v>
      </c>
      <c r="AI330" t="s">
        <v>37</v>
      </c>
      <c r="AJ330" t="str">
        <f t="shared" si="17"/>
        <v>6ZGQP34KB007C0YQLA</v>
      </c>
    </row>
    <row r="331" spans="1:36" ht="15" customHeight="1" x14ac:dyDescent="0.25">
      <c r="A331" t="s">
        <v>133</v>
      </c>
      <c r="B331" t="s">
        <v>37</v>
      </c>
      <c r="C331" t="s">
        <v>37</v>
      </c>
      <c r="D331" t="s">
        <v>38</v>
      </c>
      <c r="E331" s="4">
        <v>10</v>
      </c>
      <c r="F331" s="5">
        <v>580</v>
      </c>
      <c r="G331" s="5" t="s">
        <v>39</v>
      </c>
      <c r="H331" s="5">
        <v>852.4</v>
      </c>
      <c r="I331" s="5" t="s">
        <v>39</v>
      </c>
      <c r="J331" s="5">
        <v>19.72</v>
      </c>
      <c r="K331" s="5">
        <f t="shared" si="15"/>
        <v>1.972</v>
      </c>
      <c r="L331" s="5">
        <f t="shared" si="16"/>
        <v>58</v>
      </c>
      <c r="M331" s="5" t="s">
        <v>39</v>
      </c>
      <c r="N331" s="5">
        <v>19.72</v>
      </c>
      <c r="O331" s="5" t="s">
        <v>39</v>
      </c>
      <c r="P331" t="s">
        <v>189</v>
      </c>
      <c r="Q331" t="s">
        <v>719</v>
      </c>
      <c r="R331" t="s">
        <v>37</v>
      </c>
      <c r="S331" t="s">
        <v>720</v>
      </c>
      <c r="T331" t="s">
        <v>43</v>
      </c>
      <c r="U331" t="s">
        <v>44</v>
      </c>
      <c r="V331">
        <v>147</v>
      </c>
      <c r="W331" t="s">
        <v>45</v>
      </c>
      <c r="X331" t="s">
        <v>53</v>
      </c>
      <c r="Y331" t="s">
        <v>721</v>
      </c>
      <c r="Z331" t="s">
        <v>37</v>
      </c>
      <c r="AA331" t="s">
        <v>61</v>
      </c>
      <c r="AB331" t="s">
        <v>37</v>
      </c>
      <c r="AC331" s="6" t="s">
        <v>37</v>
      </c>
      <c r="AD331" s="6" t="s">
        <v>37</v>
      </c>
      <c r="AE331" t="s">
        <v>37</v>
      </c>
      <c r="AF331" t="s">
        <v>37</v>
      </c>
      <c r="AG331" s="6" t="s">
        <v>37</v>
      </c>
      <c r="AH331" t="s">
        <v>37</v>
      </c>
      <c r="AI331" t="s">
        <v>37</v>
      </c>
      <c r="AJ331" t="str">
        <f t="shared" si="17"/>
        <v>6DPU2MKPB07W7KV5KF</v>
      </c>
    </row>
    <row r="332" spans="1:36" ht="15" customHeight="1" x14ac:dyDescent="0.25">
      <c r="A332" t="s">
        <v>36</v>
      </c>
      <c r="B332" t="s">
        <v>37</v>
      </c>
      <c r="C332" t="s">
        <v>37</v>
      </c>
      <c r="D332" t="s">
        <v>38</v>
      </c>
      <c r="E332" s="4">
        <v>8</v>
      </c>
      <c r="F332" s="5">
        <v>234.24</v>
      </c>
      <c r="G332" s="5" t="s">
        <v>39</v>
      </c>
      <c r="H332" s="5">
        <v>340.88</v>
      </c>
      <c r="I332" s="5" t="s">
        <v>39</v>
      </c>
      <c r="J332" s="5">
        <v>7.9641599999999997</v>
      </c>
      <c r="K332" s="5">
        <f t="shared" si="15"/>
        <v>0.99551999999999996</v>
      </c>
      <c r="L332" s="5">
        <f t="shared" si="16"/>
        <v>29.28</v>
      </c>
      <c r="M332" s="5" t="s">
        <v>39</v>
      </c>
      <c r="N332" s="5">
        <v>7.9641599999999997</v>
      </c>
      <c r="O332" s="5" t="s">
        <v>39</v>
      </c>
      <c r="P332" t="s">
        <v>89</v>
      </c>
      <c r="Q332" t="s">
        <v>510</v>
      </c>
      <c r="R332" t="s">
        <v>37</v>
      </c>
      <c r="S332" t="s">
        <v>511</v>
      </c>
      <c r="T332" t="s">
        <v>43</v>
      </c>
      <c r="U332" t="s">
        <v>44</v>
      </c>
      <c r="V332">
        <v>147</v>
      </c>
      <c r="W332" t="s">
        <v>45</v>
      </c>
      <c r="X332" t="s">
        <v>75</v>
      </c>
      <c r="Y332" t="s">
        <v>512</v>
      </c>
      <c r="Z332" t="s">
        <v>37</v>
      </c>
      <c r="AA332" t="s">
        <v>61</v>
      </c>
      <c r="AB332" t="s">
        <v>37</v>
      </c>
      <c r="AC332" s="6" t="s">
        <v>37</v>
      </c>
      <c r="AD332" s="6" t="s">
        <v>37</v>
      </c>
      <c r="AE332" t="s">
        <v>37</v>
      </c>
      <c r="AF332" t="s">
        <v>37</v>
      </c>
      <c r="AG332" s="6" t="s">
        <v>37</v>
      </c>
      <c r="AH332" t="s">
        <v>37</v>
      </c>
      <c r="AI332" t="s">
        <v>37</v>
      </c>
      <c r="AJ332" t="str">
        <f t="shared" si="17"/>
        <v>6D1HFTMSB07W7L3DSX</v>
      </c>
    </row>
    <row r="333" spans="1:36" ht="15" customHeight="1" x14ac:dyDescent="0.25">
      <c r="A333" t="s">
        <v>133</v>
      </c>
      <c r="B333" t="s">
        <v>37</v>
      </c>
      <c r="C333" t="s">
        <v>37</v>
      </c>
      <c r="D333" t="s">
        <v>38</v>
      </c>
      <c r="E333" s="4">
        <v>120</v>
      </c>
      <c r="F333" s="5">
        <v>1756.8</v>
      </c>
      <c r="G333" s="5" t="s">
        <v>39</v>
      </c>
      <c r="H333" s="5">
        <v>2556</v>
      </c>
      <c r="I333" s="5" t="s">
        <v>39</v>
      </c>
      <c r="J333" s="5">
        <v>59.731200000000001</v>
      </c>
      <c r="K333" s="5">
        <f t="shared" si="15"/>
        <v>0.49776000000000004</v>
      </c>
      <c r="L333" s="5">
        <f t="shared" si="16"/>
        <v>14.639999999999999</v>
      </c>
      <c r="M333" s="5" t="s">
        <v>39</v>
      </c>
      <c r="N333" s="5">
        <v>59.731200000000001</v>
      </c>
      <c r="O333" s="5" t="s">
        <v>39</v>
      </c>
      <c r="P333" t="s">
        <v>189</v>
      </c>
      <c r="Q333" t="s">
        <v>90</v>
      </c>
      <c r="R333" t="s">
        <v>37</v>
      </c>
      <c r="S333" t="s">
        <v>91</v>
      </c>
      <c r="T333" t="s">
        <v>43</v>
      </c>
      <c r="U333" t="s">
        <v>44</v>
      </c>
      <c r="V333">
        <v>147</v>
      </c>
      <c r="W333" t="s">
        <v>45</v>
      </c>
      <c r="X333" t="s">
        <v>53</v>
      </c>
      <c r="Y333" t="s">
        <v>92</v>
      </c>
      <c r="Z333" t="s">
        <v>37</v>
      </c>
      <c r="AA333" t="s">
        <v>48</v>
      </c>
      <c r="AB333" t="s">
        <v>37</v>
      </c>
      <c r="AC333" s="6" t="s">
        <v>37</v>
      </c>
      <c r="AD333" s="6" t="s">
        <v>37</v>
      </c>
      <c r="AE333" t="s">
        <v>37</v>
      </c>
      <c r="AF333" t="s">
        <v>37</v>
      </c>
      <c r="AG333" s="6" t="s">
        <v>37</v>
      </c>
      <c r="AH333" t="s">
        <v>37</v>
      </c>
      <c r="AI333" t="s">
        <v>37</v>
      </c>
      <c r="AJ333" t="str">
        <f t="shared" si="17"/>
        <v>6DPU2MKPB01K7GEAF2</v>
      </c>
    </row>
    <row r="334" spans="1:36" ht="15" customHeight="1" x14ac:dyDescent="0.25">
      <c r="A334" t="s">
        <v>133</v>
      </c>
      <c r="B334" t="s">
        <v>37</v>
      </c>
      <c r="C334" t="s">
        <v>37</v>
      </c>
      <c r="D334" t="s">
        <v>38</v>
      </c>
      <c r="E334" s="4">
        <v>24</v>
      </c>
      <c r="F334" s="5">
        <v>3984</v>
      </c>
      <c r="G334" s="5" t="s">
        <v>39</v>
      </c>
      <c r="H334" s="5">
        <v>7377.12</v>
      </c>
      <c r="I334" s="5" t="s">
        <v>39</v>
      </c>
      <c r="J334" s="5">
        <v>135.45599999999999</v>
      </c>
      <c r="K334" s="5">
        <f t="shared" si="15"/>
        <v>5.6439999999999992</v>
      </c>
      <c r="L334" s="5">
        <f t="shared" si="16"/>
        <v>166</v>
      </c>
      <c r="M334" s="5" t="s">
        <v>39</v>
      </c>
      <c r="N334" s="5">
        <v>135.45599999999999</v>
      </c>
      <c r="O334" s="5" t="s">
        <v>39</v>
      </c>
      <c r="P334" t="s">
        <v>189</v>
      </c>
      <c r="Q334" t="s">
        <v>722</v>
      </c>
      <c r="R334" t="s">
        <v>37</v>
      </c>
      <c r="S334" t="s">
        <v>723</v>
      </c>
      <c r="T334" t="s">
        <v>43</v>
      </c>
      <c r="U334" t="s">
        <v>44</v>
      </c>
      <c r="V334">
        <v>147</v>
      </c>
      <c r="W334" t="s">
        <v>45</v>
      </c>
      <c r="X334" t="s">
        <v>177</v>
      </c>
      <c r="Y334" t="s">
        <v>724</v>
      </c>
      <c r="Z334" t="s">
        <v>37</v>
      </c>
      <c r="AA334" t="s">
        <v>145</v>
      </c>
      <c r="AB334" t="s">
        <v>37</v>
      </c>
      <c r="AC334" s="6" t="s">
        <v>37</v>
      </c>
      <c r="AD334" s="6" t="s">
        <v>37</v>
      </c>
      <c r="AE334" t="s">
        <v>37</v>
      </c>
      <c r="AF334" t="s">
        <v>37</v>
      </c>
      <c r="AG334" s="6" t="s">
        <v>37</v>
      </c>
      <c r="AH334" t="s">
        <v>37</v>
      </c>
      <c r="AI334" t="s">
        <v>37</v>
      </c>
      <c r="AJ334" t="str">
        <f t="shared" si="17"/>
        <v>6DPU2MKPB0080IA1J4</v>
      </c>
    </row>
    <row r="335" spans="1:36" ht="15" customHeight="1" x14ac:dyDescent="0.25">
      <c r="A335" t="s">
        <v>133</v>
      </c>
      <c r="B335" t="s">
        <v>37</v>
      </c>
      <c r="C335" t="s">
        <v>37</v>
      </c>
      <c r="D335" t="s">
        <v>38</v>
      </c>
      <c r="E335" s="4">
        <v>4</v>
      </c>
      <c r="F335" s="5">
        <v>301.64</v>
      </c>
      <c r="G335" s="5" t="s">
        <v>39</v>
      </c>
      <c r="H335" s="5">
        <v>442.6</v>
      </c>
      <c r="I335" s="5" t="s">
        <v>39</v>
      </c>
      <c r="J335" s="5">
        <v>10.25576</v>
      </c>
      <c r="K335" s="5">
        <f t="shared" si="15"/>
        <v>2.5639400000000001</v>
      </c>
      <c r="L335" s="5">
        <f t="shared" si="16"/>
        <v>75.41</v>
      </c>
      <c r="M335" s="5" t="s">
        <v>39</v>
      </c>
      <c r="N335" s="5">
        <v>10.25576</v>
      </c>
      <c r="O335" s="5" t="s">
        <v>39</v>
      </c>
      <c r="P335" t="s">
        <v>134</v>
      </c>
      <c r="Q335" t="s">
        <v>83</v>
      </c>
      <c r="R335" t="s">
        <v>37</v>
      </c>
      <c r="S335" t="s">
        <v>84</v>
      </c>
      <c r="T335" t="s">
        <v>43</v>
      </c>
      <c r="U335" t="s">
        <v>44</v>
      </c>
      <c r="V335">
        <v>147</v>
      </c>
      <c r="W335" t="s">
        <v>45</v>
      </c>
      <c r="X335" t="s">
        <v>75</v>
      </c>
      <c r="Y335" t="s">
        <v>85</v>
      </c>
      <c r="Z335" t="s">
        <v>37</v>
      </c>
      <c r="AA335" t="s">
        <v>48</v>
      </c>
      <c r="AB335" t="s">
        <v>37</v>
      </c>
      <c r="AC335" s="6" t="s">
        <v>37</v>
      </c>
      <c r="AD335" s="6" t="s">
        <v>37</v>
      </c>
      <c r="AE335" t="s">
        <v>37</v>
      </c>
      <c r="AF335" t="s">
        <v>37</v>
      </c>
      <c r="AG335" s="6" t="s">
        <v>37</v>
      </c>
      <c r="AH335" t="s">
        <v>37</v>
      </c>
      <c r="AI335" t="s">
        <v>37</v>
      </c>
      <c r="AJ335" t="str">
        <f t="shared" si="17"/>
        <v>6VR89N1LB01N6NGNQ8</v>
      </c>
    </row>
    <row r="336" spans="1:36" ht="15" customHeight="1" x14ac:dyDescent="0.25">
      <c r="A336" t="s">
        <v>372</v>
      </c>
      <c r="B336" t="s">
        <v>37</v>
      </c>
      <c r="C336" t="s">
        <v>37</v>
      </c>
      <c r="D336" t="s">
        <v>38</v>
      </c>
      <c r="E336" s="4">
        <v>264</v>
      </c>
      <c r="F336" s="5">
        <v>7729.92</v>
      </c>
      <c r="G336" s="5" t="s">
        <v>39</v>
      </c>
      <c r="H336" s="5">
        <v>7729.92</v>
      </c>
      <c r="I336" s="5" t="s">
        <v>39</v>
      </c>
      <c r="J336" s="5">
        <v>262.81727999999998</v>
      </c>
      <c r="K336" s="5">
        <f t="shared" si="15"/>
        <v>0.99551999999999996</v>
      </c>
      <c r="L336" s="5">
        <f t="shared" si="16"/>
        <v>29.28</v>
      </c>
      <c r="M336" s="5" t="s">
        <v>39</v>
      </c>
      <c r="N336" s="5">
        <v>262.81727999999998</v>
      </c>
      <c r="O336" s="5" t="s">
        <v>39</v>
      </c>
      <c r="P336" t="s">
        <v>725</v>
      </c>
      <c r="Q336" t="s">
        <v>655</v>
      </c>
      <c r="R336" t="s">
        <v>37</v>
      </c>
      <c r="S336" t="s">
        <v>656</v>
      </c>
      <c r="T336" t="s">
        <v>43</v>
      </c>
      <c r="U336" t="s">
        <v>44</v>
      </c>
      <c r="V336">
        <v>23</v>
      </c>
      <c r="W336" t="s">
        <v>657</v>
      </c>
      <c r="X336" t="s">
        <v>301</v>
      </c>
      <c r="Y336" t="s">
        <v>658</v>
      </c>
      <c r="Z336" t="s">
        <v>37</v>
      </c>
      <c r="AA336" t="s">
        <v>61</v>
      </c>
      <c r="AB336" t="s">
        <v>37</v>
      </c>
      <c r="AC336" s="6" t="s">
        <v>37</v>
      </c>
      <c r="AD336" s="6" t="s">
        <v>37</v>
      </c>
      <c r="AE336" t="s">
        <v>37</v>
      </c>
      <c r="AF336" t="s">
        <v>37</v>
      </c>
      <c r="AG336" s="6" t="s">
        <v>37</v>
      </c>
      <c r="AH336" t="s">
        <v>37</v>
      </c>
      <c r="AI336" t="s">
        <v>37</v>
      </c>
      <c r="AJ336" t="str">
        <f t="shared" si="17"/>
        <v>8GFIEEZOB00IRCDT7Y</v>
      </c>
    </row>
    <row r="337" spans="1:36" ht="15" customHeight="1" x14ac:dyDescent="0.25">
      <c r="A337" t="s">
        <v>36</v>
      </c>
      <c r="B337" t="s">
        <v>37</v>
      </c>
      <c r="C337" t="s">
        <v>37</v>
      </c>
      <c r="D337" t="s">
        <v>38</v>
      </c>
      <c r="E337" s="4">
        <v>8</v>
      </c>
      <c r="F337" s="5">
        <v>147.68</v>
      </c>
      <c r="G337" s="5" t="s">
        <v>39</v>
      </c>
      <c r="H337" s="5">
        <v>256.39999999999998</v>
      </c>
      <c r="I337" s="5" t="s">
        <v>39</v>
      </c>
      <c r="J337" s="5">
        <v>5.0211199999999998</v>
      </c>
      <c r="K337" s="5">
        <f t="shared" si="15"/>
        <v>0.62763999999999998</v>
      </c>
      <c r="L337" s="5">
        <f t="shared" si="16"/>
        <v>18.46</v>
      </c>
      <c r="M337" s="5" t="s">
        <v>39</v>
      </c>
      <c r="N337" s="5">
        <v>5.0211199999999998</v>
      </c>
      <c r="O337" s="5" t="s">
        <v>39</v>
      </c>
      <c r="P337" t="s">
        <v>40</v>
      </c>
      <c r="Q337" t="s">
        <v>426</v>
      </c>
      <c r="R337" t="s">
        <v>37</v>
      </c>
      <c r="S337" t="s">
        <v>427</v>
      </c>
      <c r="T337" t="s">
        <v>43</v>
      </c>
      <c r="U337" t="s">
        <v>44</v>
      </c>
      <c r="V337">
        <v>147</v>
      </c>
      <c r="W337" t="s">
        <v>45</v>
      </c>
      <c r="X337" t="s">
        <v>46</v>
      </c>
      <c r="Y337" t="s">
        <v>428</v>
      </c>
      <c r="Z337" t="s">
        <v>37</v>
      </c>
      <c r="AA337" t="s">
        <v>48</v>
      </c>
      <c r="AB337" t="s">
        <v>37</v>
      </c>
      <c r="AC337" s="6" t="s">
        <v>37</v>
      </c>
      <c r="AD337" s="6" t="s">
        <v>37</v>
      </c>
      <c r="AE337" t="s">
        <v>37</v>
      </c>
      <c r="AF337" t="s">
        <v>37</v>
      </c>
      <c r="AG337" s="6" t="s">
        <v>37</v>
      </c>
      <c r="AH337" t="s">
        <v>37</v>
      </c>
      <c r="AI337" t="s">
        <v>37</v>
      </c>
      <c r="AJ337" t="str">
        <f t="shared" si="17"/>
        <v>8IC45Q9KB00CJ5FP04</v>
      </c>
    </row>
    <row r="338" spans="1:36" ht="15" customHeight="1" x14ac:dyDescent="0.25">
      <c r="A338" t="s">
        <v>67</v>
      </c>
      <c r="B338" t="s">
        <v>37</v>
      </c>
      <c r="C338" t="s">
        <v>37</v>
      </c>
      <c r="D338" t="s">
        <v>38</v>
      </c>
      <c r="E338" s="4">
        <v>16</v>
      </c>
      <c r="F338" s="5">
        <v>328</v>
      </c>
      <c r="G338" s="5" t="s">
        <v>39</v>
      </c>
      <c r="H338" s="5">
        <v>472</v>
      </c>
      <c r="I338" s="5" t="s">
        <v>39</v>
      </c>
      <c r="J338" s="5">
        <v>11.151999999999999</v>
      </c>
      <c r="K338" s="5">
        <f t="shared" si="15"/>
        <v>0.69699999999999995</v>
      </c>
      <c r="L338" s="5">
        <f t="shared" si="16"/>
        <v>20.5</v>
      </c>
      <c r="M338" s="5" t="s">
        <v>39</v>
      </c>
      <c r="N338" s="5">
        <v>11.151999999999999</v>
      </c>
      <c r="O338" s="5" t="s">
        <v>39</v>
      </c>
      <c r="P338" t="s">
        <v>82</v>
      </c>
      <c r="Q338" t="s">
        <v>226</v>
      </c>
      <c r="R338" t="s">
        <v>37</v>
      </c>
      <c r="S338" t="s">
        <v>227</v>
      </c>
      <c r="T338" t="s">
        <v>43</v>
      </c>
      <c r="U338" t="s">
        <v>44</v>
      </c>
      <c r="V338">
        <v>147</v>
      </c>
      <c r="W338" t="s">
        <v>45</v>
      </c>
      <c r="X338" t="s">
        <v>75</v>
      </c>
      <c r="Y338" t="s">
        <v>228</v>
      </c>
      <c r="Z338" t="s">
        <v>37</v>
      </c>
      <c r="AA338" t="s">
        <v>48</v>
      </c>
      <c r="AB338" t="s">
        <v>37</v>
      </c>
      <c r="AC338" s="6" t="s">
        <v>37</v>
      </c>
      <c r="AD338" s="6" t="s">
        <v>37</v>
      </c>
      <c r="AE338" t="s">
        <v>37</v>
      </c>
      <c r="AF338" t="s">
        <v>37</v>
      </c>
      <c r="AG338" s="6" t="s">
        <v>37</v>
      </c>
      <c r="AH338" t="s">
        <v>37</v>
      </c>
      <c r="AI338" t="s">
        <v>37</v>
      </c>
      <c r="AJ338" t="str">
        <f t="shared" si="17"/>
        <v>57D297ZKB01C47ZFLK</v>
      </c>
    </row>
    <row r="339" spans="1:36" ht="15" customHeight="1" x14ac:dyDescent="0.25">
      <c r="A339" t="s">
        <v>67</v>
      </c>
      <c r="B339" t="s">
        <v>37</v>
      </c>
      <c r="C339" t="s">
        <v>37</v>
      </c>
      <c r="D339" t="s">
        <v>38</v>
      </c>
      <c r="E339" s="4">
        <v>8</v>
      </c>
      <c r="F339" s="5">
        <v>234.24</v>
      </c>
      <c r="G339" s="5" t="s">
        <v>39</v>
      </c>
      <c r="H339" s="5">
        <v>340.88</v>
      </c>
      <c r="I339" s="5" t="s">
        <v>39</v>
      </c>
      <c r="J339" s="5">
        <v>7.9641599999999997</v>
      </c>
      <c r="K339" s="5">
        <f t="shared" si="15"/>
        <v>0.99551999999999996</v>
      </c>
      <c r="L339" s="5">
        <f t="shared" si="16"/>
        <v>29.28</v>
      </c>
      <c r="M339" s="5" t="s">
        <v>39</v>
      </c>
      <c r="N339" s="5">
        <v>7.9641599999999997</v>
      </c>
      <c r="O339" s="5" t="s">
        <v>39</v>
      </c>
      <c r="P339" t="s">
        <v>182</v>
      </c>
      <c r="Q339" t="s">
        <v>726</v>
      </c>
      <c r="R339" t="s">
        <v>37</v>
      </c>
      <c r="S339" t="s">
        <v>727</v>
      </c>
      <c r="T339" t="s">
        <v>43</v>
      </c>
      <c r="U339" t="s">
        <v>44</v>
      </c>
      <c r="V339">
        <v>147</v>
      </c>
      <c r="W339" t="s">
        <v>45</v>
      </c>
      <c r="X339" t="s">
        <v>75</v>
      </c>
      <c r="Y339" t="s">
        <v>728</v>
      </c>
      <c r="Z339" t="s">
        <v>37</v>
      </c>
      <c r="AA339" t="s">
        <v>61</v>
      </c>
      <c r="AB339" t="s">
        <v>37</v>
      </c>
      <c r="AC339" s="6" t="s">
        <v>37</v>
      </c>
      <c r="AD339" s="6" t="s">
        <v>37</v>
      </c>
      <c r="AE339" t="s">
        <v>37</v>
      </c>
      <c r="AF339" t="s">
        <v>37</v>
      </c>
      <c r="AG339" s="6" t="s">
        <v>37</v>
      </c>
      <c r="AH339" t="s">
        <v>37</v>
      </c>
      <c r="AI339" t="s">
        <v>37</v>
      </c>
      <c r="AJ339" t="str">
        <f t="shared" si="17"/>
        <v>5UESXM5PB07W4DGCMV</v>
      </c>
    </row>
    <row r="340" spans="1:36" ht="15" customHeight="1" x14ac:dyDescent="0.25">
      <c r="A340" t="s">
        <v>67</v>
      </c>
      <c r="B340" t="s">
        <v>37</v>
      </c>
      <c r="C340" t="s">
        <v>37</v>
      </c>
      <c r="D340" t="s">
        <v>38</v>
      </c>
      <c r="E340" s="4">
        <v>120</v>
      </c>
      <c r="F340" s="5">
        <v>1756.8</v>
      </c>
      <c r="G340" s="5" t="s">
        <v>39</v>
      </c>
      <c r="H340" s="5">
        <v>2556</v>
      </c>
      <c r="I340" s="5" t="s">
        <v>39</v>
      </c>
      <c r="J340" s="5">
        <v>59.731200000000001</v>
      </c>
      <c r="K340" s="5">
        <f t="shared" si="15"/>
        <v>0.49776000000000004</v>
      </c>
      <c r="L340" s="5">
        <f t="shared" si="16"/>
        <v>14.639999999999999</v>
      </c>
      <c r="M340" s="5" t="s">
        <v>39</v>
      </c>
      <c r="N340" s="5">
        <v>59.731200000000001</v>
      </c>
      <c r="O340" s="5" t="s">
        <v>39</v>
      </c>
      <c r="P340" t="s">
        <v>89</v>
      </c>
      <c r="Q340" t="s">
        <v>729</v>
      </c>
      <c r="R340" t="s">
        <v>37</v>
      </c>
      <c r="S340" t="s">
        <v>730</v>
      </c>
      <c r="T340" t="s">
        <v>43</v>
      </c>
      <c r="U340" t="s">
        <v>44</v>
      </c>
      <c r="V340">
        <v>147</v>
      </c>
      <c r="W340" t="s">
        <v>45</v>
      </c>
      <c r="X340" t="s">
        <v>53</v>
      </c>
      <c r="Y340" t="s">
        <v>731</v>
      </c>
      <c r="Z340" t="s">
        <v>37</v>
      </c>
      <c r="AA340" t="s">
        <v>61</v>
      </c>
      <c r="AB340" t="s">
        <v>37</v>
      </c>
      <c r="AC340" s="6" t="s">
        <v>37</v>
      </c>
      <c r="AD340" s="6" t="s">
        <v>37</v>
      </c>
      <c r="AE340" t="s">
        <v>37</v>
      </c>
      <c r="AF340" t="s">
        <v>37</v>
      </c>
      <c r="AG340" s="6" t="s">
        <v>37</v>
      </c>
      <c r="AH340" t="s">
        <v>37</v>
      </c>
      <c r="AI340" t="s">
        <v>37</v>
      </c>
      <c r="AJ340" t="str">
        <f t="shared" si="17"/>
        <v>6D1HFTMSB07VFJT9NM</v>
      </c>
    </row>
    <row r="341" spans="1:36" ht="15" customHeight="1" x14ac:dyDescent="0.25">
      <c r="A341" t="s">
        <v>133</v>
      </c>
      <c r="B341" t="s">
        <v>37</v>
      </c>
      <c r="C341" t="s">
        <v>37</v>
      </c>
      <c r="D341" t="s">
        <v>38</v>
      </c>
      <c r="E341" s="4">
        <v>8</v>
      </c>
      <c r="F341" s="5">
        <v>737.92</v>
      </c>
      <c r="G341" s="5" t="s">
        <v>39</v>
      </c>
      <c r="H341" s="5">
        <v>1081.92</v>
      </c>
      <c r="I341" s="5" t="s">
        <v>39</v>
      </c>
      <c r="J341" s="5">
        <v>25.089279999999999</v>
      </c>
      <c r="K341" s="5">
        <f t="shared" si="15"/>
        <v>3.1361599999999998</v>
      </c>
      <c r="L341" s="5">
        <f t="shared" si="16"/>
        <v>92.24</v>
      </c>
      <c r="M341" s="5" t="s">
        <v>39</v>
      </c>
      <c r="N341" s="5">
        <v>25.089279999999999</v>
      </c>
      <c r="O341" s="5" t="s">
        <v>39</v>
      </c>
      <c r="P341" t="s">
        <v>189</v>
      </c>
      <c r="Q341" t="s">
        <v>732</v>
      </c>
      <c r="R341" t="s">
        <v>37</v>
      </c>
      <c r="S341" t="s">
        <v>733</v>
      </c>
      <c r="T341" t="s">
        <v>43</v>
      </c>
      <c r="U341" t="s">
        <v>44</v>
      </c>
      <c r="V341">
        <v>147</v>
      </c>
      <c r="W341" t="s">
        <v>45</v>
      </c>
      <c r="X341" t="s">
        <v>177</v>
      </c>
      <c r="Y341" t="s">
        <v>734</v>
      </c>
      <c r="Z341" t="s">
        <v>37</v>
      </c>
      <c r="AA341" t="s">
        <v>61</v>
      </c>
      <c r="AB341" t="s">
        <v>37</v>
      </c>
      <c r="AC341" s="6" t="s">
        <v>37</v>
      </c>
      <c r="AD341" s="6" t="s">
        <v>37</v>
      </c>
      <c r="AE341" t="s">
        <v>37</v>
      </c>
      <c r="AF341" t="s">
        <v>37</v>
      </c>
      <c r="AG341" s="6" t="s">
        <v>37</v>
      </c>
      <c r="AH341" t="s">
        <v>37</v>
      </c>
      <c r="AI341" t="s">
        <v>37</v>
      </c>
      <c r="AJ341" t="str">
        <f t="shared" si="17"/>
        <v>6DPU2MKPB07W4DHS5B</v>
      </c>
    </row>
    <row r="342" spans="1:36" ht="15" customHeight="1" x14ac:dyDescent="0.25">
      <c r="A342" t="s">
        <v>133</v>
      </c>
      <c r="B342" t="s">
        <v>37</v>
      </c>
      <c r="C342" t="s">
        <v>37</v>
      </c>
      <c r="D342" t="s">
        <v>38</v>
      </c>
      <c r="E342" s="4">
        <v>4</v>
      </c>
      <c r="F342" s="5">
        <v>168.8</v>
      </c>
      <c r="G342" s="5" t="s">
        <v>39</v>
      </c>
      <c r="H342" s="5">
        <v>268.8</v>
      </c>
      <c r="I342" s="5" t="s">
        <v>39</v>
      </c>
      <c r="J342" s="5">
        <v>5.7392000000000003</v>
      </c>
      <c r="K342" s="5">
        <f t="shared" si="15"/>
        <v>1.4348000000000001</v>
      </c>
      <c r="L342" s="5">
        <f t="shared" si="16"/>
        <v>42.2</v>
      </c>
      <c r="M342" s="5" t="s">
        <v>39</v>
      </c>
      <c r="N342" s="5">
        <v>5.7392000000000003</v>
      </c>
      <c r="O342" s="5" t="s">
        <v>39</v>
      </c>
      <c r="P342" t="s">
        <v>134</v>
      </c>
      <c r="Q342" t="s">
        <v>498</v>
      </c>
      <c r="R342" t="s">
        <v>37</v>
      </c>
      <c r="S342" t="s">
        <v>499</v>
      </c>
      <c r="T342" t="s">
        <v>43</v>
      </c>
      <c r="U342" t="s">
        <v>44</v>
      </c>
      <c r="V342">
        <v>147</v>
      </c>
      <c r="W342" t="s">
        <v>45</v>
      </c>
      <c r="X342" t="s">
        <v>75</v>
      </c>
      <c r="Y342" t="s">
        <v>500</v>
      </c>
      <c r="Z342" t="s">
        <v>37</v>
      </c>
      <c r="AA342" t="s">
        <v>61</v>
      </c>
      <c r="AB342" t="s">
        <v>37</v>
      </c>
      <c r="AC342" s="6" t="s">
        <v>37</v>
      </c>
      <c r="AD342" s="6" t="s">
        <v>37</v>
      </c>
      <c r="AE342" t="s">
        <v>37</v>
      </c>
      <c r="AF342" t="s">
        <v>37</v>
      </c>
      <c r="AG342" s="6" t="s">
        <v>37</v>
      </c>
      <c r="AH342" t="s">
        <v>37</v>
      </c>
      <c r="AI342" t="s">
        <v>37</v>
      </c>
      <c r="AJ342" t="str">
        <f t="shared" si="17"/>
        <v>6VR89N1LB07W6GVS5C</v>
      </c>
    </row>
    <row r="343" spans="1:36" ht="15" customHeight="1" x14ac:dyDescent="0.25">
      <c r="A343" t="s">
        <v>67</v>
      </c>
      <c r="B343" t="s">
        <v>37</v>
      </c>
      <c r="C343" t="s">
        <v>37</v>
      </c>
      <c r="D343" t="s">
        <v>38</v>
      </c>
      <c r="E343" s="4">
        <v>8</v>
      </c>
      <c r="F343" s="5">
        <v>851.92</v>
      </c>
      <c r="G343" s="5" t="s">
        <v>39</v>
      </c>
      <c r="H343" s="5">
        <v>1147.44</v>
      </c>
      <c r="I343" s="5" t="s">
        <v>39</v>
      </c>
      <c r="J343" s="5">
        <v>28.96528</v>
      </c>
      <c r="K343" s="5">
        <f t="shared" si="15"/>
        <v>3.62066</v>
      </c>
      <c r="L343" s="5">
        <f t="shared" si="16"/>
        <v>106.49</v>
      </c>
      <c r="M343" s="5" t="s">
        <v>39</v>
      </c>
      <c r="N343" s="5">
        <v>28.96528</v>
      </c>
      <c r="O343" s="5" t="s">
        <v>39</v>
      </c>
      <c r="P343" t="s">
        <v>735</v>
      </c>
      <c r="Q343" t="s">
        <v>736</v>
      </c>
      <c r="R343" t="s">
        <v>37</v>
      </c>
      <c r="S343" t="s">
        <v>737</v>
      </c>
      <c r="T343" t="s">
        <v>43</v>
      </c>
      <c r="U343" t="s">
        <v>44</v>
      </c>
      <c r="V343">
        <v>23</v>
      </c>
      <c r="W343" t="s">
        <v>58</v>
      </c>
      <c r="X343" t="s">
        <v>59</v>
      </c>
      <c r="Y343" t="s">
        <v>738</v>
      </c>
      <c r="Z343" t="s">
        <v>37</v>
      </c>
      <c r="AA343" t="s">
        <v>145</v>
      </c>
      <c r="AB343" t="s">
        <v>37</v>
      </c>
      <c r="AC343" s="6" t="s">
        <v>37</v>
      </c>
      <c r="AD343" s="6" t="s">
        <v>37</v>
      </c>
      <c r="AE343" t="s">
        <v>37</v>
      </c>
      <c r="AF343" t="s">
        <v>37</v>
      </c>
      <c r="AG343" s="6" t="s">
        <v>37</v>
      </c>
      <c r="AH343" t="s">
        <v>37</v>
      </c>
      <c r="AI343" t="s">
        <v>37</v>
      </c>
      <c r="AJ343" t="str">
        <f t="shared" si="17"/>
        <v>6L7XHCCZB07G6LWTG6</v>
      </c>
    </row>
    <row r="344" spans="1:36" ht="15" customHeight="1" x14ac:dyDescent="0.25">
      <c r="A344" t="s">
        <v>67</v>
      </c>
      <c r="B344" t="s">
        <v>37</v>
      </c>
      <c r="C344" t="s">
        <v>37</v>
      </c>
      <c r="D344" t="s">
        <v>38</v>
      </c>
      <c r="E344" s="4">
        <v>4</v>
      </c>
      <c r="F344" s="5">
        <v>94.96</v>
      </c>
      <c r="G344" s="5" t="s">
        <v>39</v>
      </c>
      <c r="H344" s="5">
        <v>150.80000000000001</v>
      </c>
      <c r="I344" s="5" t="s">
        <v>39</v>
      </c>
      <c r="J344" s="5">
        <v>3.22864</v>
      </c>
      <c r="K344" s="5">
        <f t="shared" si="15"/>
        <v>0.80715999999999999</v>
      </c>
      <c r="L344" s="5">
        <f t="shared" si="16"/>
        <v>23.74</v>
      </c>
      <c r="M344" s="5" t="s">
        <v>39</v>
      </c>
      <c r="N344" s="5">
        <v>3.22864</v>
      </c>
      <c r="O344" s="5" t="s">
        <v>39</v>
      </c>
      <c r="P344" t="s">
        <v>108</v>
      </c>
      <c r="Q344" t="s">
        <v>739</v>
      </c>
      <c r="R344" t="s">
        <v>37</v>
      </c>
      <c r="S344" t="s">
        <v>740</v>
      </c>
      <c r="T344" t="s">
        <v>43</v>
      </c>
      <c r="U344" t="s">
        <v>44</v>
      </c>
      <c r="V344">
        <v>147</v>
      </c>
      <c r="W344" t="s">
        <v>45</v>
      </c>
      <c r="X344" t="s">
        <v>53</v>
      </c>
      <c r="Y344" t="s">
        <v>741</v>
      </c>
      <c r="Z344" t="s">
        <v>37</v>
      </c>
      <c r="AA344" t="s">
        <v>48</v>
      </c>
      <c r="AB344" t="s">
        <v>37</v>
      </c>
      <c r="AC344" s="6" t="s">
        <v>37</v>
      </c>
      <c r="AD344" s="6" t="s">
        <v>37</v>
      </c>
      <c r="AE344" t="s">
        <v>37</v>
      </c>
      <c r="AF344" t="s">
        <v>37</v>
      </c>
      <c r="AG344" s="6" t="s">
        <v>37</v>
      </c>
      <c r="AH344" t="s">
        <v>37</v>
      </c>
      <c r="AI344" t="s">
        <v>37</v>
      </c>
      <c r="AJ344" t="str">
        <f t="shared" si="17"/>
        <v>5HGHPU5OB00Q6MR0UO</v>
      </c>
    </row>
    <row r="345" spans="1:36" ht="15" customHeight="1" x14ac:dyDescent="0.25">
      <c r="A345" t="s">
        <v>36</v>
      </c>
      <c r="B345" t="s">
        <v>37</v>
      </c>
      <c r="C345" t="s">
        <v>37</v>
      </c>
      <c r="D345" t="s">
        <v>38</v>
      </c>
      <c r="E345" s="4">
        <v>48</v>
      </c>
      <c r="F345" s="5">
        <v>2227.1999999999998</v>
      </c>
      <c r="G345" s="5" t="s">
        <v>39</v>
      </c>
      <c r="H345" s="5">
        <v>3225.6</v>
      </c>
      <c r="I345" s="5" t="s">
        <v>39</v>
      </c>
      <c r="J345" s="5">
        <v>75.724800000000002</v>
      </c>
      <c r="K345" s="5">
        <f t="shared" si="15"/>
        <v>1.5776000000000001</v>
      </c>
      <c r="L345" s="5">
        <f t="shared" si="16"/>
        <v>46.4</v>
      </c>
      <c r="M345" s="5" t="s">
        <v>39</v>
      </c>
      <c r="N345" s="5">
        <v>75.724800000000002</v>
      </c>
      <c r="O345" s="5" t="s">
        <v>39</v>
      </c>
      <c r="P345" t="s">
        <v>89</v>
      </c>
      <c r="Q345" t="s">
        <v>306</v>
      </c>
      <c r="R345" t="s">
        <v>37</v>
      </c>
      <c r="S345" t="s">
        <v>307</v>
      </c>
      <c r="T345" t="s">
        <v>43</v>
      </c>
      <c r="U345" t="s">
        <v>44</v>
      </c>
      <c r="V345">
        <v>147</v>
      </c>
      <c r="W345" t="s">
        <v>45</v>
      </c>
      <c r="X345" t="s">
        <v>53</v>
      </c>
      <c r="Y345" t="s">
        <v>308</v>
      </c>
      <c r="Z345" t="s">
        <v>37</v>
      </c>
      <c r="AA345" t="s">
        <v>61</v>
      </c>
      <c r="AB345" t="s">
        <v>37</v>
      </c>
      <c r="AC345" s="6" t="s">
        <v>37</v>
      </c>
      <c r="AD345" s="6" t="s">
        <v>37</v>
      </c>
      <c r="AE345" t="s">
        <v>37</v>
      </c>
      <c r="AF345" t="s">
        <v>37</v>
      </c>
      <c r="AG345" s="6" t="s">
        <v>37</v>
      </c>
      <c r="AH345" t="s">
        <v>37</v>
      </c>
      <c r="AI345" t="s">
        <v>37</v>
      </c>
      <c r="AJ345" t="str">
        <f t="shared" si="17"/>
        <v>6D1HFTMSB07W5JKHFR</v>
      </c>
    </row>
    <row r="346" spans="1:36" ht="15" customHeight="1" x14ac:dyDescent="0.25">
      <c r="A346" t="s">
        <v>36</v>
      </c>
      <c r="B346" t="s">
        <v>37</v>
      </c>
      <c r="C346" t="s">
        <v>37</v>
      </c>
      <c r="D346" t="s">
        <v>38</v>
      </c>
      <c r="E346" s="4">
        <v>8</v>
      </c>
      <c r="F346" s="5">
        <v>327.92</v>
      </c>
      <c r="G346" s="5" t="s">
        <v>39</v>
      </c>
      <c r="H346" s="5">
        <v>327.92</v>
      </c>
      <c r="I346" s="5" t="s">
        <v>39</v>
      </c>
      <c r="J346" s="5">
        <v>11.149279999999999</v>
      </c>
      <c r="K346" s="5">
        <f t="shared" si="15"/>
        <v>1.3936599999999999</v>
      </c>
      <c r="L346" s="5">
        <f t="shared" si="16"/>
        <v>40.99</v>
      </c>
      <c r="M346" s="5" t="s">
        <v>39</v>
      </c>
      <c r="N346" s="5">
        <v>11.149279999999999</v>
      </c>
      <c r="O346" s="5" t="s">
        <v>39</v>
      </c>
      <c r="P346" t="s">
        <v>167</v>
      </c>
      <c r="Q346" t="s">
        <v>742</v>
      </c>
      <c r="R346" t="s">
        <v>37</v>
      </c>
      <c r="S346" t="s">
        <v>743</v>
      </c>
      <c r="T346" t="s">
        <v>43</v>
      </c>
      <c r="U346" t="s">
        <v>44</v>
      </c>
      <c r="V346">
        <v>107</v>
      </c>
      <c r="W346" t="s">
        <v>45</v>
      </c>
      <c r="X346" t="s">
        <v>75</v>
      </c>
      <c r="Y346" t="s">
        <v>744</v>
      </c>
      <c r="Z346" t="s">
        <v>37</v>
      </c>
      <c r="AA346" t="s">
        <v>61</v>
      </c>
      <c r="AB346" t="s">
        <v>37</v>
      </c>
      <c r="AC346" s="6" t="s">
        <v>37</v>
      </c>
      <c r="AD346" s="6" t="s">
        <v>37</v>
      </c>
      <c r="AE346" t="s">
        <v>37</v>
      </c>
      <c r="AF346" t="s">
        <v>37</v>
      </c>
      <c r="AG346" s="6" t="s">
        <v>37</v>
      </c>
      <c r="AH346" t="s">
        <v>37</v>
      </c>
      <c r="AI346" t="s">
        <v>37</v>
      </c>
      <c r="AJ346" t="str">
        <f t="shared" si="17"/>
        <v>4FFLHW5MB079YGFNC7</v>
      </c>
    </row>
    <row r="347" spans="1:36" ht="15" customHeight="1" x14ac:dyDescent="0.25">
      <c r="A347" t="s">
        <v>101</v>
      </c>
      <c r="B347" t="s">
        <v>37</v>
      </c>
      <c r="C347" t="s">
        <v>37</v>
      </c>
      <c r="D347" t="s">
        <v>38</v>
      </c>
      <c r="E347" s="4">
        <v>0</v>
      </c>
      <c r="F347" s="5">
        <v>0</v>
      </c>
      <c r="G347" s="5" t="s">
        <v>39</v>
      </c>
      <c r="H347" s="5">
        <v>0</v>
      </c>
      <c r="I347" s="5" t="s">
        <v>39</v>
      </c>
      <c r="J347" s="5">
        <v>0</v>
      </c>
      <c r="K347" s="5" t="e">
        <f t="shared" si="15"/>
        <v>#DIV/0!</v>
      </c>
      <c r="L347" s="5" t="e">
        <f t="shared" si="16"/>
        <v>#DIV/0!</v>
      </c>
      <c r="M347" s="5" t="s">
        <v>39</v>
      </c>
      <c r="N347" s="5">
        <v>0</v>
      </c>
      <c r="O347" s="5" t="s">
        <v>39</v>
      </c>
      <c r="P347" t="s">
        <v>735</v>
      </c>
      <c r="Q347" t="s">
        <v>736</v>
      </c>
      <c r="R347" t="s">
        <v>37</v>
      </c>
      <c r="S347" t="s">
        <v>737</v>
      </c>
      <c r="T347" t="s">
        <v>43</v>
      </c>
      <c r="U347" t="s">
        <v>44</v>
      </c>
      <c r="V347">
        <v>23</v>
      </c>
      <c r="W347" t="s">
        <v>58</v>
      </c>
      <c r="X347" t="s">
        <v>59</v>
      </c>
      <c r="Y347" t="s">
        <v>738</v>
      </c>
      <c r="Z347" t="s">
        <v>37</v>
      </c>
      <c r="AA347" t="s">
        <v>145</v>
      </c>
      <c r="AB347" t="s">
        <v>37</v>
      </c>
      <c r="AC347" s="6" t="s">
        <v>37</v>
      </c>
      <c r="AD347" s="6" t="s">
        <v>37</v>
      </c>
      <c r="AE347" t="s">
        <v>37</v>
      </c>
      <c r="AF347" t="s">
        <v>37</v>
      </c>
      <c r="AG347" s="6" t="s">
        <v>37</v>
      </c>
      <c r="AH347" t="s">
        <v>37</v>
      </c>
      <c r="AI347" t="s">
        <v>37</v>
      </c>
      <c r="AJ347" t="str">
        <f t="shared" si="17"/>
        <v>6L7XHCCZB07G6LWTG6</v>
      </c>
    </row>
    <row r="348" spans="1:36" ht="15" customHeight="1" x14ac:dyDescent="0.25">
      <c r="A348" t="s">
        <v>262</v>
      </c>
      <c r="B348" t="s">
        <v>37</v>
      </c>
      <c r="C348" t="s">
        <v>37</v>
      </c>
      <c r="D348" t="s">
        <v>38</v>
      </c>
      <c r="E348" s="4">
        <v>4</v>
      </c>
      <c r="F348" s="5">
        <v>185.6</v>
      </c>
      <c r="G348" s="5" t="s">
        <v>39</v>
      </c>
      <c r="H348" s="5">
        <v>268.8</v>
      </c>
      <c r="I348" s="5" t="s">
        <v>39</v>
      </c>
      <c r="J348" s="5">
        <v>6.3103999999999996</v>
      </c>
      <c r="K348" s="5">
        <f t="shared" si="15"/>
        <v>1.5775999999999999</v>
      </c>
      <c r="L348" s="5">
        <f t="shared" si="16"/>
        <v>46.4</v>
      </c>
      <c r="M348" s="5" t="s">
        <v>39</v>
      </c>
      <c r="N348" s="5">
        <v>6.3103999999999996</v>
      </c>
      <c r="O348" s="5" t="s">
        <v>39</v>
      </c>
      <c r="P348" t="s">
        <v>89</v>
      </c>
      <c r="Q348" t="s">
        <v>306</v>
      </c>
      <c r="R348" t="s">
        <v>37</v>
      </c>
      <c r="S348" t="s">
        <v>307</v>
      </c>
      <c r="T348" t="s">
        <v>43</v>
      </c>
      <c r="U348" t="s">
        <v>44</v>
      </c>
      <c r="V348">
        <v>147</v>
      </c>
      <c r="W348" t="s">
        <v>45</v>
      </c>
      <c r="X348" t="s">
        <v>53</v>
      </c>
      <c r="Y348" t="s">
        <v>308</v>
      </c>
      <c r="Z348" t="s">
        <v>37</v>
      </c>
      <c r="AA348" t="s">
        <v>61</v>
      </c>
      <c r="AB348" t="s">
        <v>37</v>
      </c>
      <c r="AC348" s="6" t="s">
        <v>37</v>
      </c>
      <c r="AD348" s="6" t="s">
        <v>37</v>
      </c>
      <c r="AE348" t="s">
        <v>37</v>
      </c>
      <c r="AF348" t="s">
        <v>37</v>
      </c>
      <c r="AG348" s="6" t="s">
        <v>37</v>
      </c>
      <c r="AH348" t="s">
        <v>37</v>
      </c>
      <c r="AI348" t="s">
        <v>37</v>
      </c>
      <c r="AJ348" t="str">
        <f t="shared" si="17"/>
        <v>6D1HFTMSB07W5JKHFR</v>
      </c>
    </row>
    <row r="349" spans="1:36" ht="15" customHeight="1" x14ac:dyDescent="0.25">
      <c r="A349" t="s">
        <v>127</v>
      </c>
      <c r="B349" t="s">
        <v>37</v>
      </c>
      <c r="C349" t="s">
        <v>37</v>
      </c>
      <c r="D349" t="s">
        <v>38</v>
      </c>
      <c r="E349" s="4">
        <v>30</v>
      </c>
      <c r="F349" s="5">
        <v>298.5</v>
      </c>
      <c r="G349" s="5" t="s">
        <v>39</v>
      </c>
      <c r="H349" s="5">
        <v>415.5</v>
      </c>
      <c r="I349" s="5" t="s">
        <v>39</v>
      </c>
      <c r="J349" s="5">
        <v>10.148999999999999</v>
      </c>
      <c r="K349" s="5">
        <f t="shared" si="15"/>
        <v>0.33829999999999999</v>
      </c>
      <c r="L349" s="5">
        <f t="shared" si="16"/>
        <v>9.9499999999999993</v>
      </c>
      <c r="M349" s="5" t="s">
        <v>39</v>
      </c>
      <c r="N349" s="5">
        <v>10.148999999999999</v>
      </c>
      <c r="O349" s="5" t="s">
        <v>39</v>
      </c>
      <c r="P349" t="s">
        <v>128</v>
      </c>
      <c r="Q349" t="s">
        <v>649</v>
      </c>
      <c r="R349" t="s">
        <v>37</v>
      </c>
      <c r="S349" t="s">
        <v>650</v>
      </c>
      <c r="T349" t="s">
        <v>43</v>
      </c>
      <c r="U349" t="s">
        <v>44</v>
      </c>
      <c r="V349">
        <v>147</v>
      </c>
      <c r="W349" t="s">
        <v>45</v>
      </c>
      <c r="X349" t="s">
        <v>75</v>
      </c>
      <c r="Y349" t="s">
        <v>651</v>
      </c>
      <c r="Z349" t="s">
        <v>37</v>
      </c>
      <c r="AA349" t="s">
        <v>61</v>
      </c>
      <c r="AB349" t="s">
        <v>37</v>
      </c>
      <c r="AC349" s="6" t="s">
        <v>37</v>
      </c>
      <c r="AD349" s="6" t="s">
        <v>37</v>
      </c>
      <c r="AE349" t="s">
        <v>37</v>
      </c>
      <c r="AF349" t="s">
        <v>37</v>
      </c>
      <c r="AG349" s="6" t="s">
        <v>37</v>
      </c>
      <c r="AH349" t="s">
        <v>37</v>
      </c>
      <c r="AI349" t="s">
        <v>37</v>
      </c>
      <c r="AJ349" t="str">
        <f t="shared" si="17"/>
        <v>5DN5PI5YB003PO22H2</v>
      </c>
    </row>
    <row r="350" spans="1:36" ht="15" customHeight="1" x14ac:dyDescent="0.25">
      <c r="A350" t="s">
        <v>67</v>
      </c>
      <c r="B350" t="s">
        <v>37</v>
      </c>
      <c r="C350" t="s">
        <v>37</v>
      </c>
      <c r="D350" t="s">
        <v>38</v>
      </c>
      <c r="E350" s="4">
        <v>8</v>
      </c>
      <c r="F350" s="5">
        <v>281.04000000000002</v>
      </c>
      <c r="G350" s="5" t="s">
        <v>39</v>
      </c>
      <c r="H350" s="5">
        <v>406.48</v>
      </c>
      <c r="I350" s="5" t="s">
        <v>39</v>
      </c>
      <c r="J350" s="5">
        <v>9.5553600000000003</v>
      </c>
      <c r="K350" s="5">
        <f t="shared" si="15"/>
        <v>1.19442</v>
      </c>
      <c r="L350" s="5">
        <f t="shared" si="16"/>
        <v>35.130000000000003</v>
      </c>
      <c r="M350" s="5" t="s">
        <v>39</v>
      </c>
      <c r="N350" s="5">
        <v>9.5553600000000003</v>
      </c>
      <c r="O350" s="5" t="s">
        <v>39</v>
      </c>
      <c r="P350" t="s">
        <v>108</v>
      </c>
      <c r="Q350" t="s">
        <v>79</v>
      </c>
      <c r="R350" t="s">
        <v>37</v>
      </c>
      <c r="S350" t="s">
        <v>80</v>
      </c>
      <c r="T350" t="s">
        <v>43</v>
      </c>
      <c r="U350" t="s">
        <v>44</v>
      </c>
      <c r="V350">
        <v>147</v>
      </c>
      <c r="W350" t="s">
        <v>45</v>
      </c>
      <c r="X350" t="s">
        <v>75</v>
      </c>
      <c r="Y350" t="s">
        <v>81</v>
      </c>
      <c r="Z350" t="s">
        <v>37</v>
      </c>
      <c r="AA350" t="s">
        <v>61</v>
      </c>
      <c r="AB350" t="s">
        <v>37</v>
      </c>
      <c r="AC350" s="6" t="s">
        <v>37</v>
      </c>
      <c r="AD350" s="6" t="s">
        <v>37</v>
      </c>
      <c r="AE350" t="s">
        <v>37</v>
      </c>
      <c r="AF350" t="s">
        <v>37</v>
      </c>
      <c r="AG350" s="6" t="s">
        <v>37</v>
      </c>
      <c r="AH350" t="s">
        <v>37</v>
      </c>
      <c r="AI350" t="s">
        <v>37</v>
      </c>
      <c r="AJ350" t="str">
        <f t="shared" si="17"/>
        <v>5HGHPU5OB07W4DGLJX</v>
      </c>
    </row>
    <row r="351" spans="1:36" ht="15" customHeight="1" x14ac:dyDescent="0.25">
      <c r="A351" t="s">
        <v>132</v>
      </c>
      <c r="B351" t="s">
        <v>37</v>
      </c>
      <c r="C351" t="s">
        <v>37</v>
      </c>
      <c r="D351" t="s">
        <v>38</v>
      </c>
      <c r="E351" s="4">
        <v>0</v>
      </c>
      <c r="F351" s="5">
        <v>0</v>
      </c>
      <c r="G351" s="5" t="s">
        <v>39</v>
      </c>
      <c r="H351" s="5">
        <v>0</v>
      </c>
      <c r="I351" s="5" t="s">
        <v>39</v>
      </c>
      <c r="J351" s="5">
        <v>0</v>
      </c>
      <c r="K351" s="5" t="e">
        <f t="shared" si="15"/>
        <v>#DIV/0!</v>
      </c>
      <c r="L351" s="5" t="e">
        <f t="shared" si="16"/>
        <v>#DIV/0!</v>
      </c>
      <c r="M351" s="5" t="s">
        <v>39</v>
      </c>
      <c r="N351" s="5">
        <v>0</v>
      </c>
      <c r="O351" s="5" t="s">
        <v>39</v>
      </c>
      <c r="P351" t="s">
        <v>108</v>
      </c>
      <c r="Q351" t="s">
        <v>79</v>
      </c>
      <c r="R351" t="s">
        <v>37</v>
      </c>
      <c r="S351" t="s">
        <v>80</v>
      </c>
      <c r="T351" t="s">
        <v>43</v>
      </c>
      <c r="U351" t="s">
        <v>44</v>
      </c>
      <c r="V351">
        <v>147</v>
      </c>
      <c r="W351" t="s">
        <v>45</v>
      </c>
      <c r="X351" t="s">
        <v>75</v>
      </c>
      <c r="Y351" t="s">
        <v>81</v>
      </c>
      <c r="Z351" t="s">
        <v>37</v>
      </c>
      <c r="AA351" t="s">
        <v>61</v>
      </c>
      <c r="AB351" t="s">
        <v>37</v>
      </c>
      <c r="AC351" s="6" t="s">
        <v>37</v>
      </c>
      <c r="AD351" s="6" t="s">
        <v>37</v>
      </c>
      <c r="AE351" t="s">
        <v>37</v>
      </c>
      <c r="AF351" t="s">
        <v>37</v>
      </c>
      <c r="AG351" s="6" t="s">
        <v>37</v>
      </c>
      <c r="AH351" t="s">
        <v>37</v>
      </c>
      <c r="AI351" t="s">
        <v>37</v>
      </c>
      <c r="AJ351" t="str">
        <f t="shared" si="17"/>
        <v>5HGHPU5OB07W4DGLJX</v>
      </c>
    </row>
    <row r="352" spans="1:36" ht="15" customHeight="1" x14ac:dyDescent="0.25">
      <c r="A352" t="s">
        <v>36</v>
      </c>
      <c r="B352" t="s">
        <v>37</v>
      </c>
      <c r="C352" t="s">
        <v>37</v>
      </c>
      <c r="D352" t="s">
        <v>38</v>
      </c>
      <c r="E352" s="4">
        <v>4</v>
      </c>
      <c r="F352" s="5">
        <v>314.48</v>
      </c>
      <c r="G352" s="5" t="s">
        <v>39</v>
      </c>
      <c r="H352" s="5">
        <v>508.16</v>
      </c>
      <c r="I352" s="5" t="s">
        <v>39</v>
      </c>
      <c r="J352" s="5">
        <v>10.69232</v>
      </c>
      <c r="K352" s="5">
        <f t="shared" si="15"/>
        <v>2.6730800000000001</v>
      </c>
      <c r="L352" s="5">
        <f t="shared" si="16"/>
        <v>78.62</v>
      </c>
      <c r="M352" s="5" t="s">
        <v>39</v>
      </c>
      <c r="N352" s="5">
        <v>10.69232</v>
      </c>
      <c r="O352" s="5" t="s">
        <v>39</v>
      </c>
      <c r="P352" t="s">
        <v>40</v>
      </c>
      <c r="Q352" t="s">
        <v>745</v>
      </c>
      <c r="R352" t="s">
        <v>37</v>
      </c>
      <c r="S352" t="s">
        <v>746</v>
      </c>
      <c r="T352" t="s">
        <v>43</v>
      </c>
      <c r="U352" t="s">
        <v>44</v>
      </c>
      <c r="V352">
        <v>147</v>
      </c>
      <c r="W352" t="s">
        <v>45</v>
      </c>
      <c r="X352" t="s">
        <v>46</v>
      </c>
      <c r="Y352" t="s">
        <v>747</v>
      </c>
      <c r="Z352" t="s">
        <v>37</v>
      </c>
      <c r="AA352" t="s">
        <v>48</v>
      </c>
      <c r="AB352" t="s">
        <v>37</v>
      </c>
      <c r="AC352" s="6" t="s">
        <v>37</v>
      </c>
      <c r="AD352" s="6" t="s">
        <v>37</v>
      </c>
      <c r="AE352" t="s">
        <v>37</v>
      </c>
      <c r="AF352" t="s">
        <v>37</v>
      </c>
      <c r="AG352" s="6" t="s">
        <v>37</v>
      </c>
      <c r="AH352" t="s">
        <v>37</v>
      </c>
      <c r="AI352" t="s">
        <v>37</v>
      </c>
      <c r="AJ352" t="str">
        <f t="shared" si="17"/>
        <v>8IC45Q9KB01M3TTXMY</v>
      </c>
    </row>
    <row r="353" spans="1:36" ht="15" customHeight="1" x14ac:dyDescent="0.25">
      <c r="A353" t="s">
        <v>67</v>
      </c>
      <c r="B353" t="s">
        <v>37</v>
      </c>
      <c r="C353" t="s">
        <v>37</v>
      </c>
      <c r="D353" t="s">
        <v>38</v>
      </c>
      <c r="E353" s="4">
        <v>40</v>
      </c>
      <c r="F353" s="5">
        <v>2722.4</v>
      </c>
      <c r="G353" s="5" t="s">
        <v>39</v>
      </c>
      <c r="H353" s="5">
        <v>4426</v>
      </c>
      <c r="I353" s="5" t="s">
        <v>39</v>
      </c>
      <c r="J353" s="5">
        <v>92.561599999999999</v>
      </c>
      <c r="K353" s="5">
        <f t="shared" si="15"/>
        <v>2.3140399999999999</v>
      </c>
      <c r="L353" s="5">
        <f t="shared" si="16"/>
        <v>68.06</v>
      </c>
      <c r="M353" s="5" t="s">
        <v>39</v>
      </c>
      <c r="N353" s="5">
        <v>92.561599999999999</v>
      </c>
      <c r="O353" s="5" t="s">
        <v>39</v>
      </c>
      <c r="P353" t="s">
        <v>323</v>
      </c>
      <c r="Q353" t="s">
        <v>139</v>
      </c>
      <c r="R353" t="s">
        <v>37</v>
      </c>
      <c r="S353" t="s">
        <v>140</v>
      </c>
      <c r="T353" t="s">
        <v>43</v>
      </c>
      <c r="U353" t="s">
        <v>44</v>
      </c>
      <c r="V353">
        <v>147</v>
      </c>
      <c r="W353" t="s">
        <v>45</v>
      </c>
      <c r="X353" t="s">
        <v>46</v>
      </c>
      <c r="Y353" t="s">
        <v>141</v>
      </c>
      <c r="Z353" t="s">
        <v>37</v>
      </c>
      <c r="AA353" t="s">
        <v>61</v>
      </c>
      <c r="AB353" t="s">
        <v>37</v>
      </c>
      <c r="AC353" s="6" t="s">
        <v>37</v>
      </c>
      <c r="AD353" s="6" t="s">
        <v>37</v>
      </c>
      <c r="AE353" t="s">
        <v>37</v>
      </c>
      <c r="AF353" t="s">
        <v>37</v>
      </c>
      <c r="AG353" s="6" t="s">
        <v>37</v>
      </c>
      <c r="AH353" t="s">
        <v>37</v>
      </c>
      <c r="AI353" t="s">
        <v>37</v>
      </c>
      <c r="AJ353" t="str">
        <f t="shared" si="17"/>
        <v>11CZAECYB073399S1L</v>
      </c>
    </row>
    <row r="354" spans="1:36" ht="15" customHeight="1" x14ac:dyDescent="0.25">
      <c r="A354" t="s">
        <v>133</v>
      </c>
      <c r="B354" t="s">
        <v>37</v>
      </c>
      <c r="C354" t="s">
        <v>37</v>
      </c>
      <c r="D354" t="s">
        <v>38</v>
      </c>
      <c r="E354" s="4">
        <v>0</v>
      </c>
      <c r="F354" s="5">
        <v>0</v>
      </c>
      <c r="G354" s="5" t="s">
        <v>39</v>
      </c>
      <c r="H354" s="5">
        <v>0</v>
      </c>
      <c r="I354" s="5" t="s">
        <v>39</v>
      </c>
      <c r="J354" s="5">
        <v>0</v>
      </c>
      <c r="K354" s="5" t="e">
        <f t="shared" si="15"/>
        <v>#DIV/0!</v>
      </c>
      <c r="L354" s="5" t="e">
        <f t="shared" si="16"/>
        <v>#DIV/0!</v>
      </c>
      <c r="M354" s="5" t="s">
        <v>39</v>
      </c>
      <c r="N354" s="5">
        <v>0</v>
      </c>
      <c r="O354" s="5" t="s">
        <v>39</v>
      </c>
      <c r="P354" t="s">
        <v>108</v>
      </c>
      <c r="Q354" t="s">
        <v>79</v>
      </c>
      <c r="R354" t="s">
        <v>37</v>
      </c>
      <c r="S354" t="s">
        <v>80</v>
      </c>
      <c r="T354" t="s">
        <v>43</v>
      </c>
      <c r="U354" t="s">
        <v>44</v>
      </c>
      <c r="V354">
        <v>147</v>
      </c>
      <c r="W354" t="s">
        <v>45</v>
      </c>
      <c r="X354" t="s">
        <v>75</v>
      </c>
      <c r="Y354" t="s">
        <v>81</v>
      </c>
      <c r="Z354" t="s">
        <v>37</v>
      </c>
      <c r="AA354" t="s">
        <v>61</v>
      </c>
      <c r="AB354" t="s">
        <v>37</v>
      </c>
      <c r="AC354" s="6" t="s">
        <v>37</v>
      </c>
      <c r="AD354" s="6" t="s">
        <v>37</v>
      </c>
      <c r="AE354" t="s">
        <v>37</v>
      </c>
      <c r="AF354" t="s">
        <v>37</v>
      </c>
      <c r="AG354" s="6" t="s">
        <v>37</v>
      </c>
      <c r="AH354" t="s">
        <v>37</v>
      </c>
      <c r="AI354" t="s">
        <v>37</v>
      </c>
      <c r="AJ354" t="str">
        <f t="shared" si="17"/>
        <v>5HGHPU5OB07W4DGLJX</v>
      </c>
    </row>
    <row r="355" spans="1:36" ht="15" customHeight="1" x14ac:dyDescent="0.25">
      <c r="A355" t="s">
        <v>67</v>
      </c>
      <c r="B355" t="s">
        <v>37</v>
      </c>
      <c r="C355" t="s">
        <v>37</v>
      </c>
      <c r="D355" t="s">
        <v>38</v>
      </c>
      <c r="E355" s="4">
        <v>654</v>
      </c>
      <c r="F355" s="5">
        <v>13276.2</v>
      </c>
      <c r="G355" s="5" t="s">
        <v>39</v>
      </c>
      <c r="H355" s="5">
        <v>19293</v>
      </c>
      <c r="I355" s="5" t="s">
        <v>39</v>
      </c>
      <c r="J355" s="5">
        <v>451.39080000000001</v>
      </c>
      <c r="K355" s="5">
        <f t="shared" si="15"/>
        <v>0.69020000000000004</v>
      </c>
      <c r="L355" s="5">
        <f t="shared" si="16"/>
        <v>20.3</v>
      </c>
      <c r="M355" s="5" t="s">
        <v>39</v>
      </c>
      <c r="N355" s="5">
        <v>451.39080000000001</v>
      </c>
      <c r="O355" s="5" t="s">
        <v>39</v>
      </c>
      <c r="P355" t="s">
        <v>82</v>
      </c>
      <c r="Q355" t="s">
        <v>135</v>
      </c>
      <c r="R355" t="s">
        <v>37</v>
      </c>
      <c r="S355" t="s">
        <v>136</v>
      </c>
      <c r="T355" t="s">
        <v>43</v>
      </c>
      <c r="U355" t="s">
        <v>44</v>
      </c>
      <c r="V355">
        <v>147</v>
      </c>
      <c r="W355" t="s">
        <v>45</v>
      </c>
      <c r="X355" t="s">
        <v>75</v>
      </c>
      <c r="Y355" t="s">
        <v>137</v>
      </c>
      <c r="Z355" t="s">
        <v>37</v>
      </c>
      <c r="AA355" t="s">
        <v>61</v>
      </c>
      <c r="AB355" t="s">
        <v>37</v>
      </c>
      <c r="AC355" s="6" t="s">
        <v>37</v>
      </c>
      <c r="AD355" s="6" t="s">
        <v>37</v>
      </c>
      <c r="AE355" t="s">
        <v>37</v>
      </c>
      <c r="AF355" t="s">
        <v>37</v>
      </c>
      <c r="AG355" s="6" t="s">
        <v>37</v>
      </c>
      <c r="AH355" t="s">
        <v>37</v>
      </c>
      <c r="AI355" t="s">
        <v>37</v>
      </c>
      <c r="AJ355" t="str">
        <f t="shared" si="17"/>
        <v>57D297ZKB07W5JK4LF</v>
      </c>
    </row>
    <row r="356" spans="1:36" ht="15" customHeight="1" x14ac:dyDescent="0.25">
      <c r="A356" t="s">
        <v>67</v>
      </c>
      <c r="B356" t="s">
        <v>37</v>
      </c>
      <c r="C356" t="s">
        <v>37</v>
      </c>
      <c r="D356" t="s">
        <v>38</v>
      </c>
      <c r="E356" s="4">
        <v>4</v>
      </c>
      <c r="F356" s="5">
        <v>251.16</v>
      </c>
      <c r="G356" s="5" t="s">
        <v>39</v>
      </c>
      <c r="H356" s="5">
        <v>409.8</v>
      </c>
      <c r="I356" s="5" t="s">
        <v>39</v>
      </c>
      <c r="J356" s="5">
        <v>8.5394400000000008</v>
      </c>
      <c r="K356" s="5">
        <f t="shared" si="15"/>
        <v>2.1348600000000002</v>
      </c>
      <c r="L356" s="5">
        <f t="shared" si="16"/>
        <v>62.79</v>
      </c>
      <c r="M356" s="5" t="s">
        <v>39</v>
      </c>
      <c r="N356" s="5">
        <v>8.5394400000000008</v>
      </c>
      <c r="O356" s="5" t="s">
        <v>39</v>
      </c>
      <c r="P356" t="s">
        <v>245</v>
      </c>
      <c r="Q356" t="s">
        <v>748</v>
      </c>
      <c r="R356" t="s">
        <v>37</v>
      </c>
      <c r="S356" t="s">
        <v>749</v>
      </c>
      <c r="T356" t="s">
        <v>43</v>
      </c>
      <c r="U356" t="s">
        <v>44</v>
      </c>
      <c r="V356">
        <v>147</v>
      </c>
      <c r="W356" t="s">
        <v>45</v>
      </c>
      <c r="X356" t="s">
        <v>75</v>
      </c>
      <c r="Y356" t="s">
        <v>750</v>
      </c>
      <c r="Z356" t="s">
        <v>37</v>
      </c>
      <c r="AA356" t="s">
        <v>61</v>
      </c>
      <c r="AB356" t="s">
        <v>37</v>
      </c>
      <c r="AC356" s="6" t="s">
        <v>37</v>
      </c>
      <c r="AD356" s="6" t="s">
        <v>37</v>
      </c>
      <c r="AE356" t="s">
        <v>37</v>
      </c>
      <c r="AF356" t="s">
        <v>37</v>
      </c>
      <c r="AG356" s="6" t="s">
        <v>37</v>
      </c>
      <c r="AH356" t="s">
        <v>37</v>
      </c>
      <c r="AI356" t="s">
        <v>37</v>
      </c>
      <c r="AJ356" t="str">
        <f t="shared" si="17"/>
        <v>6ZGQP34KB07W5JJP7D</v>
      </c>
    </row>
    <row r="357" spans="1:36" ht="15" customHeight="1" x14ac:dyDescent="0.25">
      <c r="A357" t="s">
        <v>127</v>
      </c>
      <c r="B357" t="s">
        <v>37</v>
      </c>
      <c r="C357" t="s">
        <v>37</v>
      </c>
      <c r="D357" t="s">
        <v>38</v>
      </c>
      <c r="E357" s="4">
        <v>12</v>
      </c>
      <c r="F357" s="5">
        <v>506.4</v>
      </c>
      <c r="G357" s="5" t="s">
        <v>39</v>
      </c>
      <c r="H357" s="5">
        <v>806.4</v>
      </c>
      <c r="I357" s="5" t="s">
        <v>39</v>
      </c>
      <c r="J357" s="5">
        <v>17.217600000000001</v>
      </c>
      <c r="K357" s="5">
        <f t="shared" si="15"/>
        <v>1.4348000000000001</v>
      </c>
      <c r="L357" s="5">
        <f t="shared" si="16"/>
        <v>42.199999999999996</v>
      </c>
      <c r="M357" s="5" t="s">
        <v>39</v>
      </c>
      <c r="N357" s="5">
        <v>17.217600000000001</v>
      </c>
      <c r="O357" s="5" t="s">
        <v>39</v>
      </c>
      <c r="P357" t="s">
        <v>208</v>
      </c>
      <c r="Q357" t="s">
        <v>498</v>
      </c>
      <c r="R357" t="s">
        <v>37</v>
      </c>
      <c r="S357" t="s">
        <v>499</v>
      </c>
      <c r="T357" t="s">
        <v>43</v>
      </c>
      <c r="U357" t="s">
        <v>44</v>
      </c>
      <c r="V357">
        <v>147</v>
      </c>
      <c r="W357" t="s">
        <v>45</v>
      </c>
      <c r="X357" t="s">
        <v>75</v>
      </c>
      <c r="Y357" t="s">
        <v>500</v>
      </c>
      <c r="Z357" t="s">
        <v>37</v>
      </c>
      <c r="AA357" t="s">
        <v>61</v>
      </c>
      <c r="AB357" t="s">
        <v>37</v>
      </c>
      <c r="AC357" s="6" t="s">
        <v>37</v>
      </c>
      <c r="AD357" s="6" t="s">
        <v>37</v>
      </c>
      <c r="AE357" t="s">
        <v>37</v>
      </c>
      <c r="AF357" t="s">
        <v>37</v>
      </c>
      <c r="AG357" s="6" t="s">
        <v>37</v>
      </c>
      <c r="AH357" t="s">
        <v>37</v>
      </c>
      <c r="AI357" t="s">
        <v>37</v>
      </c>
      <c r="AJ357" t="str">
        <f t="shared" si="17"/>
        <v>2WFUPSOGB07W6GVS5C</v>
      </c>
    </row>
    <row r="358" spans="1:36" ht="15" customHeight="1" x14ac:dyDescent="0.25">
      <c r="A358" t="s">
        <v>133</v>
      </c>
      <c r="B358" t="s">
        <v>37</v>
      </c>
      <c r="C358" t="s">
        <v>37</v>
      </c>
      <c r="D358" t="s">
        <v>38</v>
      </c>
      <c r="E358" s="4">
        <v>68</v>
      </c>
      <c r="F358" s="5">
        <v>2869.6</v>
      </c>
      <c r="G358" s="5" t="s">
        <v>39</v>
      </c>
      <c r="H358" s="5">
        <v>4569.6000000000004</v>
      </c>
      <c r="I358" s="5" t="s">
        <v>39</v>
      </c>
      <c r="J358" s="5">
        <v>97.566400000000002</v>
      </c>
      <c r="K358" s="5">
        <f t="shared" si="15"/>
        <v>1.4348000000000001</v>
      </c>
      <c r="L358" s="5">
        <f t="shared" si="16"/>
        <v>42.199999999999996</v>
      </c>
      <c r="M358" s="5" t="s">
        <v>39</v>
      </c>
      <c r="N358" s="5">
        <v>97.566400000000002</v>
      </c>
      <c r="O358" s="5" t="s">
        <v>39</v>
      </c>
      <c r="P358" t="s">
        <v>208</v>
      </c>
      <c r="Q358" t="s">
        <v>498</v>
      </c>
      <c r="R358" t="s">
        <v>37</v>
      </c>
      <c r="S358" t="s">
        <v>499</v>
      </c>
      <c r="T358" t="s">
        <v>43</v>
      </c>
      <c r="U358" t="s">
        <v>44</v>
      </c>
      <c r="V358">
        <v>147</v>
      </c>
      <c r="W358" t="s">
        <v>45</v>
      </c>
      <c r="X358" t="s">
        <v>75</v>
      </c>
      <c r="Y358" t="s">
        <v>500</v>
      </c>
      <c r="Z358" t="s">
        <v>37</v>
      </c>
      <c r="AA358" t="s">
        <v>61</v>
      </c>
      <c r="AB358" t="s">
        <v>37</v>
      </c>
      <c r="AC358" s="6" t="s">
        <v>37</v>
      </c>
      <c r="AD358" s="6" t="s">
        <v>37</v>
      </c>
      <c r="AE358" t="s">
        <v>37</v>
      </c>
      <c r="AF358" t="s">
        <v>37</v>
      </c>
      <c r="AG358" s="6" t="s">
        <v>37</v>
      </c>
      <c r="AH358" t="s">
        <v>37</v>
      </c>
      <c r="AI358" t="s">
        <v>37</v>
      </c>
      <c r="AJ358" t="str">
        <f t="shared" si="17"/>
        <v>2WFUPSOGB07W6GVS5C</v>
      </c>
    </row>
    <row r="359" spans="1:36" ht="15" customHeight="1" x14ac:dyDescent="0.25">
      <c r="A359" t="s">
        <v>372</v>
      </c>
      <c r="B359" t="s">
        <v>37</v>
      </c>
      <c r="C359" t="s">
        <v>37</v>
      </c>
      <c r="D359" t="s">
        <v>38</v>
      </c>
      <c r="E359" s="4">
        <v>16</v>
      </c>
      <c r="F359" s="5">
        <v>468.48</v>
      </c>
      <c r="G359" s="5" t="s">
        <v>39</v>
      </c>
      <c r="H359" s="5">
        <v>468.48</v>
      </c>
      <c r="I359" s="5" t="s">
        <v>39</v>
      </c>
      <c r="J359" s="5">
        <v>15.928319999999999</v>
      </c>
      <c r="K359" s="5">
        <f t="shared" si="15"/>
        <v>0.99551999999999996</v>
      </c>
      <c r="L359" s="5">
        <f t="shared" si="16"/>
        <v>29.28</v>
      </c>
      <c r="M359" s="5" t="s">
        <v>39</v>
      </c>
      <c r="N359" s="5">
        <v>15.928319999999999</v>
      </c>
      <c r="O359" s="5" t="s">
        <v>39</v>
      </c>
      <c r="P359" t="s">
        <v>78</v>
      </c>
      <c r="Q359" t="s">
        <v>655</v>
      </c>
      <c r="R359" t="s">
        <v>37</v>
      </c>
      <c r="S359" t="s">
        <v>656</v>
      </c>
      <c r="T359" t="s">
        <v>43</v>
      </c>
      <c r="U359" t="s">
        <v>44</v>
      </c>
      <c r="V359">
        <v>23</v>
      </c>
      <c r="W359" t="s">
        <v>657</v>
      </c>
      <c r="X359" t="s">
        <v>301</v>
      </c>
      <c r="Y359" t="s">
        <v>658</v>
      </c>
      <c r="Z359" t="s">
        <v>37</v>
      </c>
      <c r="AA359" t="s">
        <v>61</v>
      </c>
      <c r="AB359" t="s">
        <v>37</v>
      </c>
      <c r="AC359" s="6" t="s">
        <v>37</v>
      </c>
      <c r="AD359" s="6" t="s">
        <v>37</v>
      </c>
      <c r="AE359" t="s">
        <v>37</v>
      </c>
      <c r="AF359" t="s">
        <v>37</v>
      </c>
      <c r="AG359" s="6" t="s">
        <v>37</v>
      </c>
      <c r="AH359" t="s">
        <v>37</v>
      </c>
      <c r="AI359" t="s">
        <v>37</v>
      </c>
      <c r="AJ359" t="str">
        <f t="shared" si="17"/>
        <v>135JM91XB00IRCDT7Y</v>
      </c>
    </row>
    <row r="360" spans="1:36" ht="15" customHeight="1" x14ac:dyDescent="0.25">
      <c r="A360" t="s">
        <v>127</v>
      </c>
      <c r="B360" t="s">
        <v>37</v>
      </c>
      <c r="C360" t="s">
        <v>37</v>
      </c>
      <c r="D360" t="s">
        <v>38</v>
      </c>
      <c r="E360" s="4">
        <v>10</v>
      </c>
      <c r="F360" s="5">
        <v>99.5</v>
      </c>
      <c r="G360" s="5" t="s">
        <v>39</v>
      </c>
      <c r="H360" s="5">
        <v>138.5</v>
      </c>
      <c r="I360" s="5" t="s">
        <v>39</v>
      </c>
      <c r="J360" s="5">
        <v>3.383</v>
      </c>
      <c r="K360" s="5">
        <f t="shared" si="15"/>
        <v>0.33829999999999999</v>
      </c>
      <c r="L360" s="5">
        <f t="shared" si="16"/>
        <v>9.9499999999999993</v>
      </c>
      <c r="M360" s="5" t="s">
        <v>39</v>
      </c>
      <c r="N360" s="5">
        <v>3.383</v>
      </c>
      <c r="O360" s="5" t="s">
        <v>39</v>
      </c>
      <c r="P360" t="s">
        <v>208</v>
      </c>
      <c r="Q360" t="s">
        <v>164</v>
      </c>
      <c r="R360" t="s">
        <v>37</v>
      </c>
      <c r="S360" t="s">
        <v>165</v>
      </c>
      <c r="T360" t="s">
        <v>43</v>
      </c>
      <c r="U360" t="s">
        <v>44</v>
      </c>
      <c r="V360">
        <v>147</v>
      </c>
      <c r="W360" t="s">
        <v>45</v>
      </c>
      <c r="X360" t="s">
        <v>75</v>
      </c>
      <c r="Y360" t="s">
        <v>166</v>
      </c>
      <c r="Z360" t="s">
        <v>37</v>
      </c>
      <c r="AA360" t="s">
        <v>61</v>
      </c>
      <c r="AB360" t="s">
        <v>37</v>
      </c>
      <c r="AC360" s="6" t="s">
        <v>37</v>
      </c>
      <c r="AD360" s="6" t="s">
        <v>37</v>
      </c>
      <c r="AE360" t="s">
        <v>37</v>
      </c>
      <c r="AF360" t="s">
        <v>37</v>
      </c>
      <c r="AG360" s="6" t="s">
        <v>37</v>
      </c>
      <c r="AH360" t="s">
        <v>37</v>
      </c>
      <c r="AI360" t="s">
        <v>37</v>
      </c>
      <c r="AJ360" t="str">
        <f t="shared" si="17"/>
        <v>2WFUPSOGB003V4A5VG</v>
      </c>
    </row>
    <row r="361" spans="1:36" ht="15" customHeight="1" x14ac:dyDescent="0.25">
      <c r="A361" t="s">
        <v>133</v>
      </c>
      <c r="B361" t="s">
        <v>37</v>
      </c>
      <c r="C361" t="s">
        <v>37</v>
      </c>
      <c r="D361" t="s">
        <v>38</v>
      </c>
      <c r="E361" s="4">
        <v>80</v>
      </c>
      <c r="F361" s="5">
        <v>2810.4</v>
      </c>
      <c r="G361" s="5" t="s">
        <v>39</v>
      </c>
      <c r="H361" s="5">
        <v>4064.8</v>
      </c>
      <c r="I361" s="5" t="s">
        <v>39</v>
      </c>
      <c r="J361" s="5">
        <v>95.553600000000003</v>
      </c>
      <c r="K361" s="5">
        <f t="shared" si="15"/>
        <v>1.19442</v>
      </c>
      <c r="L361" s="5">
        <f t="shared" si="16"/>
        <v>35.130000000000003</v>
      </c>
      <c r="M361" s="5" t="s">
        <v>39</v>
      </c>
      <c r="N361" s="5">
        <v>95.553600000000003</v>
      </c>
      <c r="O361" s="5" t="s">
        <v>39</v>
      </c>
      <c r="P361" t="s">
        <v>189</v>
      </c>
      <c r="Q361" t="s">
        <v>79</v>
      </c>
      <c r="R361" t="s">
        <v>37</v>
      </c>
      <c r="S361" t="s">
        <v>80</v>
      </c>
      <c r="T361" t="s">
        <v>43</v>
      </c>
      <c r="U361" t="s">
        <v>44</v>
      </c>
      <c r="V361">
        <v>147</v>
      </c>
      <c r="W361" t="s">
        <v>45</v>
      </c>
      <c r="X361" t="s">
        <v>75</v>
      </c>
      <c r="Y361" t="s">
        <v>81</v>
      </c>
      <c r="Z361" t="s">
        <v>37</v>
      </c>
      <c r="AA361" t="s">
        <v>61</v>
      </c>
      <c r="AB361" t="s">
        <v>37</v>
      </c>
      <c r="AC361" s="6" t="s">
        <v>37</v>
      </c>
      <c r="AD361" s="6" t="s">
        <v>37</v>
      </c>
      <c r="AE361" t="s">
        <v>37</v>
      </c>
      <c r="AF361" t="s">
        <v>37</v>
      </c>
      <c r="AG361" s="6" t="s">
        <v>37</v>
      </c>
      <c r="AH361" t="s">
        <v>37</v>
      </c>
      <c r="AI361" t="s">
        <v>37</v>
      </c>
      <c r="AJ361" t="str">
        <f t="shared" si="17"/>
        <v>6DPU2MKPB07W4DGLJX</v>
      </c>
    </row>
    <row r="362" spans="1:36" ht="15" customHeight="1" x14ac:dyDescent="0.25">
      <c r="A362" t="s">
        <v>67</v>
      </c>
      <c r="B362" t="s">
        <v>37</v>
      </c>
      <c r="C362" t="s">
        <v>37</v>
      </c>
      <c r="D362" t="s">
        <v>38</v>
      </c>
      <c r="E362" s="4">
        <v>16</v>
      </c>
      <c r="F362" s="5">
        <v>1475.84</v>
      </c>
      <c r="G362" s="5" t="s">
        <v>39</v>
      </c>
      <c r="H362" s="5">
        <v>2163.84</v>
      </c>
      <c r="I362" s="5" t="s">
        <v>39</v>
      </c>
      <c r="J362" s="5">
        <v>50.178559999999997</v>
      </c>
      <c r="K362" s="5">
        <f t="shared" si="15"/>
        <v>3.1361599999999998</v>
      </c>
      <c r="L362" s="5">
        <f t="shared" si="16"/>
        <v>92.24</v>
      </c>
      <c r="M362" s="5" t="s">
        <v>39</v>
      </c>
      <c r="N362" s="5">
        <v>50.178559999999997</v>
      </c>
      <c r="O362" s="5" t="s">
        <v>39</v>
      </c>
      <c r="P362" t="s">
        <v>108</v>
      </c>
      <c r="Q362" t="s">
        <v>732</v>
      </c>
      <c r="R362" t="s">
        <v>37</v>
      </c>
      <c r="S362" t="s">
        <v>733</v>
      </c>
      <c r="T362" t="s">
        <v>43</v>
      </c>
      <c r="U362" t="s">
        <v>44</v>
      </c>
      <c r="V362">
        <v>147</v>
      </c>
      <c r="W362" t="s">
        <v>45</v>
      </c>
      <c r="X362" t="s">
        <v>177</v>
      </c>
      <c r="Y362" t="s">
        <v>734</v>
      </c>
      <c r="Z362" t="s">
        <v>37</v>
      </c>
      <c r="AA362" t="s">
        <v>61</v>
      </c>
      <c r="AB362" t="s">
        <v>37</v>
      </c>
      <c r="AC362" s="6" t="s">
        <v>37</v>
      </c>
      <c r="AD362" s="6" t="s">
        <v>37</v>
      </c>
      <c r="AE362" t="s">
        <v>37</v>
      </c>
      <c r="AF362" t="s">
        <v>37</v>
      </c>
      <c r="AG362" s="6" t="s">
        <v>37</v>
      </c>
      <c r="AH362" t="s">
        <v>37</v>
      </c>
      <c r="AI362" t="s">
        <v>37</v>
      </c>
      <c r="AJ362" t="str">
        <f t="shared" si="17"/>
        <v>5HGHPU5OB07W4DHS5B</v>
      </c>
    </row>
    <row r="363" spans="1:36" ht="15" customHeight="1" x14ac:dyDescent="0.25">
      <c r="A363" t="s">
        <v>67</v>
      </c>
      <c r="B363" t="s">
        <v>37</v>
      </c>
      <c r="C363" t="s">
        <v>37</v>
      </c>
      <c r="D363" t="s">
        <v>38</v>
      </c>
      <c r="E363" s="4">
        <v>32</v>
      </c>
      <c r="F363" s="5">
        <v>1484.8</v>
      </c>
      <c r="G363" s="5" t="s">
        <v>39</v>
      </c>
      <c r="H363" s="5">
        <v>2150.4</v>
      </c>
      <c r="I363" s="5" t="s">
        <v>39</v>
      </c>
      <c r="J363" s="5">
        <v>50.483199999999997</v>
      </c>
      <c r="K363" s="5">
        <f t="shared" si="15"/>
        <v>1.5775999999999999</v>
      </c>
      <c r="L363" s="5">
        <f t="shared" si="16"/>
        <v>46.4</v>
      </c>
      <c r="M363" s="5" t="s">
        <v>39</v>
      </c>
      <c r="N363" s="5">
        <v>50.483199999999997</v>
      </c>
      <c r="O363" s="5" t="s">
        <v>39</v>
      </c>
      <c r="P363" t="s">
        <v>108</v>
      </c>
      <c r="Q363" t="s">
        <v>445</v>
      </c>
      <c r="R363" t="s">
        <v>37</v>
      </c>
      <c r="S363" t="s">
        <v>446</v>
      </c>
      <c r="T363" t="s">
        <v>43</v>
      </c>
      <c r="U363" t="s">
        <v>44</v>
      </c>
      <c r="V363">
        <v>147</v>
      </c>
      <c r="W363" t="s">
        <v>45</v>
      </c>
      <c r="X363" t="s">
        <v>53</v>
      </c>
      <c r="Y363" t="s">
        <v>447</v>
      </c>
      <c r="Z363" t="s">
        <v>37</v>
      </c>
      <c r="AA363" t="s">
        <v>61</v>
      </c>
      <c r="AB363" t="s">
        <v>37</v>
      </c>
      <c r="AC363" s="6" t="s">
        <v>37</v>
      </c>
      <c r="AD363" s="6" t="s">
        <v>37</v>
      </c>
      <c r="AE363" t="s">
        <v>37</v>
      </c>
      <c r="AF363" t="s">
        <v>37</v>
      </c>
      <c r="AG363" s="6" t="s">
        <v>37</v>
      </c>
      <c r="AH363" t="s">
        <v>37</v>
      </c>
      <c r="AI363" t="s">
        <v>37</v>
      </c>
      <c r="AJ363" t="str">
        <f t="shared" si="17"/>
        <v>5HGHPU5OB07W6JLFZ7</v>
      </c>
    </row>
    <row r="364" spans="1:36" ht="15" customHeight="1" x14ac:dyDescent="0.25">
      <c r="A364" t="s">
        <v>400</v>
      </c>
      <c r="B364" t="s">
        <v>37</v>
      </c>
      <c r="C364" t="s">
        <v>37</v>
      </c>
      <c r="D364" t="s">
        <v>38</v>
      </c>
      <c r="E364" s="4">
        <v>20</v>
      </c>
      <c r="F364" s="5">
        <v>844</v>
      </c>
      <c r="G364" s="5" t="s">
        <v>39</v>
      </c>
      <c r="H364" s="5">
        <v>1344</v>
      </c>
      <c r="I364" s="5" t="s">
        <v>39</v>
      </c>
      <c r="J364" s="5">
        <v>28.696000000000002</v>
      </c>
      <c r="K364" s="5">
        <f t="shared" si="15"/>
        <v>1.4348000000000001</v>
      </c>
      <c r="L364" s="5">
        <f t="shared" si="16"/>
        <v>42.2</v>
      </c>
      <c r="M364" s="5" t="s">
        <v>39</v>
      </c>
      <c r="N364" s="5">
        <v>28.696000000000002</v>
      </c>
      <c r="O364" s="5" t="s">
        <v>39</v>
      </c>
      <c r="P364" t="s">
        <v>401</v>
      </c>
      <c r="Q364" t="s">
        <v>498</v>
      </c>
      <c r="R364" t="s">
        <v>37</v>
      </c>
      <c r="S364" t="s">
        <v>499</v>
      </c>
      <c r="T364" t="s">
        <v>43</v>
      </c>
      <c r="U364" t="s">
        <v>44</v>
      </c>
      <c r="V364">
        <v>147</v>
      </c>
      <c r="W364" t="s">
        <v>45</v>
      </c>
      <c r="X364" t="s">
        <v>75</v>
      </c>
      <c r="Y364" t="s">
        <v>500</v>
      </c>
      <c r="Z364" t="s">
        <v>37</v>
      </c>
      <c r="AA364" t="s">
        <v>61</v>
      </c>
      <c r="AB364" t="s">
        <v>37</v>
      </c>
      <c r="AC364" s="6" t="s">
        <v>37</v>
      </c>
      <c r="AD364" s="6" t="s">
        <v>37</v>
      </c>
      <c r="AE364" t="s">
        <v>37</v>
      </c>
      <c r="AF364" t="s">
        <v>37</v>
      </c>
      <c r="AG364" s="6" t="s">
        <v>37</v>
      </c>
      <c r="AH364" t="s">
        <v>37</v>
      </c>
      <c r="AI364" t="s">
        <v>37</v>
      </c>
      <c r="AJ364" t="str">
        <f t="shared" si="17"/>
        <v>7PFJO9VPB07W6GVS5C</v>
      </c>
    </row>
    <row r="365" spans="1:36" ht="15" customHeight="1" x14ac:dyDescent="0.25">
      <c r="A365" t="s">
        <v>36</v>
      </c>
      <c r="B365" t="s">
        <v>37</v>
      </c>
      <c r="C365" t="s">
        <v>37</v>
      </c>
      <c r="D365" t="s">
        <v>38</v>
      </c>
      <c r="E365" s="4">
        <v>36</v>
      </c>
      <c r="F365" s="5">
        <v>1264.68</v>
      </c>
      <c r="G365" s="5" t="s">
        <v>39</v>
      </c>
      <c r="H365" s="5">
        <v>1533.96</v>
      </c>
      <c r="I365" s="5" t="s">
        <v>39</v>
      </c>
      <c r="J365" s="5">
        <v>42.999119999999998</v>
      </c>
      <c r="K365" s="5">
        <f t="shared" si="15"/>
        <v>1.19442</v>
      </c>
      <c r="L365" s="5">
        <f t="shared" si="16"/>
        <v>35.130000000000003</v>
      </c>
      <c r="M365" s="5" t="s">
        <v>39</v>
      </c>
      <c r="N365" s="5">
        <v>42.999119999999998</v>
      </c>
      <c r="O365" s="5" t="s">
        <v>39</v>
      </c>
      <c r="P365" t="s">
        <v>89</v>
      </c>
      <c r="Q365" t="s">
        <v>751</v>
      </c>
      <c r="R365" t="s">
        <v>37</v>
      </c>
      <c r="S365" t="s">
        <v>752</v>
      </c>
      <c r="T365" t="s">
        <v>43</v>
      </c>
      <c r="U365" t="s">
        <v>44</v>
      </c>
      <c r="V365">
        <v>147</v>
      </c>
      <c r="W365" t="s">
        <v>45</v>
      </c>
      <c r="X365" t="s">
        <v>75</v>
      </c>
      <c r="Y365" t="s">
        <v>753</v>
      </c>
      <c r="Z365" t="s">
        <v>37</v>
      </c>
      <c r="AA365" t="s">
        <v>61</v>
      </c>
      <c r="AB365" t="s">
        <v>37</v>
      </c>
      <c r="AC365" s="6" t="s">
        <v>37</v>
      </c>
      <c r="AD365" s="6" t="s">
        <v>37</v>
      </c>
      <c r="AE365" t="s">
        <v>37</v>
      </c>
      <c r="AF365" t="s">
        <v>37</v>
      </c>
      <c r="AG365" s="6" t="s">
        <v>37</v>
      </c>
      <c r="AH365" t="s">
        <v>37</v>
      </c>
      <c r="AI365" t="s">
        <v>37</v>
      </c>
      <c r="AJ365" t="str">
        <f t="shared" si="17"/>
        <v>6D1HFTMSB07VCS18BK</v>
      </c>
    </row>
    <row r="366" spans="1:36" ht="15" customHeight="1" x14ac:dyDescent="0.25">
      <c r="A366" t="s">
        <v>36</v>
      </c>
      <c r="B366" t="s">
        <v>37</v>
      </c>
      <c r="C366" t="s">
        <v>37</v>
      </c>
      <c r="D366" t="s">
        <v>38</v>
      </c>
      <c r="E366" s="4">
        <v>10</v>
      </c>
      <c r="F366" s="5">
        <v>146.4</v>
      </c>
      <c r="G366" s="5" t="s">
        <v>39</v>
      </c>
      <c r="H366" s="5">
        <v>213</v>
      </c>
      <c r="I366" s="5" t="s">
        <v>39</v>
      </c>
      <c r="J366" s="5">
        <v>4.9775999999999998</v>
      </c>
      <c r="K366" s="5">
        <f t="shared" si="15"/>
        <v>0.49775999999999998</v>
      </c>
      <c r="L366" s="5">
        <f t="shared" si="16"/>
        <v>14.64</v>
      </c>
      <c r="M366" s="5" t="s">
        <v>39</v>
      </c>
      <c r="N366" s="5">
        <v>4.9775999999999998</v>
      </c>
      <c r="O366" s="5" t="s">
        <v>39</v>
      </c>
      <c r="P366" t="s">
        <v>377</v>
      </c>
      <c r="Q366" t="s">
        <v>754</v>
      </c>
      <c r="R366" t="s">
        <v>37</v>
      </c>
      <c r="S366" t="s">
        <v>755</v>
      </c>
      <c r="T366" t="s">
        <v>43</v>
      </c>
      <c r="U366" t="s">
        <v>44</v>
      </c>
      <c r="V366">
        <v>147</v>
      </c>
      <c r="W366" t="s">
        <v>45</v>
      </c>
      <c r="X366" t="s">
        <v>75</v>
      </c>
      <c r="Y366" t="s">
        <v>756</v>
      </c>
      <c r="Z366" t="s">
        <v>37</v>
      </c>
      <c r="AA366" t="s">
        <v>61</v>
      </c>
      <c r="AB366" t="s">
        <v>37</v>
      </c>
      <c r="AC366" s="6" t="s">
        <v>37</v>
      </c>
      <c r="AD366" s="6" t="s">
        <v>37</v>
      </c>
      <c r="AE366" t="s">
        <v>37</v>
      </c>
      <c r="AF366" t="s">
        <v>37</v>
      </c>
      <c r="AG366" s="6" t="s">
        <v>37</v>
      </c>
      <c r="AH366" t="s">
        <v>37</v>
      </c>
      <c r="AI366" t="s">
        <v>37</v>
      </c>
      <c r="AJ366" t="str">
        <f t="shared" si="17"/>
        <v>5IZH76JAB00ITLJB84</v>
      </c>
    </row>
    <row r="367" spans="1:36" ht="15" customHeight="1" x14ac:dyDescent="0.25">
      <c r="A367" t="s">
        <v>36</v>
      </c>
      <c r="B367" t="s">
        <v>37</v>
      </c>
      <c r="C367" t="s">
        <v>37</v>
      </c>
      <c r="D367" t="s">
        <v>38</v>
      </c>
      <c r="E367" s="4">
        <v>4</v>
      </c>
      <c r="F367" s="5">
        <v>483.32</v>
      </c>
      <c r="G367" s="5" t="s">
        <v>39</v>
      </c>
      <c r="H367" s="5">
        <v>786.84</v>
      </c>
      <c r="I367" s="5" t="s">
        <v>39</v>
      </c>
      <c r="J367" s="5">
        <v>16.432880000000001</v>
      </c>
      <c r="K367" s="5">
        <f t="shared" si="15"/>
        <v>4.1082200000000002</v>
      </c>
      <c r="L367" s="5">
        <f t="shared" si="16"/>
        <v>120.83</v>
      </c>
      <c r="M367" s="5" t="s">
        <v>39</v>
      </c>
      <c r="N367" s="5">
        <v>16.432880000000001</v>
      </c>
      <c r="O367" s="5" t="s">
        <v>39</v>
      </c>
      <c r="P367" t="s">
        <v>89</v>
      </c>
      <c r="Q367" t="s">
        <v>757</v>
      </c>
      <c r="R367" t="s">
        <v>37</v>
      </c>
      <c r="S367" t="s">
        <v>758</v>
      </c>
      <c r="T367" t="s">
        <v>43</v>
      </c>
      <c r="U367" t="s">
        <v>44</v>
      </c>
      <c r="V367">
        <v>147</v>
      </c>
      <c r="W367" t="s">
        <v>45</v>
      </c>
      <c r="X367" t="s">
        <v>75</v>
      </c>
      <c r="Y367" t="s">
        <v>759</v>
      </c>
      <c r="Z367" t="s">
        <v>37</v>
      </c>
      <c r="AA367" t="s">
        <v>760</v>
      </c>
      <c r="AB367" t="s">
        <v>37</v>
      </c>
      <c r="AC367" s="6" t="s">
        <v>37</v>
      </c>
      <c r="AD367" s="6" t="s">
        <v>37</v>
      </c>
      <c r="AE367" t="s">
        <v>37</v>
      </c>
      <c r="AF367" t="s">
        <v>37</v>
      </c>
      <c r="AG367" s="6" t="s">
        <v>37</v>
      </c>
      <c r="AH367" t="s">
        <v>37</v>
      </c>
      <c r="AI367" t="s">
        <v>37</v>
      </c>
      <c r="AJ367" t="str">
        <f t="shared" si="17"/>
        <v>6D1HFTMSB07W5JKB92</v>
      </c>
    </row>
    <row r="368" spans="1:36" ht="15" customHeight="1" x14ac:dyDescent="0.25">
      <c r="A368" t="s">
        <v>420</v>
      </c>
      <c r="B368" t="s">
        <v>37</v>
      </c>
      <c r="C368" t="s">
        <v>37</v>
      </c>
      <c r="D368" t="s">
        <v>38</v>
      </c>
      <c r="E368" s="4">
        <v>0</v>
      </c>
      <c r="F368" s="5">
        <v>0</v>
      </c>
      <c r="G368" s="5" t="s">
        <v>39</v>
      </c>
      <c r="H368" s="5">
        <v>0</v>
      </c>
      <c r="I368" s="5" t="s">
        <v>39</v>
      </c>
      <c r="J368" s="5">
        <v>0</v>
      </c>
      <c r="K368" s="5" t="e">
        <f t="shared" si="15"/>
        <v>#DIV/0!</v>
      </c>
      <c r="L368" s="5" t="e">
        <f t="shared" si="16"/>
        <v>#DIV/0!</v>
      </c>
      <c r="M368" s="5" t="s">
        <v>39</v>
      </c>
      <c r="N368" s="5">
        <v>0</v>
      </c>
      <c r="O368" s="5" t="s">
        <v>39</v>
      </c>
      <c r="P368" t="s">
        <v>473</v>
      </c>
      <c r="Q368" t="s">
        <v>761</v>
      </c>
      <c r="R368" t="s">
        <v>37</v>
      </c>
      <c r="S368" t="s">
        <v>762</v>
      </c>
      <c r="T368" t="s">
        <v>43</v>
      </c>
      <c r="U368" t="s">
        <v>44</v>
      </c>
      <c r="V368">
        <v>147</v>
      </c>
      <c r="W368" t="s">
        <v>45</v>
      </c>
      <c r="X368" t="s">
        <v>53</v>
      </c>
      <c r="Y368" t="s">
        <v>763</v>
      </c>
      <c r="Z368" t="s">
        <v>37</v>
      </c>
      <c r="AA368" t="s">
        <v>61</v>
      </c>
      <c r="AB368" t="s">
        <v>37</v>
      </c>
      <c r="AC368" s="6" t="s">
        <v>37</v>
      </c>
      <c r="AD368" s="6" t="s">
        <v>37</v>
      </c>
      <c r="AE368" t="s">
        <v>37</v>
      </c>
      <c r="AF368" t="s">
        <v>37</v>
      </c>
      <c r="AG368" s="6" t="s">
        <v>37</v>
      </c>
      <c r="AH368" t="s">
        <v>37</v>
      </c>
      <c r="AI368" t="s">
        <v>37</v>
      </c>
      <c r="AJ368" t="str">
        <f t="shared" si="17"/>
        <v>6NU6YJHWB00552K0GM</v>
      </c>
    </row>
    <row r="369" spans="1:36" ht="15" customHeight="1" x14ac:dyDescent="0.25">
      <c r="A369" t="s">
        <v>36</v>
      </c>
      <c r="B369" t="s">
        <v>37</v>
      </c>
      <c r="C369" t="s">
        <v>37</v>
      </c>
      <c r="D369" t="s">
        <v>38</v>
      </c>
      <c r="E369" s="4">
        <v>4</v>
      </c>
      <c r="F369" s="5">
        <v>351.36</v>
      </c>
      <c r="G369" s="5" t="s">
        <v>39</v>
      </c>
      <c r="H369" s="5">
        <v>422.96</v>
      </c>
      <c r="I369" s="5" t="s">
        <v>39</v>
      </c>
      <c r="J369" s="5">
        <v>11.94624</v>
      </c>
      <c r="K369" s="5">
        <f t="shared" si="15"/>
        <v>2.9865599999999999</v>
      </c>
      <c r="L369" s="5">
        <f t="shared" si="16"/>
        <v>87.84</v>
      </c>
      <c r="M369" s="5" t="s">
        <v>39</v>
      </c>
      <c r="N369" s="5">
        <v>11.94624</v>
      </c>
      <c r="O369" s="5" t="s">
        <v>39</v>
      </c>
      <c r="P369" t="s">
        <v>764</v>
      </c>
      <c r="Q369" t="s">
        <v>309</v>
      </c>
      <c r="R369" t="s">
        <v>37</v>
      </c>
      <c r="S369" t="s">
        <v>310</v>
      </c>
      <c r="T369" t="s">
        <v>43</v>
      </c>
      <c r="U369" t="s">
        <v>44</v>
      </c>
      <c r="V369">
        <v>147</v>
      </c>
      <c r="W369" t="s">
        <v>45</v>
      </c>
      <c r="X369" t="s">
        <v>311</v>
      </c>
      <c r="Y369" t="s">
        <v>312</v>
      </c>
      <c r="Z369" t="s">
        <v>37</v>
      </c>
      <c r="AA369" t="s">
        <v>48</v>
      </c>
      <c r="AB369" t="s">
        <v>37</v>
      </c>
      <c r="AC369" s="6" t="s">
        <v>37</v>
      </c>
      <c r="AD369" s="6" t="s">
        <v>37</v>
      </c>
      <c r="AE369" t="s">
        <v>37</v>
      </c>
      <c r="AF369" t="s">
        <v>37</v>
      </c>
      <c r="AG369" s="6" t="s">
        <v>37</v>
      </c>
      <c r="AH369" t="s">
        <v>37</v>
      </c>
      <c r="AI369" t="s">
        <v>37</v>
      </c>
      <c r="AJ369" t="str">
        <f t="shared" si="17"/>
        <v>317BCF6ZB06XH2VSXM</v>
      </c>
    </row>
    <row r="370" spans="1:36" ht="15" customHeight="1" x14ac:dyDescent="0.25">
      <c r="A370" t="s">
        <v>294</v>
      </c>
      <c r="B370" t="s">
        <v>37</v>
      </c>
      <c r="C370" t="s">
        <v>37</v>
      </c>
      <c r="D370" t="s">
        <v>38</v>
      </c>
      <c r="E370" s="4">
        <v>0</v>
      </c>
      <c r="F370" s="5">
        <v>0</v>
      </c>
      <c r="G370" s="5" t="s">
        <v>39</v>
      </c>
      <c r="H370" s="5">
        <v>0</v>
      </c>
      <c r="I370" s="5" t="s">
        <v>39</v>
      </c>
      <c r="J370" s="5">
        <v>0</v>
      </c>
      <c r="K370" s="5" t="e">
        <f t="shared" si="15"/>
        <v>#DIV/0!</v>
      </c>
      <c r="L370" s="5" t="e">
        <f t="shared" si="16"/>
        <v>#DIV/0!</v>
      </c>
      <c r="M370" s="5" t="s">
        <v>39</v>
      </c>
      <c r="N370" s="5">
        <v>0</v>
      </c>
      <c r="O370" s="5" t="s">
        <v>39</v>
      </c>
      <c r="P370" t="s">
        <v>473</v>
      </c>
      <c r="Q370" t="s">
        <v>761</v>
      </c>
      <c r="R370" t="s">
        <v>37</v>
      </c>
      <c r="S370" t="s">
        <v>762</v>
      </c>
      <c r="T370" t="s">
        <v>43</v>
      </c>
      <c r="U370" t="s">
        <v>44</v>
      </c>
      <c r="V370">
        <v>147</v>
      </c>
      <c r="W370" t="s">
        <v>45</v>
      </c>
      <c r="X370" t="s">
        <v>53</v>
      </c>
      <c r="Y370" t="s">
        <v>763</v>
      </c>
      <c r="Z370" t="s">
        <v>37</v>
      </c>
      <c r="AA370" t="s">
        <v>61</v>
      </c>
      <c r="AB370" t="s">
        <v>37</v>
      </c>
      <c r="AC370" s="6" t="s">
        <v>37</v>
      </c>
      <c r="AD370" s="6" t="s">
        <v>37</v>
      </c>
      <c r="AE370" t="s">
        <v>37</v>
      </c>
      <c r="AF370" t="s">
        <v>37</v>
      </c>
      <c r="AG370" s="6" t="s">
        <v>37</v>
      </c>
      <c r="AH370" t="s">
        <v>37</v>
      </c>
      <c r="AI370" t="s">
        <v>37</v>
      </c>
      <c r="AJ370" t="str">
        <f t="shared" si="17"/>
        <v>6NU6YJHWB00552K0GM</v>
      </c>
    </row>
    <row r="371" spans="1:36" ht="15" customHeight="1" x14ac:dyDescent="0.25">
      <c r="A371" t="s">
        <v>67</v>
      </c>
      <c r="B371" t="s">
        <v>37</v>
      </c>
      <c r="C371" t="s">
        <v>37</v>
      </c>
      <c r="D371" t="s">
        <v>38</v>
      </c>
      <c r="E371" s="4">
        <v>8</v>
      </c>
      <c r="F371" s="5">
        <v>140.47999999999999</v>
      </c>
      <c r="G371" s="5" t="s">
        <v>39</v>
      </c>
      <c r="H371" s="5">
        <v>203.2</v>
      </c>
      <c r="I371" s="5" t="s">
        <v>39</v>
      </c>
      <c r="J371" s="5">
        <v>4.7763200000000001</v>
      </c>
      <c r="K371" s="5">
        <f t="shared" si="15"/>
        <v>0.59704000000000002</v>
      </c>
      <c r="L371" s="5">
        <f t="shared" si="16"/>
        <v>17.559999999999999</v>
      </c>
      <c r="M371" s="5" t="s">
        <v>39</v>
      </c>
      <c r="N371" s="5">
        <v>4.7763200000000001</v>
      </c>
      <c r="O371" s="5" t="s">
        <v>39</v>
      </c>
      <c r="P371" t="s">
        <v>108</v>
      </c>
      <c r="Q371" t="s">
        <v>765</v>
      </c>
      <c r="R371" t="s">
        <v>37</v>
      </c>
      <c r="S371" t="s">
        <v>766</v>
      </c>
      <c r="T371" t="s">
        <v>43</v>
      </c>
      <c r="U371" t="s">
        <v>44</v>
      </c>
      <c r="V371">
        <v>147</v>
      </c>
      <c r="W371" t="s">
        <v>45</v>
      </c>
      <c r="X371" t="s">
        <v>75</v>
      </c>
      <c r="Y371" t="s">
        <v>767</v>
      </c>
      <c r="Z371" t="s">
        <v>37</v>
      </c>
      <c r="AA371" t="s">
        <v>145</v>
      </c>
      <c r="AB371" t="s">
        <v>37</v>
      </c>
      <c r="AC371" s="6" t="s">
        <v>37</v>
      </c>
      <c r="AD371" s="6" t="s">
        <v>37</v>
      </c>
      <c r="AE371" t="s">
        <v>37</v>
      </c>
      <c r="AF371" t="s">
        <v>37</v>
      </c>
      <c r="AG371" s="6" t="s">
        <v>37</v>
      </c>
      <c r="AH371" t="s">
        <v>37</v>
      </c>
      <c r="AI371" t="s">
        <v>37</v>
      </c>
      <c r="AJ371" t="str">
        <f t="shared" si="17"/>
        <v>5HGHPU5OB005O8D1J0</v>
      </c>
    </row>
    <row r="372" spans="1:36" ht="15" customHeight="1" x14ac:dyDescent="0.25">
      <c r="A372" t="s">
        <v>67</v>
      </c>
      <c r="B372" t="s">
        <v>37</v>
      </c>
      <c r="C372" t="s">
        <v>37</v>
      </c>
      <c r="D372" t="s">
        <v>38</v>
      </c>
      <c r="E372" s="4">
        <v>6</v>
      </c>
      <c r="F372" s="5">
        <v>471.72</v>
      </c>
      <c r="G372" s="5" t="s">
        <v>39</v>
      </c>
      <c r="H372" s="5">
        <v>762.24</v>
      </c>
      <c r="I372" s="5" t="s">
        <v>39</v>
      </c>
      <c r="J372" s="5">
        <v>16.03848</v>
      </c>
      <c r="K372" s="5">
        <f t="shared" si="15"/>
        <v>2.6730800000000001</v>
      </c>
      <c r="L372" s="5">
        <f t="shared" si="16"/>
        <v>78.62</v>
      </c>
      <c r="M372" s="5" t="s">
        <v>39</v>
      </c>
      <c r="N372" s="5">
        <v>16.03848</v>
      </c>
      <c r="O372" s="5" t="s">
        <v>39</v>
      </c>
      <c r="P372" t="s">
        <v>323</v>
      </c>
      <c r="Q372" t="s">
        <v>671</v>
      </c>
      <c r="R372" t="s">
        <v>37</v>
      </c>
      <c r="S372" t="s">
        <v>672</v>
      </c>
      <c r="T372" t="s">
        <v>43</v>
      </c>
      <c r="U372" t="s">
        <v>44</v>
      </c>
      <c r="V372">
        <v>147</v>
      </c>
      <c r="W372" t="s">
        <v>45</v>
      </c>
      <c r="X372" t="s">
        <v>46</v>
      </c>
      <c r="Y372" t="s">
        <v>673</v>
      </c>
      <c r="Z372" t="s">
        <v>37</v>
      </c>
      <c r="AA372" t="s">
        <v>48</v>
      </c>
      <c r="AB372" t="s">
        <v>37</v>
      </c>
      <c r="AC372" s="6" t="s">
        <v>37</v>
      </c>
      <c r="AD372" s="6" t="s">
        <v>37</v>
      </c>
      <c r="AE372" t="s">
        <v>37</v>
      </c>
      <c r="AF372" t="s">
        <v>37</v>
      </c>
      <c r="AG372" s="6" t="s">
        <v>37</v>
      </c>
      <c r="AH372" t="s">
        <v>37</v>
      </c>
      <c r="AI372" t="s">
        <v>37</v>
      </c>
      <c r="AJ372" t="str">
        <f t="shared" si="17"/>
        <v>11CZAECYB01MQ0N57Q</v>
      </c>
    </row>
    <row r="373" spans="1:36" ht="15" customHeight="1" x14ac:dyDescent="0.25">
      <c r="A373" t="s">
        <v>133</v>
      </c>
      <c r="B373" t="s">
        <v>37</v>
      </c>
      <c r="C373" t="s">
        <v>37</v>
      </c>
      <c r="D373" t="s">
        <v>38</v>
      </c>
      <c r="E373" s="4">
        <v>60</v>
      </c>
      <c r="F373" s="5">
        <v>1405.2</v>
      </c>
      <c r="G373" s="5" t="s">
        <v>39</v>
      </c>
      <c r="H373" s="5">
        <v>2016</v>
      </c>
      <c r="I373" s="5" t="s">
        <v>39</v>
      </c>
      <c r="J373" s="5">
        <v>47.776800000000001</v>
      </c>
      <c r="K373" s="5">
        <f t="shared" si="15"/>
        <v>0.79627999999999999</v>
      </c>
      <c r="L373" s="5">
        <f t="shared" si="16"/>
        <v>23.42</v>
      </c>
      <c r="M373" s="5" t="s">
        <v>39</v>
      </c>
      <c r="N373" s="5">
        <v>47.776800000000001</v>
      </c>
      <c r="O373" s="5" t="s">
        <v>39</v>
      </c>
      <c r="P373" t="s">
        <v>208</v>
      </c>
      <c r="Q373" t="s">
        <v>411</v>
      </c>
      <c r="R373" t="s">
        <v>37</v>
      </c>
      <c r="S373" t="s">
        <v>412</v>
      </c>
      <c r="T373" t="s">
        <v>43</v>
      </c>
      <c r="U373" t="s">
        <v>44</v>
      </c>
      <c r="V373">
        <v>147</v>
      </c>
      <c r="W373" t="s">
        <v>45</v>
      </c>
      <c r="X373" t="s">
        <v>75</v>
      </c>
      <c r="Y373" t="s">
        <v>413</v>
      </c>
      <c r="Z373" t="s">
        <v>37</v>
      </c>
      <c r="AA373" t="s">
        <v>61</v>
      </c>
      <c r="AB373" t="s">
        <v>37</v>
      </c>
      <c r="AC373" s="6" t="s">
        <v>37</v>
      </c>
      <c r="AD373" s="6" t="s">
        <v>37</v>
      </c>
      <c r="AE373" t="s">
        <v>37</v>
      </c>
      <c r="AF373" t="s">
        <v>37</v>
      </c>
      <c r="AG373" s="6" t="s">
        <v>37</v>
      </c>
      <c r="AH373" t="s">
        <v>37</v>
      </c>
      <c r="AI373" t="s">
        <v>37</v>
      </c>
      <c r="AJ373" t="str">
        <f t="shared" si="17"/>
        <v>2WFUPSOGB00BEFY1W8</v>
      </c>
    </row>
    <row r="374" spans="1:36" ht="15" customHeight="1" x14ac:dyDescent="0.25">
      <c r="A374" t="s">
        <v>127</v>
      </c>
      <c r="B374" t="s">
        <v>37</v>
      </c>
      <c r="C374" t="s">
        <v>37</v>
      </c>
      <c r="D374" t="s">
        <v>38</v>
      </c>
      <c r="E374" s="4">
        <v>24</v>
      </c>
      <c r="F374" s="5">
        <v>492</v>
      </c>
      <c r="G374" s="5" t="s">
        <v>39</v>
      </c>
      <c r="H374" s="5">
        <v>708</v>
      </c>
      <c r="I374" s="5" t="s">
        <v>39</v>
      </c>
      <c r="J374" s="5">
        <v>16.728000000000002</v>
      </c>
      <c r="K374" s="5">
        <f t="shared" si="15"/>
        <v>0.69700000000000006</v>
      </c>
      <c r="L374" s="5">
        <f t="shared" si="16"/>
        <v>20.5</v>
      </c>
      <c r="M374" s="5" t="s">
        <v>39</v>
      </c>
      <c r="N374" s="5">
        <v>16.728000000000002</v>
      </c>
      <c r="O374" s="5" t="s">
        <v>39</v>
      </c>
      <c r="P374" t="s">
        <v>208</v>
      </c>
      <c r="Q374" t="s">
        <v>226</v>
      </c>
      <c r="R374" t="s">
        <v>37</v>
      </c>
      <c r="S374" t="s">
        <v>227</v>
      </c>
      <c r="T374" t="s">
        <v>43</v>
      </c>
      <c r="U374" t="s">
        <v>44</v>
      </c>
      <c r="V374">
        <v>147</v>
      </c>
      <c r="W374" t="s">
        <v>45</v>
      </c>
      <c r="X374" t="s">
        <v>75</v>
      </c>
      <c r="Y374" t="s">
        <v>228</v>
      </c>
      <c r="Z374" t="s">
        <v>37</v>
      </c>
      <c r="AA374" t="s">
        <v>48</v>
      </c>
      <c r="AB374" t="s">
        <v>37</v>
      </c>
      <c r="AC374" s="6" t="s">
        <v>37</v>
      </c>
      <c r="AD374" s="6" t="s">
        <v>37</v>
      </c>
      <c r="AE374" t="s">
        <v>37</v>
      </c>
      <c r="AF374" t="s">
        <v>37</v>
      </c>
      <c r="AG374" s="6" t="s">
        <v>37</v>
      </c>
      <c r="AH374" t="s">
        <v>37</v>
      </c>
      <c r="AI374" t="s">
        <v>37</v>
      </c>
      <c r="AJ374" t="str">
        <f t="shared" si="17"/>
        <v>2WFUPSOGB01C47ZFLK</v>
      </c>
    </row>
    <row r="375" spans="1:36" ht="15" customHeight="1" x14ac:dyDescent="0.25">
      <c r="A375" t="s">
        <v>62</v>
      </c>
      <c r="B375" t="s">
        <v>37</v>
      </c>
      <c r="C375" t="s">
        <v>37</v>
      </c>
      <c r="D375" t="s">
        <v>38</v>
      </c>
      <c r="E375" s="4">
        <v>568</v>
      </c>
      <c r="F375" s="5">
        <v>52392.32</v>
      </c>
      <c r="G375" s="5" t="s">
        <v>39</v>
      </c>
      <c r="H375" s="5">
        <v>76816.320000000007</v>
      </c>
      <c r="I375" s="5" t="s">
        <v>39</v>
      </c>
      <c r="J375" s="5">
        <v>1781.33888</v>
      </c>
      <c r="K375" s="5">
        <f t="shared" si="15"/>
        <v>3.1361599999999998</v>
      </c>
      <c r="L375" s="5">
        <f t="shared" si="16"/>
        <v>92.24</v>
      </c>
      <c r="M375" s="5" t="s">
        <v>39</v>
      </c>
      <c r="N375" s="5">
        <v>1781.33888</v>
      </c>
      <c r="O375" s="5" t="s">
        <v>39</v>
      </c>
      <c r="P375" t="s">
        <v>768</v>
      </c>
      <c r="Q375" t="s">
        <v>769</v>
      </c>
      <c r="R375" t="s">
        <v>37</v>
      </c>
      <c r="S375" t="s">
        <v>770</v>
      </c>
      <c r="T375" t="s">
        <v>43</v>
      </c>
      <c r="U375" t="s">
        <v>44</v>
      </c>
      <c r="V375">
        <v>147</v>
      </c>
      <c r="W375" t="s">
        <v>45</v>
      </c>
      <c r="X375" t="s">
        <v>177</v>
      </c>
      <c r="Y375" t="s">
        <v>771</v>
      </c>
      <c r="Z375" t="s">
        <v>37</v>
      </c>
      <c r="AA375" t="s">
        <v>61</v>
      </c>
      <c r="AB375" t="s">
        <v>37</v>
      </c>
      <c r="AC375" s="6" t="s">
        <v>37</v>
      </c>
      <c r="AD375" s="6" t="s">
        <v>37</v>
      </c>
      <c r="AE375" t="s">
        <v>37</v>
      </c>
      <c r="AF375" t="s">
        <v>37</v>
      </c>
      <c r="AG375" s="6" t="s">
        <v>37</v>
      </c>
      <c r="AH375" t="s">
        <v>37</v>
      </c>
      <c r="AI375" t="s">
        <v>37</v>
      </c>
      <c r="AJ375" t="str">
        <f t="shared" si="17"/>
        <v>2RY2IXIWB07W4DHNBF</v>
      </c>
    </row>
    <row r="376" spans="1:36" ht="15" customHeight="1" x14ac:dyDescent="0.25">
      <c r="A376" t="s">
        <v>67</v>
      </c>
      <c r="B376" t="s">
        <v>37</v>
      </c>
      <c r="C376" t="s">
        <v>37</v>
      </c>
      <c r="D376" t="s">
        <v>38</v>
      </c>
      <c r="E376" s="4">
        <v>8</v>
      </c>
      <c r="F376" s="5">
        <v>234.24</v>
      </c>
      <c r="G376" s="5" t="s">
        <v>39</v>
      </c>
      <c r="H376" s="5">
        <v>340.88</v>
      </c>
      <c r="I376" s="5" t="s">
        <v>39</v>
      </c>
      <c r="J376" s="5">
        <v>7.9641599999999997</v>
      </c>
      <c r="K376" s="5">
        <f t="shared" si="15"/>
        <v>0.99551999999999996</v>
      </c>
      <c r="L376" s="5">
        <f t="shared" si="16"/>
        <v>29.28</v>
      </c>
      <c r="M376" s="5" t="s">
        <v>39</v>
      </c>
      <c r="N376" s="5">
        <v>7.9641599999999997</v>
      </c>
      <c r="O376" s="5" t="s">
        <v>39</v>
      </c>
      <c r="P376" t="s">
        <v>108</v>
      </c>
      <c r="Q376" t="s">
        <v>220</v>
      </c>
      <c r="R376" t="s">
        <v>37</v>
      </c>
      <c r="S376" t="s">
        <v>221</v>
      </c>
      <c r="T376" t="s">
        <v>43</v>
      </c>
      <c r="U376" t="s">
        <v>44</v>
      </c>
      <c r="V376">
        <v>147</v>
      </c>
      <c r="W376" t="s">
        <v>45</v>
      </c>
      <c r="X376" t="s">
        <v>75</v>
      </c>
      <c r="Y376" t="s">
        <v>222</v>
      </c>
      <c r="Z376" t="s">
        <v>37</v>
      </c>
      <c r="AA376" t="s">
        <v>48</v>
      </c>
      <c r="AB376" t="s">
        <v>37</v>
      </c>
      <c r="AC376" s="6" t="s">
        <v>37</v>
      </c>
      <c r="AD376" s="6" t="s">
        <v>37</v>
      </c>
      <c r="AE376" t="s">
        <v>37</v>
      </c>
      <c r="AF376" t="s">
        <v>37</v>
      </c>
      <c r="AG376" s="6" t="s">
        <v>37</v>
      </c>
      <c r="AH376" t="s">
        <v>37</v>
      </c>
      <c r="AI376" t="s">
        <v>37</v>
      </c>
      <c r="AJ376" t="str">
        <f t="shared" si="17"/>
        <v>5HGHPU5OB013SL2050</v>
      </c>
    </row>
    <row r="377" spans="1:36" ht="15" customHeight="1" x14ac:dyDescent="0.25">
      <c r="A377" t="s">
        <v>115</v>
      </c>
      <c r="B377" t="s">
        <v>37</v>
      </c>
      <c r="C377" t="s">
        <v>37</v>
      </c>
      <c r="D377" t="s">
        <v>38</v>
      </c>
      <c r="E377" s="4">
        <v>8</v>
      </c>
      <c r="F377" s="5">
        <v>737.92</v>
      </c>
      <c r="G377" s="5" t="s">
        <v>39</v>
      </c>
      <c r="H377" s="5">
        <v>1081.92</v>
      </c>
      <c r="I377" s="5" t="s">
        <v>39</v>
      </c>
      <c r="J377" s="5">
        <v>25.089279999999999</v>
      </c>
      <c r="K377" s="5">
        <f t="shared" si="15"/>
        <v>3.1361599999999998</v>
      </c>
      <c r="L377" s="5">
        <f t="shared" si="16"/>
        <v>92.24</v>
      </c>
      <c r="M377" s="5" t="s">
        <v>39</v>
      </c>
      <c r="N377" s="5">
        <v>25.089279999999999</v>
      </c>
      <c r="O377" s="5" t="s">
        <v>39</v>
      </c>
      <c r="P377" t="s">
        <v>768</v>
      </c>
      <c r="Q377" t="s">
        <v>769</v>
      </c>
      <c r="R377" t="s">
        <v>37</v>
      </c>
      <c r="S377" t="s">
        <v>770</v>
      </c>
      <c r="T377" t="s">
        <v>43</v>
      </c>
      <c r="U377" t="s">
        <v>44</v>
      </c>
      <c r="V377">
        <v>147</v>
      </c>
      <c r="W377" t="s">
        <v>45</v>
      </c>
      <c r="X377" t="s">
        <v>177</v>
      </c>
      <c r="Y377" t="s">
        <v>771</v>
      </c>
      <c r="Z377" t="s">
        <v>37</v>
      </c>
      <c r="AA377" t="s">
        <v>61</v>
      </c>
      <c r="AB377" t="s">
        <v>37</v>
      </c>
      <c r="AC377" s="6" t="s">
        <v>37</v>
      </c>
      <c r="AD377" s="6" t="s">
        <v>37</v>
      </c>
      <c r="AE377" t="s">
        <v>37</v>
      </c>
      <c r="AF377" t="s">
        <v>37</v>
      </c>
      <c r="AG377" s="6" t="s">
        <v>37</v>
      </c>
      <c r="AH377" t="s">
        <v>37</v>
      </c>
      <c r="AI377" t="s">
        <v>37</v>
      </c>
      <c r="AJ377" t="str">
        <f t="shared" si="17"/>
        <v>2RY2IXIWB07W4DHNBF</v>
      </c>
    </row>
    <row r="378" spans="1:36" ht="15" customHeight="1" x14ac:dyDescent="0.25">
      <c r="A378" t="s">
        <v>49</v>
      </c>
      <c r="B378" t="s">
        <v>37</v>
      </c>
      <c r="C378" t="s">
        <v>37</v>
      </c>
      <c r="D378" t="s">
        <v>38</v>
      </c>
      <c r="E378" s="4">
        <v>10</v>
      </c>
      <c r="F378" s="5">
        <v>292.8</v>
      </c>
      <c r="G378" s="5" t="s">
        <v>39</v>
      </c>
      <c r="H378" s="5">
        <v>426.1</v>
      </c>
      <c r="I378" s="5" t="s">
        <v>39</v>
      </c>
      <c r="J378" s="5">
        <v>9.9551999999999996</v>
      </c>
      <c r="K378" s="5">
        <f t="shared" si="15"/>
        <v>0.99551999999999996</v>
      </c>
      <c r="L378" s="5">
        <f t="shared" si="16"/>
        <v>29.28</v>
      </c>
      <c r="M378" s="5" t="s">
        <v>39</v>
      </c>
      <c r="N378" s="5">
        <v>9.9551999999999996</v>
      </c>
      <c r="O378" s="5" t="s">
        <v>39</v>
      </c>
      <c r="P378" t="s">
        <v>772</v>
      </c>
      <c r="Q378" t="s">
        <v>773</v>
      </c>
      <c r="R378" t="s">
        <v>37</v>
      </c>
      <c r="S378" t="s">
        <v>774</v>
      </c>
      <c r="T378" t="s">
        <v>43</v>
      </c>
      <c r="U378" t="s">
        <v>44</v>
      </c>
      <c r="V378">
        <v>147</v>
      </c>
      <c r="W378" t="s">
        <v>45</v>
      </c>
      <c r="X378" t="s">
        <v>53</v>
      </c>
      <c r="Y378" t="s">
        <v>775</v>
      </c>
      <c r="Z378" t="s">
        <v>37</v>
      </c>
      <c r="AA378" t="s">
        <v>61</v>
      </c>
      <c r="AB378" t="s">
        <v>37</v>
      </c>
      <c r="AC378" s="6" t="s">
        <v>37</v>
      </c>
      <c r="AD378" s="6" t="s">
        <v>37</v>
      </c>
      <c r="AE378" t="s">
        <v>37</v>
      </c>
      <c r="AF378" t="s">
        <v>37</v>
      </c>
      <c r="AG378" s="6" t="s">
        <v>37</v>
      </c>
      <c r="AH378" t="s">
        <v>37</v>
      </c>
      <c r="AI378" t="s">
        <v>37</v>
      </c>
      <c r="AJ378" t="str">
        <f t="shared" si="17"/>
        <v>5M9TC4YVB07W4DHT47</v>
      </c>
    </row>
    <row r="379" spans="1:36" ht="15" customHeight="1" x14ac:dyDescent="0.25">
      <c r="A379" t="s">
        <v>127</v>
      </c>
      <c r="B379" t="s">
        <v>37</v>
      </c>
      <c r="C379" t="s">
        <v>37</v>
      </c>
      <c r="D379" t="s">
        <v>38</v>
      </c>
      <c r="E379" s="4">
        <v>9</v>
      </c>
      <c r="F379" s="5">
        <v>2162.4299999999998</v>
      </c>
      <c r="G379" s="5" t="s">
        <v>39</v>
      </c>
      <c r="H379" s="5">
        <v>3312.27</v>
      </c>
      <c r="I379" s="5" t="s">
        <v>39</v>
      </c>
      <c r="J379" s="5">
        <v>73.522620000000003</v>
      </c>
      <c r="K379" s="5">
        <f t="shared" si="15"/>
        <v>8.1691800000000008</v>
      </c>
      <c r="L379" s="5">
        <f t="shared" si="16"/>
        <v>240.26999999999998</v>
      </c>
      <c r="M379" s="5" t="s">
        <v>39</v>
      </c>
      <c r="N379" s="5">
        <v>73.522620000000003</v>
      </c>
      <c r="O379" s="5" t="s">
        <v>39</v>
      </c>
      <c r="P379" t="s">
        <v>776</v>
      </c>
      <c r="Q379" t="s">
        <v>777</v>
      </c>
      <c r="R379" t="s">
        <v>37</v>
      </c>
      <c r="S379" t="s">
        <v>778</v>
      </c>
      <c r="T379" t="s">
        <v>43</v>
      </c>
      <c r="U379" t="s">
        <v>44</v>
      </c>
      <c r="V379">
        <v>23</v>
      </c>
      <c r="W379" t="s">
        <v>58</v>
      </c>
      <c r="X379" t="s">
        <v>59</v>
      </c>
      <c r="Y379" t="s">
        <v>779</v>
      </c>
      <c r="Z379" t="s">
        <v>37</v>
      </c>
      <c r="AA379" t="s">
        <v>145</v>
      </c>
      <c r="AB379" t="s">
        <v>37</v>
      </c>
      <c r="AC379" s="6" t="s">
        <v>37</v>
      </c>
      <c r="AD379" s="6" t="s">
        <v>37</v>
      </c>
      <c r="AE379" t="s">
        <v>37</v>
      </c>
      <c r="AF379" t="s">
        <v>37</v>
      </c>
      <c r="AG379" s="6" t="s">
        <v>37</v>
      </c>
      <c r="AH379" t="s">
        <v>37</v>
      </c>
      <c r="AI379" t="s">
        <v>37</v>
      </c>
      <c r="AJ379" t="str">
        <f t="shared" si="17"/>
        <v>1FY1FUTPB07W5JKB91</v>
      </c>
    </row>
    <row r="380" spans="1:36" ht="15" customHeight="1" x14ac:dyDescent="0.25">
      <c r="A380" t="s">
        <v>67</v>
      </c>
      <c r="B380" t="s">
        <v>37</v>
      </c>
      <c r="C380" t="s">
        <v>37</v>
      </c>
      <c r="D380" t="s">
        <v>38</v>
      </c>
      <c r="E380" s="4">
        <v>4</v>
      </c>
      <c r="F380" s="5">
        <v>329.24</v>
      </c>
      <c r="G380" s="5" t="s">
        <v>39</v>
      </c>
      <c r="H380" s="5">
        <v>390.16</v>
      </c>
      <c r="I380" s="5" t="s">
        <v>39</v>
      </c>
      <c r="J380" s="5">
        <v>11.19416</v>
      </c>
      <c r="K380" s="5">
        <f t="shared" si="15"/>
        <v>2.79854</v>
      </c>
      <c r="L380" s="5">
        <f t="shared" si="16"/>
        <v>82.31</v>
      </c>
      <c r="M380" s="5" t="s">
        <v>39</v>
      </c>
      <c r="N380" s="5">
        <v>11.19416</v>
      </c>
      <c r="O380" s="5" t="s">
        <v>39</v>
      </c>
      <c r="P380" t="s">
        <v>108</v>
      </c>
      <c r="Q380" t="s">
        <v>780</v>
      </c>
      <c r="R380" t="s">
        <v>37</v>
      </c>
      <c r="S380" t="s">
        <v>781</v>
      </c>
      <c r="T380" t="s">
        <v>43</v>
      </c>
      <c r="U380" t="s">
        <v>44</v>
      </c>
      <c r="V380">
        <v>147</v>
      </c>
      <c r="W380" t="s">
        <v>782</v>
      </c>
      <c r="X380" t="s">
        <v>783</v>
      </c>
      <c r="Y380" t="s">
        <v>784</v>
      </c>
      <c r="Z380" t="s">
        <v>37</v>
      </c>
      <c r="AA380" t="s">
        <v>61</v>
      </c>
      <c r="AB380" t="s">
        <v>37</v>
      </c>
      <c r="AC380" s="6" t="s">
        <v>37</v>
      </c>
      <c r="AD380" s="6" t="s">
        <v>37</v>
      </c>
      <c r="AE380" t="s">
        <v>37</v>
      </c>
      <c r="AF380" t="s">
        <v>37</v>
      </c>
      <c r="AG380" s="6" t="s">
        <v>37</v>
      </c>
      <c r="AH380" t="s">
        <v>37</v>
      </c>
      <c r="AI380" t="s">
        <v>37</v>
      </c>
      <c r="AJ380" t="str">
        <f t="shared" si="17"/>
        <v>5HGHPU5OB07W5JKFQF</v>
      </c>
    </row>
    <row r="381" spans="1:36" ht="15" customHeight="1" x14ac:dyDescent="0.25">
      <c r="A381" t="s">
        <v>102</v>
      </c>
      <c r="B381" t="s">
        <v>37</v>
      </c>
      <c r="C381" t="s">
        <v>37</v>
      </c>
      <c r="D381" t="s">
        <v>38</v>
      </c>
      <c r="E381" s="4">
        <v>12</v>
      </c>
      <c r="F381" s="5">
        <v>1385.28</v>
      </c>
      <c r="G381" s="5" t="s">
        <v>39</v>
      </c>
      <c r="H381" s="5">
        <v>1760.64</v>
      </c>
      <c r="I381" s="5" t="s">
        <v>39</v>
      </c>
      <c r="J381" s="5">
        <v>47.099519999999998</v>
      </c>
      <c r="K381" s="5">
        <f t="shared" si="15"/>
        <v>3.92496</v>
      </c>
      <c r="L381" s="5">
        <f t="shared" si="16"/>
        <v>115.44</v>
      </c>
      <c r="M381" s="5" t="s">
        <v>39</v>
      </c>
      <c r="N381" s="5">
        <v>47.099519999999998</v>
      </c>
      <c r="O381" s="5" t="s">
        <v>39</v>
      </c>
      <c r="P381" t="s">
        <v>377</v>
      </c>
      <c r="Q381" t="s">
        <v>439</v>
      </c>
      <c r="R381" t="s">
        <v>37</v>
      </c>
      <c r="S381" t="s">
        <v>440</v>
      </c>
      <c r="T381" t="s">
        <v>43</v>
      </c>
      <c r="U381" t="s">
        <v>44</v>
      </c>
      <c r="V381">
        <v>147</v>
      </c>
      <c r="W381" t="s">
        <v>45</v>
      </c>
      <c r="X381" t="s">
        <v>248</v>
      </c>
      <c r="Y381" t="s">
        <v>441</v>
      </c>
      <c r="Z381" t="s">
        <v>37</v>
      </c>
      <c r="AA381" t="s">
        <v>145</v>
      </c>
      <c r="AB381" t="s">
        <v>37</v>
      </c>
      <c r="AC381" s="6" t="s">
        <v>37</v>
      </c>
      <c r="AD381" s="6" t="s">
        <v>37</v>
      </c>
      <c r="AE381" t="s">
        <v>37</v>
      </c>
      <c r="AF381" t="s">
        <v>37</v>
      </c>
      <c r="AG381" s="6" t="s">
        <v>37</v>
      </c>
      <c r="AH381" t="s">
        <v>37</v>
      </c>
      <c r="AI381" t="s">
        <v>37</v>
      </c>
      <c r="AJ381" t="str">
        <f t="shared" si="17"/>
        <v>5IZH76JAB003UPJXIC</v>
      </c>
    </row>
    <row r="382" spans="1:36" ht="15" customHeight="1" x14ac:dyDescent="0.25">
      <c r="A382" t="s">
        <v>133</v>
      </c>
      <c r="B382" t="s">
        <v>37</v>
      </c>
      <c r="C382" t="s">
        <v>37</v>
      </c>
      <c r="D382" t="s">
        <v>38</v>
      </c>
      <c r="E382" s="4">
        <v>48</v>
      </c>
      <c r="F382" s="5">
        <v>2227.1999999999998</v>
      </c>
      <c r="G382" s="5" t="s">
        <v>39</v>
      </c>
      <c r="H382" s="5">
        <v>3225.6</v>
      </c>
      <c r="I382" s="5" t="s">
        <v>39</v>
      </c>
      <c r="J382" s="5">
        <v>75.724800000000002</v>
      </c>
      <c r="K382" s="5">
        <f t="shared" si="15"/>
        <v>1.5776000000000001</v>
      </c>
      <c r="L382" s="5">
        <f t="shared" si="16"/>
        <v>46.4</v>
      </c>
      <c r="M382" s="5" t="s">
        <v>39</v>
      </c>
      <c r="N382" s="5">
        <v>75.724800000000002</v>
      </c>
      <c r="O382" s="5" t="s">
        <v>39</v>
      </c>
      <c r="P382" t="s">
        <v>189</v>
      </c>
      <c r="Q382" t="s">
        <v>680</v>
      </c>
      <c r="R382" t="s">
        <v>37</v>
      </c>
      <c r="S382" t="s">
        <v>681</v>
      </c>
      <c r="T382" t="s">
        <v>43</v>
      </c>
      <c r="U382" t="s">
        <v>44</v>
      </c>
      <c r="V382">
        <v>147</v>
      </c>
      <c r="W382" t="s">
        <v>45</v>
      </c>
      <c r="X382" t="s">
        <v>53</v>
      </c>
      <c r="Y382" t="s">
        <v>682</v>
      </c>
      <c r="Z382" t="s">
        <v>37</v>
      </c>
      <c r="AA382" t="s">
        <v>61</v>
      </c>
      <c r="AB382" t="s">
        <v>37</v>
      </c>
      <c r="AC382" s="6" t="s">
        <v>37</v>
      </c>
      <c r="AD382" s="6" t="s">
        <v>37</v>
      </c>
      <c r="AE382" t="s">
        <v>37</v>
      </c>
      <c r="AF382" t="s">
        <v>37</v>
      </c>
      <c r="AG382" s="6" t="s">
        <v>37</v>
      </c>
      <c r="AH382" t="s">
        <v>37</v>
      </c>
      <c r="AI382" t="s">
        <v>37</v>
      </c>
      <c r="AJ382" t="str">
        <f t="shared" si="17"/>
        <v>6DPU2MKPB07W8P4PDD</v>
      </c>
    </row>
    <row r="383" spans="1:36" ht="15" customHeight="1" x14ac:dyDescent="0.25">
      <c r="A383" t="s">
        <v>127</v>
      </c>
      <c r="B383" t="s">
        <v>37</v>
      </c>
      <c r="C383" t="s">
        <v>37</v>
      </c>
      <c r="D383" t="s">
        <v>38</v>
      </c>
      <c r="E383" s="4">
        <v>4</v>
      </c>
      <c r="F383" s="5">
        <v>525.52</v>
      </c>
      <c r="G383" s="5" t="s">
        <v>39</v>
      </c>
      <c r="H383" s="5">
        <v>849.16</v>
      </c>
      <c r="I383" s="5" t="s">
        <v>39</v>
      </c>
      <c r="J383" s="5">
        <v>17.86768</v>
      </c>
      <c r="K383" s="5">
        <f t="shared" si="15"/>
        <v>4.46692</v>
      </c>
      <c r="L383" s="5">
        <f t="shared" si="16"/>
        <v>131.38</v>
      </c>
      <c r="M383" s="5" t="s">
        <v>39</v>
      </c>
      <c r="N383" s="5">
        <v>17.86768</v>
      </c>
      <c r="O383" s="5" t="s">
        <v>39</v>
      </c>
      <c r="P383" t="s">
        <v>208</v>
      </c>
      <c r="Q383" t="s">
        <v>462</v>
      </c>
      <c r="R383" t="s">
        <v>37</v>
      </c>
      <c r="S383" t="s">
        <v>463</v>
      </c>
      <c r="T383" t="s">
        <v>43</v>
      </c>
      <c r="U383" t="s">
        <v>44</v>
      </c>
      <c r="V383">
        <v>147</v>
      </c>
      <c r="W383" t="s">
        <v>45</v>
      </c>
      <c r="X383" t="s">
        <v>75</v>
      </c>
      <c r="Y383" t="s">
        <v>464</v>
      </c>
      <c r="Z383" t="s">
        <v>37</v>
      </c>
      <c r="AA383" t="s">
        <v>145</v>
      </c>
      <c r="AB383" t="s">
        <v>37</v>
      </c>
      <c r="AC383" s="6" t="s">
        <v>37</v>
      </c>
      <c r="AD383" s="6" t="s">
        <v>37</v>
      </c>
      <c r="AE383" t="s">
        <v>37</v>
      </c>
      <c r="AF383" t="s">
        <v>37</v>
      </c>
      <c r="AG383" s="6" t="s">
        <v>37</v>
      </c>
      <c r="AH383" t="s">
        <v>37</v>
      </c>
      <c r="AI383" t="s">
        <v>37</v>
      </c>
      <c r="AJ383" t="str">
        <f t="shared" si="17"/>
        <v>2WFUPSOGB07VTTBDSV</v>
      </c>
    </row>
    <row r="384" spans="1:36" ht="15" customHeight="1" x14ac:dyDescent="0.25">
      <c r="A384" t="s">
        <v>133</v>
      </c>
      <c r="B384" t="s">
        <v>37</v>
      </c>
      <c r="C384" t="s">
        <v>37</v>
      </c>
      <c r="D384" t="s">
        <v>38</v>
      </c>
      <c r="E384" s="4">
        <v>8</v>
      </c>
      <c r="F384" s="5">
        <v>281.04000000000002</v>
      </c>
      <c r="G384" s="5" t="s">
        <v>39</v>
      </c>
      <c r="H384" s="5">
        <v>406.48</v>
      </c>
      <c r="I384" s="5" t="s">
        <v>39</v>
      </c>
      <c r="J384" s="5">
        <v>9.5553600000000003</v>
      </c>
      <c r="K384" s="5">
        <f t="shared" si="15"/>
        <v>1.19442</v>
      </c>
      <c r="L384" s="5">
        <f t="shared" si="16"/>
        <v>35.130000000000003</v>
      </c>
      <c r="M384" s="5" t="s">
        <v>39</v>
      </c>
      <c r="N384" s="5">
        <v>9.5553600000000003</v>
      </c>
      <c r="O384" s="5" t="s">
        <v>39</v>
      </c>
      <c r="P384" t="s">
        <v>189</v>
      </c>
      <c r="Q384" t="s">
        <v>696</v>
      </c>
      <c r="R384" t="s">
        <v>37</v>
      </c>
      <c r="S384" t="s">
        <v>697</v>
      </c>
      <c r="T384" t="s">
        <v>43</v>
      </c>
      <c r="U384" t="s">
        <v>44</v>
      </c>
      <c r="V384">
        <v>147</v>
      </c>
      <c r="W384" t="s">
        <v>45</v>
      </c>
      <c r="X384" t="s">
        <v>75</v>
      </c>
      <c r="Y384" t="s">
        <v>698</v>
      </c>
      <c r="Z384" t="s">
        <v>37</v>
      </c>
      <c r="AA384" t="s">
        <v>61</v>
      </c>
      <c r="AB384" t="s">
        <v>37</v>
      </c>
      <c r="AC384" s="6" t="s">
        <v>37</v>
      </c>
      <c r="AD384" s="6" t="s">
        <v>37</v>
      </c>
      <c r="AE384" t="s">
        <v>37</v>
      </c>
      <c r="AF384" t="s">
        <v>37</v>
      </c>
      <c r="AG384" s="6" t="s">
        <v>37</v>
      </c>
      <c r="AH384" t="s">
        <v>37</v>
      </c>
      <c r="AI384" t="s">
        <v>37</v>
      </c>
      <c r="AJ384" t="str">
        <f t="shared" si="17"/>
        <v>6DPU2MKPB07VL9YHC9</v>
      </c>
    </row>
    <row r="385" spans="1:36" ht="15" customHeight="1" x14ac:dyDescent="0.25">
      <c r="A385" t="s">
        <v>36</v>
      </c>
      <c r="B385" t="s">
        <v>37</v>
      </c>
      <c r="C385" t="s">
        <v>37</v>
      </c>
      <c r="D385" t="s">
        <v>38</v>
      </c>
      <c r="E385" s="4">
        <v>6</v>
      </c>
      <c r="F385" s="5">
        <v>399.96</v>
      </c>
      <c r="G385" s="5" t="s">
        <v>39</v>
      </c>
      <c r="H385" s="5">
        <v>511.44</v>
      </c>
      <c r="I385" s="5" t="s">
        <v>39</v>
      </c>
      <c r="J385" s="5">
        <v>13.59864</v>
      </c>
      <c r="K385" s="5">
        <f t="shared" si="15"/>
        <v>2.2664399999999998</v>
      </c>
      <c r="L385" s="5">
        <f t="shared" si="16"/>
        <v>66.66</v>
      </c>
      <c r="M385" s="5" t="s">
        <v>39</v>
      </c>
      <c r="N385" s="5">
        <v>13.59864</v>
      </c>
      <c r="O385" s="5" t="s">
        <v>39</v>
      </c>
      <c r="P385" t="s">
        <v>40</v>
      </c>
      <c r="Q385" t="s">
        <v>785</v>
      </c>
      <c r="R385" t="s">
        <v>37</v>
      </c>
      <c r="S385" t="s">
        <v>786</v>
      </c>
      <c r="T385" t="s">
        <v>43</v>
      </c>
      <c r="U385" t="s">
        <v>44</v>
      </c>
      <c r="V385">
        <v>147</v>
      </c>
      <c r="W385" t="s">
        <v>45</v>
      </c>
      <c r="X385" t="s">
        <v>53</v>
      </c>
      <c r="Y385" t="s">
        <v>787</v>
      </c>
      <c r="Z385" t="s">
        <v>37</v>
      </c>
      <c r="AA385" t="s">
        <v>61</v>
      </c>
      <c r="AB385" t="s">
        <v>37</v>
      </c>
      <c r="AC385" s="6" t="s">
        <v>37</v>
      </c>
      <c r="AD385" s="6" t="s">
        <v>37</v>
      </c>
      <c r="AE385" t="s">
        <v>37</v>
      </c>
      <c r="AF385" t="s">
        <v>37</v>
      </c>
      <c r="AG385" s="6" t="s">
        <v>37</v>
      </c>
      <c r="AH385" t="s">
        <v>37</v>
      </c>
      <c r="AI385" t="s">
        <v>37</v>
      </c>
      <c r="AJ385" t="str">
        <f t="shared" si="17"/>
        <v>8IC45Q9KB071ZFMC9Q</v>
      </c>
    </row>
    <row r="386" spans="1:36" ht="15" customHeight="1" x14ac:dyDescent="0.25">
      <c r="A386" t="s">
        <v>400</v>
      </c>
      <c r="B386" t="s">
        <v>37</v>
      </c>
      <c r="C386" t="s">
        <v>37</v>
      </c>
      <c r="D386" t="s">
        <v>38</v>
      </c>
      <c r="E386" s="4">
        <v>261</v>
      </c>
      <c r="F386" s="5">
        <v>54945.72</v>
      </c>
      <c r="G386" s="5" t="s">
        <v>39</v>
      </c>
      <c r="H386" s="5">
        <v>87711.66</v>
      </c>
      <c r="I386" s="5" t="s">
        <v>39</v>
      </c>
      <c r="J386" s="5">
        <v>1868.1544799999999</v>
      </c>
      <c r="K386" s="5">
        <f t="shared" si="15"/>
        <v>7.15768</v>
      </c>
      <c r="L386" s="5">
        <f t="shared" si="16"/>
        <v>210.52</v>
      </c>
      <c r="M386" s="5" t="s">
        <v>39</v>
      </c>
      <c r="N386" s="5">
        <v>1868.1544799999999</v>
      </c>
      <c r="O386" s="5" t="s">
        <v>39</v>
      </c>
      <c r="P386" t="s">
        <v>401</v>
      </c>
      <c r="Q386" t="s">
        <v>216</v>
      </c>
      <c r="R386" t="s">
        <v>37</v>
      </c>
      <c r="S386" t="s">
        <v>217</v>
      </c>
      <c r="T386" t="s">
        <v>43</v>
      </c>
      <c r="U386" t="s">
        <v>44</v>
      </c>
      <c r="V386">
        <v>147</v>
      </c>
      <c r="W386" t="s">
        <v>45</v>
      </c>
      <c r="X386" t="s">
        <v>46</v>
      </c>
      <c r="Y386" t="s">
        <v>218</v>
      </c>
      <c r="Z386" t="s">
        <v>37</v>
      </c>
      <c r="AA386" t="s">
        <v>61</v>
      </c>
      <c r="AB386" t="s">
        <v>37</v>
      </c>
      <c r="AC386" s="6" t="s">
        <v>37</v>
      </c>
      <c r="AD386" s="6" t="s">
        <v>37</v>
      </c>
      <c r="AE386" t="s">
        <v>37</v>
      </c>
      <c r="AF386" t="s">
        <v>37</v>
      </c>
      <c r="AG386" s="6" t="s">
        <v>37</v>
      </c>
      <c r="AH386" t="s">
        <v>37</v>
      </c>
      <c r="AI386" t="s">
        <v>37</v>
      </c>
      <c r="AJ386" t="str">
        <f t="shared" si="17"/>
        <v>7PFJO9VPB00YUIM2J0</v>
      </c>
    </row>
    <row r="387" spans="1:36" ht="15" customHeight="1" x14ac:dyDescent="0.25">
      <c r="A387" t="s">
        <v>67</v>
      </c>
      <c r="B387" t="s">
        <v>37</v>
      </c>
      <c r="C387" t="s">
        <v>37</v>
      </c>
      <c r="D387" t="s">
        <v>38</v>
      </c>
      <c r="E387" s="4">
        <v>20</v>
      </c>
      <c r="F387" s="5">
        <v>292.8</v>
      </c>
      <c r="G387" s="5" t="s">
        <v>39</v>
      </c>
      <c r="H387" s="5">
        <v>426</v>
      </c>
      <c r="I387" s="5" t="s">
        <v>39</v>
      </c>
      <c r="J387" s="5">
        <v>9.9551999999999996</v>
      </c>
      <c r="K387" s="5">
        <f t="shared" ref="K387:K450" si="18">J387/E387</f>
        <v>0.49775999999999998</v>
      </c>
      <c r="L387" s="5">
        <f t="shared" ref="L387:L450" si="19">F387/E387</f>
        <v>14.64</v>
      </c>
      <c r="M387" s="5" t="s">
        <v>39</v>
      </c>
      <c r="N387" s="5">
        <v>9.9551999999999996</v>
      </c>
      <c r="O387" s="5" t="s">
        <v>39</v>
      </c>
      <c r="P387" t="s">
        <v>89</v>
      </c>
      <c r="Q387" t="s">
        <v>788</v>
      </c>
      <c r="R387" t="s">
        <v>37</v>
      </c>
      <c r="S387" t="s">
        <v>789</v>
      </c>
      <c r="T387" t="s">
        <v>43</v>
      </c>
      <c r="U387" t="s">
        <v>44</v>
      </c>
      <c r="V387">
        <v>147</v>
      </c>
      <c r="W387" t="s">
        <v>45</v>
      </c>
      <c r="X387" t="s">
        <v>53</v>
      </c>
      <c r="Y387" t="s">
        <v>790</v>
      </c>
      <c r="Z387" t="s">
        <v>37</v>
      </c>
      <c r="AA387" t="s">
        <v>48</v>
      </c>
      <c r="AB387" t="s">
        <v>37</v>
      </c>
      <c r="AC387" s="6" t="s">
        <v>37</v>
      </c>
      <c r="AD387" s="6" t="s">
        <v>37</v>
      </c>
      <c r="AE387" t="s">
        <v>37</v>
      </c>
      <c r="AF387" t="s">
        <v>37</v>
      </c>
      <c r="AG387" s="6" t="s">
        <v>37</v>
      </c>
      <c r="AH387" t="s">
        <v>37</v>
      </c>
      <c r="AI387" t="s">
        <v>37</v>
      </c>
      <c r="AJ387" t="str">
        <f t="shared" ref="AJ387:AJ450" si="20">P387&amp;Q387</f>
        <v>6D1HFTMSB01K7GEFWK</v>
      </c>
    </row>
    <row r="388" spans="1:36" ht="15" customHeight="1" x14ac:dyDescent="0.25">
      <c r="A388" t="s">
        <v>127</v>
      </c>
      <c r="B388" t="s">
        <v>37</v>
      </c>
      <c r="C388" t="s">
        <v>37</v>
      </c>
      <c r="D388" t="s">
        <v>38</v>
      </c>
      <c r="E388" s="4">
        <v>4</v>
      </c>
      <c r="F388" s="5">
        <v>420</v>
      </c>
      <c r="G388" s="5" t="s">
        <v>39</v>
      </c>
      <c r="H388" s="5">
        <v>655.72</v>
      </c>
      <c r="I388" s="5" t="s">
        <v>39</v>
      </c>
      <c r="J388" s="5">
        <v>14.28</v>
      </c>
      <c r="K388" s="5">
        <f t="shared" si="18"/>
        <v>3.57</v>
      </c>
      <c r="L388" s="5">
        <f t="shared" si="19"/>
        <v>105</v>
      </c>
      <c r="M388" s="5" t="s">
        <v>39</v>
      </c>
      <c r="N388" s="5">
        <v>14.28</v>
      </c>
      <c r="O388" s="5" t="s">
        <v>39</v>
      </c>
      <c r="P388" t="s">
        <v>250</v>
      </c>
      <c r="Q388" t="s">
        <v>791</v>
      </c>
      <c r="R388" t="s">
        <v>37</v>
      </c>
      <c r="S388" t="s">
        <v>792</v>
      </c>
      <c r="T388" t="s">
        <v>43</v>
      </c>
      <c r="U388" t="s">
        <v>44</v>
      </c>
      <c r="V388">
        <v>147</v>
      </c>
      <c r="W388" t="s">
        <v>45</v>
      </c>
      <c r="X388" t="s">
        <v>75</v>
      </c>
      <c r="Y388" t="s">
        <v>793</v>
      </c>
      <c r="Z388" t="s">
        <v>37</v>
      </c>
      <c r="AA388" t="s">
        <v>61</v>
      </c>
      <c r="AB388" t="s">
        <v>37</v>
      </c>
      <c r="AC388" s="6" t="s">
        <v>37</v>
      </c>
      <c r="AD388" s="6" t="s">
        <v>37</v>
      </c>
      <c r="AE388" t="s">
        <v>37</v>
      </c>
      <c r="AF388" t="s">
        <v>37</v>
      </c>
      <c r="AG388" s="6" t="s">
        <v>37</v>
      </c>
      <c r="AH388" t="s">
        <v>37</v>
      </c>
      <c r="AI388" t="s">
        <v>37</v>
      </c>
      <c r="AJ388" t="str">
        <f t="shared" si="20"/>
        <v>3O2Z95HBB07VWFKTK7</v>
      </c>
    </row>
    <row r="389" spans="1:36" ht="15" customHeight="1" x14ac:dyDescent="0.25">
      <c r="A389" t="s">
        <v>67</v>
      </c>
      <c r="B389" t="s">
        <v>37</v>
      </c>
      <c r="C389" t="s">
        <v>37</v>
      </c>
      <c r="D389" t="s">
        <v>38</v>
      </c>
      <c r="E389" s="4">
        <v>16</v>
      </c>
      <c r="F389" s="5">
        <v>1257.92</v>
      </c>
      <c r="G389" s="5" t="s">
        <v>39</v>
      </c>
      <c r="H389" s="5">
        <v>2032.64</v>
      </c>
      <c r="I389" s="5" t="s">
        <v>39</v>
      </c>
      <c r="J389" s="5">
        <v>42.769280000000002</v>
      </c>
      <c r="K389" s="5">
        <f t="shared" si="18"/>
        <v>2.6730800000000001</v>
      </c>
      <c r="L389" s="5">
        <f t="shared" si="19"/>
        <v>78.62</v>
      </c>
      <c r="M389" s="5" t="s">
        <v>39</v>
      </c>
      <c r="N389" s="5">
        <v>42.769280000000002</v>
      </c>
      <c r="O389" s="5" t="s">
        <v>39</v>
      </c>
      <c r="P389" t="s">
        <v>63</v>
      </c>
      <c r="Q389" t="s">
        <v>745</v>
      </c>
      <c r="R389" t="s">
        <v>37</v>
      </c>
      <c r="S389" t="s">
        <v>746</v>
      </c>
      <c r="T389" t="s">
        <v>43</v>
      </c>
      <c r="U389" t="s">
        <v>44</v>
      </c>
      <c r="V389">
        <v>147</v>
      </c>
      <c r="W389" t="s">
        <v>45</v>
      </c>
      <c r="X389" t="s">
        <v>46</v>
      </c>
      <c r="Y389" t="s">
        <v>747</v>
      </c>
      <c r="Z389" t="s">
        <v>37</v>
      </c>
      <c r="AA389" t="s">
        <v>48</v>
      </c>
      <c r="AB389" t="s">
        <v>37</v>
      </c>
      <c r="AC389" s="6" t="s">
        <v>37</v>
      </c>
      <c r="AD389" s="6" t="s">
        <v>37</v>
      </c>
      <c r="AE389" t="s">
        <v>37</v>
      </c>
      <c r="AF389" t="s">
        <v>37</v>
      </c>
      <c r="AG389" s="6" t="s">
        <v>37</v>
      </c>
      <c r="AH389" t="s">
        <v>37</v>
      </c>
      <c r="AI389" t="s">
        <v>37</v>
      </c>
      <c r="AJ389" t="str">
        <f t="shared" si="20"/>
        <v>3AWPOPBJB01M3TTXMY</v>
      </c>
    </row>
    <row r="390" spans="1:36" ht="15" customHeight="1" x14ac:dyDescent="0.25">
      <c r="A390" t="s">
        <v>36</v>
      </c>
      <c r="B390" t="s">
        <v>37</v>
      </c>
      <c r="C390" t="s">
        <v>37</v>
      </c>
      <c r="D390" t="s">
        <v>38</v>
      </c>
      <c r="E390" s="4">
        <v>52</v>
      </c>
      <c r="F390" s="5">
        <v>2412.8000000000002</v>
      </c>
      <c r="G390" s="5" t="s">
        <v>39</v>
      </c>
      <c r="H390" s="5">
        <v>3494.4</v>
      </c>
      <c r="I390" s="5" t="s">
        <v>39</v>
      </c>
      <c r="J390" s="5">
        <v>82.035200000000003</v>
      </c>
      <c r="K390" s="5">
        <f t="shared" si="18"/>
        <v>1.5776000000000001</v>
      </c>
      <c r="L390" s="5">
        <f t="shared" si="19"/>
        <v>46.400000000000006</v>
      </c>
      <c r="M390" s="5" t="s">
        <v>39</v>
      </c>
      <c r="N390" s="5">
        <v>82.035200000000003</v>
      </c>
      <c r="O390" s="5" t="s">
        <v>39</v>
      </c>
      <c r="P390" t="s">
        <v>159</v>
      </c>
      <c r="Q390" t="s">
        <v>179</v>
      </c>
      <c r="R390" t="s">
        <v>37</v>
      </c>
      <c r="S390" t="s">
        <v>180</v>
      </c>
      <c r="T390" t="s">
        <v>43</v>
      </c>
      <c r="U390" t="s">
        <v>44</v>
      </c>
      <c r="V390">
        <v>147</v>
      </c>
      <c r="W390" t="s">
        <v>45</v>
      </c>
      <c r="X390" t="s">
        <v>53</v>
      </c>
      <c r="Y390" t="s">
        <v>181</v>
      </c>
      <c r="Z390" t="s">
        <v>37</v>
      </c>
      <c r="AA390" t="s">
        <v>61</v>
      </c>
      <c r="AB390" t="s">
        <v>37</v>
      </c>
      <c r="AC390" s="6" t="s">
        <v>37</v>
      </c>
      <c r="AD390" s="6" t="s">
        <v>37</v>
      </c>
      <c r="AE390" t="s">
        <v>37</v>
      </c>
      <c r="AF390" t="s">
        <v>37</v>
      </c>
      <c r="AG390" s="6" t="s">
        <v>37</v>
      </c>
      <c r="AH390" t="s">
        <v>37</v>
      </c>
      <c r="AI390" t="s">
        <v>37</v>
      </c>
      <c r="AJ390" t="str">
        <f t="shared" si="20"/>
        <v>84Q57SSPB07W4DGC27</v>
      </c>
    </row>
    <row r="391" spans="1:36" ht="15" customHeight="1" x14ac:dyDescent="0.25">
      <c r="A391" t="s">
        <v>67</v>
      </c>
      <c r="B391" t="s">
        <v>37</v>
      </c>
      <c r="C391" t="s">
        <v>37</v>
      </c>
      <c r="D391" t="s">
        <v>38</v>
      </c>
      <c r="E391" s="4">
        <v>1</v>
      </c>
      <c r="F391" s="5">
        <v>240.27</v>
      </c>
      <c r="G391" s="5" t="s">
        <v>39</v>
      </c>
      <c r="H391" s="5">
        <v>368.03</v>
      </c>
      <c r="I391" s="5" t="s">
        <v>39</v>
      </c>
      <c r="J391" s="5">
        <v>8.1691800000000008</v>
      </c>
      <c r="K391" s="5">
        <f t="shared" si="18"/>
        <v>8.1691800000000008</v>
      </c>
      <c r="L391" s="5">
        <f t="shared" si="19"/>
        <v>240.27</v>
      </c>
      <c r="M391" s="5" t="s">
        <v>39</v>
      </c>
      <c r="N391" s="5">
        <v>8.1691800000000008</v>
      </c>
      <c r="O391" s="5" t="s">
        <v>39</v>
      </c>
      <c r="P391" t="s">
        <v>794</v>
      </c>
      <c r="Q391" t="s">
        <v>777</v>
      </c>
      <c r="R391" t="s">
        <v>37</v>
      </c>
      <c r="S391" t="s">
        <v>778</v>
      </c>
      <c r="T391" t="s">
        <v>43</v>
      </c>
      <c r="U391" t="s">
        <v>44</v>
      </c>
      <c r="V391">
        <v>23</v>
      </c>
      <c r="W391" t="s">
        <v>58</v>
      </c>
      <c r="X391" t="s">
        <v>59</v>
      </c>
      <c r="Y391" t="s">
        <v>779</v>
      </c>
      <c r="Z391" t="s">
        <v>37</v>
      </c>
      <c r="AA391" t="s">
        <v>145</v>
      </c>
      <c r="AB391" t="s">
        <v>37</v>
      </c>
      <c r="AC391" s="6" t="s">
        <v>37</v>
      </c>
      <c r="AD391" s="6" t="s">
        <v>37</v>
      </c>
      <c r="AE391" t="s">
        <v>37</v>
      </c>
      <c r="AF391" t="s">
        <v>37</v>
      </c>
      <c r="AG391" s="6" t="s">
        <v>37</v>
      </c>
      <c r="AH391" t="s">
        <v>37</v>
      </c>
      <c r="AI391" t="s">
        <v>37</v>
      </c>
      <c r="AJ391" t="str">
        <f t="shared" si="20"/>
        <v>5T4PO9JGB07W5JKB91</v>
      </c>
    </row>
    <row r="392" spans="1:36" ht="15" customHeight="1" x14ac:dyDescent="0.25">
      <c r="A392" t="s">
        <v>36</v>
      </c>
      <c r="B392" t="s">
        <v>37</v>
      </c>
      <c r="C392" t="s">
        <v>37</v>
      </c>
      <c r="D392" t="s">
        <v>38</v>
      </c>
      <c r="E392" s="4">
        <v>10</v>
      </c>
      <c r="F392" s="5">
        <v>82</v>
      </c>
      <c r="G392" s="5" t="s">
        <v>39</v>
      </c>
      <c r="H392" s="5">
        <v>113.9</v>
      </c>
      <c r="I392" s="5" t="s">
        <v>39</v>
      </c>
      <c r="J392" s="5">
        <v>2.7879999999999998</v>
      </c>
      <c r="K392" s="5">
        <f t="shared" si="18"/>
        <v>0.27879999999999999</v>
      </c>
      <c r="L392" s="5">
        <f t="shared" si="19"/>
        <v>8.1999999999999993</v>
      </c>
      <c r="M392" s="5" t="s">
        <v>39</v>
      </c>
      <c r="N392" s="5">
        <v>2.7879999999999998</v>
      </c>
      <c r="O392" s="5" t="s">
        <v>39</v>
      </c>
      <c r="P392" t="s">
        <v>55</v>
      </c>
      <c r="Q392" t="s">
        <v>281</v>
      </c>
      <c r="R392" t="s">
        <v>37</v>
      </c>
      <c r="S392" t="s">
        <v>282</v>
      </c>
      <c r="T392" t="s">
        <v>43</v>
      </c>
      <c r="U392" t="s">
        <v>44</v>
      </c>
      <c r="V392">
        <v>147</v>
      </c>
      <c r="W392" t="s">
        <v>45</v>
      </c>
      <c r="X392" t="s">
        <v>75</v>
      </c>
      <c r="Y392" t="s">
        <v>283</v>
      </c>
      <c r="Z392" t="s">
        <v>37</v>
      </c>
      <c r="AA392" t="s">
        <v>61</v>
      </c>
      <c r="AB392" t="s">
        <v>37</v>
      </c>
      <c r="AC392" s="6" t="s">
        <v>37</v>
      </c>
      <c r="AD392" s="6" t="s">
        <v>37</v>
      </c>
      <c r="AE392" t="s">
        <v>37</v>
      </c>
      <c r="AF392" t="s">
        <v>37</v>
      </c>
      <c r="AG392" s="6" t="s">
        <v>37</v>
      </c>
      <c r="AH392" t="s">
        <v>37</v>
      </c>
      <c r="AI392" t="s">
        <v>37</v>
      </c>
      <c r="AJ392" t="str">
        <f t="shared" si="20"/>
        <v>3WIANGOBB004LAWLPW</v>
      </c>
    </row>
    <row r="393" spans="1:36" ht="15" customHeight="1" x14ac:dyDescent="0.25">
      <c r="A393" t="s">
        <v>133</v>
      </c>
      <c r="B393" t="s">
        <v>37</v>
      </c>
      <c r="C393" t="s">
        <v>37</v>
      </c>
      <c r="D393" t="s">
        <v>38</v>
      </c>
      <c r="E393" s="4">
        <v>70</v>
      </c>
      <c r="F393" s="5">
        <v>614.6</v>
      </c>
      <c r="G393" s="5" t="s">
        <v>39</v>
      </c>
      <c r="H393" s="5">
        <v>917.7</v>
      </c>
      <c r="I393" s="5" t="s">
        <v>39</v>
      </c>
      <c r="J393" s="5">
        <v>20.8964</v>
      </c>
      <c r="K393" s="5">
        <f t="shared" si="18"/>
        <v>0.29852000000000001</v>
      </c>
      <c r="L393" s="5">
        <f t="shared" si="19"/>
        <v>8.7800000000000011</v>
      </c>
      <c r="M393" s="5" t="s">
        <v>39</v>
      </c>
      <c r="N393" s="5">
        <v>20.8964</v>
      </c>
      <c r="O393" s="5" t="s">
        <v>39</v>
      </c>
      <c r="P393" t="s">
        <v>189</v>
      </c>
      <c r="Q393" t="s">
        <v>795</v>
      </c>
      <c r="R393" t="s">
        <v>37</v>
      </c>
      <c r="S393" t="s">
        <v>796</v>
      </c>
      <c r="T393" t="s">
        <v>43</v>
      </c>
      <c r="U393" t="s">
        <v>44</v>
      </c>
      <c r="V393">
        <v>147</v>
      </c>
      <c r="W393" t="s">
        <v>45</v>
      </c>
      <c r="X393" t="s">
        <v>53</v>
      </c>
      <c r="Y393" t="s">
        <v>797</v>
      </c>
      <c r="Z393" t="s">
        <v>37</v>
      </c>
      <c r="AA393" t="s">
        <v>48</v>
      </c>
      <c r="AB393" t="s">
        <v>37</v>
      </c>
      <c r="AC393" s="6" t="s">
        <v>37</v>
      </c>
      <c r="AD393" s="6" t="s">
        <v>37</v>
      </c>
      <c r="AE393" t="s">
        <v>37</v>
      </c>
      <c r="AF393" t="s">
        <v>37</v>
      </c>
      <c r="AG393" s="6" t="s">
        <v>37</v>
      </c>
      <c r="AH393" t="s">
        <v>37</v>
      </c>
      <c r="AI393" t="s">
        <v>37</v>
      </c>
      <c r="AJ393" t="str">
        <f t="shared" si="20"/>
        <v>6DPU2MKPB07GC4LRQW</v>
      </c>
    </row>
    <row r="394" spans="1:36" ht="15" customHeight="1" x14ac:dyDescent="0.25">
      <c r="A394" t="s">
        <v>133</v>
      </c>
      <c r="B394" t="s">
        <v>37</v>
      </c>
      <c r="C394" t="s">
        <v>37</v>
      </c>
      <c r="D394" t="s">
        <v>38</v>
      </c>
      <c r="E394" s="4">
        <v>4</v>
      </c>
      <c r="F394" s="5">
        <v>483.32</v>
      </c>
      <c r="G394" s="5" t="s">
        <v>39</v>
      </c>
      <c r="H394" s="5">
        <v>786.84</v>
      </c>
      <c r="I394" s="5" t="s">
        <v>39</v>
      </c>
      <c r="J394" s="5">
        <v>16.432880000000001</v>
      </c>
      <c r="K394" s="5">
        <f t="shared" si="18"/>
        <v>4.1082200000000002</v>
      </c>
      <c r="L394" s="5">
        <f t="shared" si="19"/>
        <v>120.83</v>
      </c>
      <c r="M394" s="5" t="s">
        <v>39</v>
      </c>
      <c r="N394" s="5">
        <v>16.432880000000001</v>
      </c>
      <c r="O394" s="5" t="s">
        <v>39</v>
      </c>
      <c r="P394" t="s">
        <v>189</v>
      </c>
      <c r="Q394" t="s">
        <v>798</v>
      </c>
      <c r="R394" t="s">
        <v>37</v>
      </c>
      <c r="S394" t="s">
        <v>799</v>
      </c>
      <c r="T394" t="s">
        <v>43</v>
      </c>
      <c r="U394" t="s">
        <v>44</v>
      </c>
      <c r="V394">
        <v>147</v>
      </c>
      <c r="W394" t="s">
        <v>45</v>
      </c>
      <c r="X394" t="s">
        <v>75</v>
      </c>
      <c r="Y394" t="s">
        <v>800</v>
      </c>
      <c r="Z394" t="s">
        <v>37</v>
      </c>
      <c r="AA394" t="s">
        <v>145</v>
      </c>
      <c r="AB394" t="s">
        <v>37</v>
      </c>
      <c r="AC394" s="6" t="s">
        <v>37</v>
      </c>
      <c r="AD394" s="6" t="s">
        <v>37</v>
      </c>
      <c r="AE394" t="s">
        <v>37</v>
      </c>
      <c r="AF394" t="s">
        <v>37</v>
      </c>
      <c r="AG394" s="6" t="s">
        <v>37</v>
      </c>
      <c r="AH394" t="s">
        <v>37</v>
      </c>
      <c r="AI394" t="s">
        <v>37</v>
      </c>
      <c r="AJ394" t="str">
        <f t="shared" si="20"/>
        <v>6DPU2MKPB07W7LQDX7</v>
      </c>
    </row>
    <row r="395" spans="1:36" ht="15" customHeight="1" x14ac:dyDescent="0.25">
      <c r="A395" t="s">
        <v>62</v>
      </c>
      <c r="B395" t="s">
        <v>37</v>
      </c>
      <c r="C395" t="s">
        <v>37</v>
      </c>
      <c r="D395" t="s">
        <v>38</v>
      </c>
      <c r="E395" s="4">
        <v>88</v>
      </c>
      <c r="F395" s="5">
        <v>8117.12</v>
      </c>
      <c r="G395" s="5" t="s">
        <v>39</v>
      </c>
      <c r="H395" s="5">
        <v>11901.12</v>
      </c>
      <c r="I395" s="5" t="s">
        <v>39</v>
      </c>
      <c r="J395" s="5">
        <v>275.98208</v>
      </c>
      <c r="K395" s="5">
        <f t="shared" si="18"/>
        <v>3.1361599999999998</v>
      </c>
      <c r="L395" s="5">
        <f t="shared" si="19"/>
        <v>92.24</v>
      </c>
      <c r="M395" s="5" t="s">
        <v>39</v>
      </c>
      <c r="N395" s="5">
        <v>275.98208</v>
      </c>
      <c r="O395" s="5" t="s">
        <v>39</v>
      </c>
      <c r="P395" t="s">
        <v>63</v>
      </c>
      <c r="Q395" t="s">
        <v>769</v>
      </c>
      <c r="R395" t="s">
        <v>37</v>
      </c>
      <c r="S395" t="s">
        <v>770</v>
      </c>
      <c r="T395" t="s">
        <v>43</v>
      </c>
      <c r="U395" t="s">
        <v>44</v>
      </c>
      <c r="V395">
        <v>147</v>
      </c>
      <c r="W395" t="s">
        <v>45</v>
      </c>
      <c r="X395" t="s">
        <v>177</v>
      </c>
      <c r="Y395" t="s">
        <v>771</v>
      </c>
      <c r="Z395" t="s">
        <v>37</v>
      </c>
      <c r="AA395" t="s">
        <v>61</v>
      </c>
      <c r="AB395" t="s">
        <v>37</v>
      </c>
      <c r="AC395" s="6" t="s">
        <v>37</v>
      </c>
      <c r="AD395" s="6" t="s">
        <v>37</v>
      </c>
      <c r="AE395" t="s">
        <v>37</v>
      </c>
      <c r="AF395" t="s">
        <v>37</v>
      </c>
      <c r="AG395" s="6" t="s">
        <v>37</v>
      </c>
      <c r="AH395" t="s">
        <v>37</v>
      </c>
      <c r="AI395" t="s">
        <v>37</v>
      </c>
      <c r="AJ395" t="str">
        <f t="shared" si="20"/>
        <v>3AWPOPBJB07W4DHNBF</v>
      </c>
    </row>
    <row r="396" spans="1:36" ht="15" customHeight="1" x14ac:dyDescent="0.25">
      <c r="A396" t="s">
        <v>127</v>
      </c>
      <c r="B396" t="s">
        <v>37</v>
      </c>
      <c r="C396" t="s">
        <v>37</v>
      </c>
      <c r="D396" t="s">
        <v>38</v>
      </c>
      <c r="E396" s="4">
        <v>4</v>
      </c>
      <c r="F396" s="5">
        <v>168.8</v>
      </c>
      <c r="G396" s="5" t="s">
        <v>39</v>
      </c>
      <c r="H396" s="5">
        <v>268.8</v>
      </c>
      <c r="I396" s="5" t="s">
        <v>39</v>
      </c>
      <c r="J396" s="5">
        <v>5.7392000000000003</v>
      </c>
      <c r="K396" s="5">
        <f t="shared" si="18"/>
        <v>1.4348000000000001</v>
      </c>
      <c r="L396" s="5">
        <f t="shared" si="19"/>
        <v>42.2</v>
      </c>
      <c r="M396" s="5" t="s">
        <v>39</v>
      </c>
      <c r="N396" s="5">
        <v>5.7392000000000003</v>
      </c>
      <c r="O396" s="5" t="s">
        <v>39</v>
      </c>
      <c r="P396" t="s">
        <v>208</v>
      </c>
      <c r="Q396" t="s">
        <v>356</v>
      </c>
      <c r="R396" t="s">
        <v>37</v>
      </c>
      <c r="S396" t="s">
        <v>357</v>
      </c>
      <c r="T396" t="s">
        <v>43</v>
      </c>
      <c r="U396" t="s">
        <v>44</v>
      </c>
      <c r="V396">
        <v>147</v>
      </c>
      <c r="W396" t="s">
        <v>45</v>
      </c>
      <c r="X396" t="s">
        <v>46</v>
      </c>
      <c r="Y396" t="s">
        <v>358</v>
      </c>
      <c r="Z396" t="s">
        <v>37</v>
      </c>
      <c r="AA396" t="s">
        <v>48</v>
      </c>
      <c r="AB396" t="s">
        <v>37</v>
      </c>
      <c r="AC396" s="6" t="s">
        <v>37</v>
      </c>
      <c r="AD396" s="6" t="s">
        <v>37</v>
      </c>
      <c r="AE396" t="s">
        <v>37</v>
      </c>
      <c r="AF396" t="s">
        <v>37</v>
      </c>
      <c r="AG396" s="6" t="s">
        <v>37</v>
      </c>
      <c r="AH396" t="s">
        <v>37</v>
      </c>
      <c r="AI396" t="s">
        <v>37</v>
      </c>
      <c r="AJ396" t="str">
        <f t="shared" si="20"/>
        <v>2WFUPSOGB01L6L45ES</v>
      </c>
    </row>
    <row r="397" spans="1:36" ht="15" customHeight="1" x14ac:dyDescent="0.25">
      <c r="A397" t="s">
        <v>67</v>
      </c>
      <c r="B397" t="s">
        <v>37</v>
      </c>
      <c r="C397" t="s">
        <v>37</v>
      </c>
      <c r="D397" t="s">
        <v>38</v>
      </c>
      <c r="E397" s="4">
        <v>8</v>
      </c>
      <c r="F397" s="5">
        <v>928.16</v>
      </c>
      <c r="G397" s="5" t="s">
        <v>39</v>
      </c>
      <c r="H397" s="5">
        <v>1311.44</v>
      </c>
      <c r="I397" s="5" t="s">
        <v>39</v>
      </c>
      <c r="J397" s="5">
        <v>31.55744</v>
      </c>
      <c r="K397" s="5">
        <f t="shared" si="18"/>
        <v>3.94468</v>
      </c>
      <c r="L397" s="5">
        <f t="shared" si="19"/>
        <v>116.02</v>
      </c>
      <c r="M397" s="5" t="s">
        <v>39</v>
      </c>
      <c r="N397" s="5">
        <v>31.55744</v>
      </c>
      <c r="O397" s="5" t="s">
        <v>39</v>
      </c>
      <c r="P397" t="s">
        <v>182</v>
      </c>
      <c r="Q397" t="s">
        <v>801</v>
      </c>
      <c r="R397" t="s">
        <v>37</v>
      </c>
      <c r="S397" t="s">
        <v>802</v>
      </c>
      <c r="T397" t="s">
        <v>43</v>
      </c>
      <c r="U397" t="s">
        <v>44</v>
      </c>
      <c r="V397">
        <v>147</v>
      </c>
      <c r="W397" t="s">
        <v>45</v>
      </c>
      <c r="X397" t="s">
        <v>75</v>
      </c>
      <c r="Y397" t="s">
        <v>803</v>
      </c>
      <c r="Z397" t="s">
        <v>37</v>
      </c>
      <c r="AA397" t="s">
        <v>61</v>
      </c>
      <c r="AB397" t="s">
        <v>37</v>
      </c>
      <c r="AC397" s="6" t="s">
        <v>37</v>
      </c>
      <c r="AD397" s="6" t="s">
        <v>37</v>
      </c>
      <c r="AE397" t="s">
        <v>37</v>
      </c>
      <c r="AF397" t="s">
        <v>37</v>
      </c>
      <c r="AG397" s="6" t="s">
        <v>37</v>
      </c>
      <c r="AH397" t="s">
        <v>37</v>
      </c>
      <c r="AI397" t="s">
        <v>37</v>
      </c>
      <c r="AJ397" t="str">
        <f t="shared" si="20"/>
        <v>5UESXM5PB07W6HPP3R</v>
      </c>
    </row>
    <row r="398" spans="1:36" ht="15" customHeight="1" x14ac:dyDescent="0.25">
      <c r="A398" t="s">
        <v>67</v>
      </c>
      <c r="B398" t="s">
        <v>37</v>
      </c>
      <c r="C398" t="s">
        <v>37</v>
      </c>
      <c r="D398" t="s">
        <v>38</v>
      </c>
      <c r="E398" s="4">
        <v>48</v>
      </c>
      <c r="F398" s="5">
        <v>984</v>
      </c>
      <c r="G398" s="5" t="s">
        <v>39</v>
      </c>
      <c r="H398" s="5">
        <v>1416</v>
      </c>
      <c r="I398" s="5" t="s">
        <v>39</v>
      </c>
      <c r="J398" s="5">
        <v>33.456000000000003</v>
      </c>
      <c r="K398" s="5">
        <f t="shared" si="18"/>
        <v>0.69700000000000006</v>
      </c>
      <c r="L398" s="5">
        <f t="shared" si="19"/>
        <v>20.5</v>
      </c>
      <c r="M398" s="5" t="s">
        <v>39</v>
      </c>
      <c r="N398" s="5">
        <v>33.456000000000003</v>
      </c>
      <c r="O398" s="5" t="s">
        <v>39</v>
      </c>
      <c r="P398" t="s">
        <v>245</v>
      </c>
      <c r="Q398" t="s">
        <v>226</v>
      </c>
      <c r="R398" t="s">
        <v>37</v>
      </c>
      <c r="S398" t="s">
        <v>227</v>
      </c>
      <c r="T398" t="s">
        <v>43</v>
      </c>
      <c r="U398" t="s">
        <v>44</v>
      </c>
      <c r="V398">
        <v>147</v>
      </c>
      <c r="W398" t="s">
        <v>45</v>
      </c>
      <c r="X398" t="s">
        <v>75</v>
      </c>
      <c r="Y398" t="s">
        <v>228</v>
      </c>
      <c r="Z398" t="s">
        <v>37</v>
      </c>
      <c r="AA398" t="s">
        <v>48</v>
      </c>
      <c r="AB398" t="s">
        <v>37</v>
      </c>
      <c r="AC398" s="6" t="s">
        <v>37</v>
      </c>
      <c r="AD398" s="6" t="s">
        <v>37</v>
      </c>
      <c r="AE398" t="s">
        <v>37</v>
      </c>
      <c r="AF398" t="s">
        <v>37</v>
      </c>
      <c r="AG398" s="6" t="s">
        <v>37</v>
      </c>
      <c r="AH398" t="s">
        <v>37</v>
      </c>
      <c r="AI398" t="s">
        <v>37</v>
      </c>
      <c r="AJ398" t="str">
        <f t="shared" si="20"/>
        <v>6ZGQP34KB01C47ZFLK</v>
      </c>
    </row>
    <row r="399" spans="1:36" ht="15" customHeight="1" x14ac:dyDescent="0.25">
      <c r="A399" t="s">
        <v>127</v>
      </c>
      <c r="B399" t="s">
        <v>37</v>
      </c>
      <c r="C399" t="s">
        <v>37</v>
      </c>
      <c r="D399" t="s">
        <v>38</v>
      </c>
      <c r="E399" s="4">
        <v>1</v>
      </c>
      <c r="F399" s="5">
        <v>31.65</v>
      </c>
      <c r="G399" s="5" t="s">
        <v>39</v>
      </c>
      <c r="H399" s="5">
        <v>50.81</v>
      </c>
      <c r="I399" s="5" t="s">
        <v>39</v>
      </c>
      <c r="J399" s="5">
        <v>1.0761000000000001</v>
      </c>
      <c r="K399" s="5">
        <f t="shared" si="18"/>
        <v>1.0761000000000001</v>
      </c>
      <c r="L399" s="5">
        <f t="shared" si="19"/>
        <v>31.65</v>
      </c>
      <c r="M399" s="5" t="s">
        <v>39</v>
      </c>
      <c r="N399" s="5">
        <v>1.0761000000000001</v>
      </c>
      <c r="O399" s="5" t="s">
        <v>39</v>
      </c>
      <c r="P399" t="s">
        <v>116</v>
      </c>
      <c r="Q399" t="s">
        <v>804</v>
      </c>
      <c r="R399" t="s">
        <v>37</v>
      </c>
      <c r="S399" t="s">
        <v>805</v>
      </c>
      <c r="T399" t="s">
        <v>43</v>
      </c>
      <c r="U399" t="s">
        <v>44</v>
      </c>
      <c r="V399">
        <v>147</v>
      </c>
      <c r="W399" t="s">
        <v>45</v>
      </c>
      <c r="X399" t="s">
        <v>46</v>
      </c>
      <c r="Y399" t="s">
        <v>806</v>
      </c>
      <c r="Z399" t="s">
        <v>37</v>
      </c>
      <c r="AA399" t="s">
        <v>61</v>
      </c>
      <c r="AB399" t="s">
        <v>37</v>
      </c>
      <c r="AC399" s="6" t="s">
        <v>37</v>
      </c>
      <c r="AD399" s="6" t="s">
        <v>37</v>
      </c>
      <c r="AE399" t="s">
        <v>37</v>
      </c>
      <c r="AF399" t="s">
        <v>37</v>
      </c>
      <c r="AG399" s="6" t="s">
        <v>37</v>
      </c>
      <c r="AH399" t="s">
        <v>37</v>
      </c>
      <c r="AI399" t="s">
        <v>37</v>
      </c>
      <c r="AJ399" t="str">
        <f t="shared" si="20"/>
        <v>3S7Y1OIVB00ZWOUH4S</v>
      </c>
    </row>
    <row r="400" spans="1:36" ht="15" customHeight="1" x14ac:dyDescent="0.25">
      <c r="A400" t="s">
        <v>36</v>
      </c>
      <c r="B400" t="s">
        <v>37</v>
      </c>
      <c r="C400" t="s">
        <v>37</v>
      </c>
      <c r="D400" t="s">
        <v>38</v>
      </c>
      <c r="E400" s="4">
        <v>8</v>
      </c>
      <c r="F400" s="5">
        <v>428.08</v>
      </c>
      <c r="G400" s="5" t="s">
        <v>39</v>
      </c>
      <c r="H400" s="5">
        <v>655.68</v>
      </c>
      <c r="I400" s="5" t="s">
        <v>39</v>
      </c>
      <c r="J400" s="5">
        <v>14.55472</v>
      </c>
      <c r="K400" s="5">
        <f t="shared" si="18"/>
        <v>1.81934</v>
      </c>
      <c r="L400" s="5">
        <f t="shared" si="19"/>
        <v>53.51</v>
      </c>
      <c r="M400" s="5" t="s">
        <v>39</v>
      </c>
      <c r="N400" s="5">
        <v>14.55472</v>
      </c>
      <c r="O400" s="5" t="s">
        <v>39</v>
      </c>
      <c r="P400" t="s">
        <v>807</v>
      </c>
      <c r="Q400" t="s">
        <v>808</v>
      </c>
      <c r="R400" t="s">
        <v>37</v>
      </c>
      <c r="S400" t="s">
        <v>809</v>
      </c>
      <c r="T400" t="s">
        <v>43</v>
      </c>
      <c r="U400" t="s">
        <v>44</v>
      </c>
      <c r="V400">
        <v>23</v>
      </c>
      <c r="W400" t="s">
        <v>58</v>
      </c>
      <c r="X400" t="s">
        <v>59</v>
      </c>
      <c r="Y400" t="s">
        <v>810</v>
      </c>
      <c r="Z400" t="s">
        <v>37</v>
      </c>
      <c r="AA400" t="s">
        <v>145</v>
      </c>
      <c r="AB400" t="s">
        <v>37</v>
      </c>
      <c r="AC400" s="6" t="s">
        <v>37</v>
      </c>
      <c r="AD400" s="6" t="s">
        <v>37</v>
      </c>
      <c r="AE400" t="s">
        <v>37</v>
      </c>
      <c r="AF400" t="s">
        <v>37</v>
      </c>
      <c r="AG400" s="6" t="s">
        <v>37</v>
      </c>
      <c r="AH400" t="s">
        <v>37</v>
      </c>
      <c r="AI400" t="s">
        <v>37</v>
      </c>
      <c r="AJ400" t="str">
        <f t="shared" si="20"/>
        <v>31I8VBIPB07RW77K54</v>
      </c>
    </row>
    <row r="401" spans="1:36" ht="15" customHeight="1" x14ac:dyDescent="0.25">
      <c r="A401" t="s">
        <v>133</v>
      </c>
      <c r="B401" t="s">
        <v>37</v>
      </c>
      <c r="C401" t="s">
        <v>37</v>
      </c>
      <c r="D401" t="s">
        <v>38</v>
      </c>
      <c r="E401" s="4">
        <v>272</v>
      </c>
      <c r="F401" s="5">
        <v>8608.7999999999993</v>
      </c>
      <c r="G401" s="5" t="s">
        <v>39</v>
      </c>
      <c r="H401" s="5">
        <v>13820.32</v>
      </c>
      <c r="I401" s="5" t="s">
        <v>39</v>
      </c>
      <c r="J401" s="5">
        <v>292.69920000000002</v>
      </c>
      <c r="K401" s="5">
        <f t="shared" si="18"/>
        <v>1.0761000000000001</v>
      </c>
      <c r="L401" s="5">
        <f t="shared" si="19"/>
        <v>31.65</v>
      </c>
      <c r="M401" s="5" t="s">
        <v>39</v>
      </c>
      <c r="N401" s="5">
        <v>292.69920000000002</v>
      </c>
      <c r="O401" s="5" t="s">
        <v>39</v>
      </c>
      <c r="P401" t="s">
        <v>116</v>
      </c>
      <c r="Q401" t="s">
        <v>804</v>
      </c>
      <c r="R401" t="s">
        <v>37</v>
      </c>
      <c r="S401" t="s">
        <v>805</v>
      </c>
      <c r="T401" t="s">
        <v>43</v>
      </c>
      <c r="U401" t="s">
        <v>44</v>
      </c>
      <c r="V401">
        <v>147</v>
      </c>
      <c r="W401" t="s">
        <v>45</v>
      </c>
      <c r="X401" t="s">
        <v>46</v>
      </c>
      <c r="Y401" t="s">
        <v>806</v>
      </c>
      <c r="Z401" t="s">
        <v>37</v>
      </c>
      <c r="AA401" t="s">
        <v>61</v>
      </c>
      <c r="AB401" t="s">
        <v>37</v>
      </c>
      <c r="AC401" s="6" t="s">
        <v>37</v>
      </c>
      <c r="AD401" s="6" t="s">
        <v>37</v>
      </c>
      <c r="AE401" t="s">
        <v>37</v>
      </c>
      <c r="AF401" t="s">
        <v>37</v>
      </c>
      <c r="AG401" s="6" t="s">
        <v>37</v>
      </c>
      <c r="AH401" t="s">
        <v>37</v>
      </c>
      <c r="AI401" t="s">
        <v>37</v>
      </c>
      <c r="AJ401" t="str">
        <f t="shared" si="20"/>
        <v>3S7Y1OIVB00ZWOUH4S</v>
      </c>
    </row>
    <row r="402" spans="1:36" ht="15" customHeight="1" x14ac:dyDescent="0.25">
      <c r="A402" t="s">
        <v>101</v>
      </c>
      <c r="B402" t="s">
        <v>37</v>
      </c>
      <c r="C402" t="s">
        <v>37</v>
      </c>
      <c r="D402" t="s">
        <v>38</v>
      </c>
      <c r="E402" s="4">
        <v>0</v>
      </c>
      <c r="F402" s="5">
        <v>0</v>
      </c>
      <c r="G402" s="5" t="s">
        <v>39</v>
      </c>
      <c r="H402" s="5">
        <v>0</v>
      </c>
      <c r="I402" s="5" t="s">
        <v>39</v>
      </c>
      <c r="J402" s="5">
        <v>0</v>
      </c>
      <c r="K402" s="5" t="e">
        <f t="shared" si="18"/>
        <v>#DIV/0!</v>
      </c>
      <c r="L402" s="5" t="e">
        <f t="shared" si="19"/>
        <v>#DIV/0!</v>
      </c>
      <c r="M402" s="5" t="s">
        <v>39</v>
      </c>
      <c r="N402" s="5">
        <v>0</v>
      </c>
      <c r="O402" s="5" t="s">
        <v>39</v>
      </c>
      <c r="P402" t="s">
        <v>116</v>
      </c>
      <c r="Q402" t="s">
        <v>804</v>
      </c>
      <c r="R402" t="s">
        <v>37</v>
      </c>
      <c r="S402" t="s">
        <v>805</v>
      </c>
      <c r="T402" t="s">
        <v>43</v>
      </c>
      <c r="U402" t="s">
        <v>44</v>
      </c>
      <c r="V402">
        <v>147</v>
      </c>
      <c r="W402" t="s">
        <v>45</v>
      </c>
      <c r="X402" t="s">
        <v>46</v>
      </c>
      <c r="Y402" t="s">
        <v>806</v>
      </c>
      <c r="Z402" t="s">
        <v>37</v>
      </c>
      <c r="AA402" t="s">
        <v>61</v>
      </c>
      <c r="AB402" t="s">
        <v>37</v>
      </c>
      <c r="AC402" s="6" t="s">
        <v>37</v>
      </c>
      <c r="AD402" s="6" t="s">
        <v>37</v>
      </c>
      <c r="AE402" t="s">
        <v>37</v>
      </c>
      <c r="AF402" t="s">
        <v>37</v>
      </c>
      <c r="AG402" s="6" t="s">
        <v>37</v>
      </c>
      <c r="AH402" t="s">
        <v>37</v>
      </c>
      <c r="AI402" t="s">
        <v>37</v>
      </c>
      <c r="AJ402" t="str">
        <f t="shared" si="20"/>
        <v>3S7Y1OIVB00ZWOUH4S</v>
      </c>
    </row>
    <row r="403" spans="1:36" ht="15" customHeight="1" x14ac:dyDescent="0.25">
      <c r="A403" t="s">
        <v>36</v>
      </c>
      <c r="B403" t="s">
        <v>37</v>
      </c>
      <c r="C403" t="s">
        <v>37</v>
      </c>
      <c r="D403" t="s">
        <v>38</v>
      </c>
      <c r="E403" s="4">
        <v>40</v>
      </c>
      <c r="F403" s="5">
        <v>398</v>
      </c>
      <c r="G403" s="5" t="s">
        <v>39</v>
      </c>
      <c r="H403" s="5">
        <v>491.6</v>
      </c>
      <c r="I403" s="5" t="s">
        <v>39</v>
      </c>
      <c r="J403" s="5">
        <v>13.532</v>
      </c>
      <c r="K403" s="5">
        <f t="shared" si="18"/>
        <v>0.33829999999999999</v>
      </c>
      <c r="L403" s="5">
        <f t="shared" si="19"/>
        <v>9.9499999999999993</v>
      </c>
      <c r="M403" s="5" t="s">
        <v>39</v>
      </c>
      <c r="N403" s="5">
        <v>13.532</v>
      </c>
      <c r="O403" s="5" t="s">
        <v>39</v>
      </c>
      <c r="P403" t="s">
        <v>811</v>
      </c>
      <c r="Q403" t="s">
        <v>202</v>
      </c>
      <c r="R403" t="s">
        <v>37</v>
      </c>
      <c r="S403" t="s">
        <v>203</v>
      </c>
      <c r="T403" t="s">
        <v>43</v>
      </c>
      <c r="U403" t="s">
        <v>44</v>
      </c>
      <c r="V403">
        <v>147</v>
      </c>
      <c r="W403" t="s">
        <v>45</v>
      </c>
      <c r="X403" t="s">
        <v>75</v>
      </c>
      <c r="Y403" t="s">
        <v>204</v>
      </c>
      <c r="Z403" t="s">
        <v>37</v>
      </c>
      <c r="AA403" t="s">
        <v>61</v>
      </c>
      <c r="AB403" t="s">
        <v>37</v>
      </c>
      <c r="AC403" s="6" t="s">
        <v>37</v>
      </c>
      <c r="AD403" s="6" t="s">
        <v>37</v>
      </c>
      <c r="AE403" t="s">
        <v>37</v>
      </c>
      <c r="AF403" t="s">
        <v>37</v>
      </c>
      <c r="AG403" s="6" t="s">
        <v>37</v>
      </c>
      <c r="AH403" t="s">
        <v>37</v>
      </c>
      <c r="AI403" t="s">
        <v>37</v>
      </c>
      <c r="AJ403" t="str">
        <f t="shared" si="20"/>
        <v>8FNVZZXMB003PAMIA2</v>
      </c>
    </row>
    <row r="404" spans="1:36" ht="15" customHeight="1" x14ac:dyDescent="0.25">
      <c r="A404" t="s">
        <v>133</v>
      </c>
      <c r="B404" t="s">
        <v>37</v>
      </c>
      <c r="C404" t="s">
        <v>37</v>
      </c>
      <c r="D404" t="s">
        <v>38</v>
      </c>
      <c r="E404" s="4">
        <v>24</v>
      </c>
      <c r="F404" s="5">
        <v>281.04000000000002</v>
      </c>
      <c r="G404" s="5" t="s">
        <v>39</v>
      </c>
      <c r="H404" s="5">
        <v>479.76</v>
      </c>
      <c r="I404" s="5" t="s">
        <v>39</v>
      </c>
      <c r="J404" s="5">
        <v>9.5553600000000003</v>
      </c>
      <c r="K404" s="5">
        <f t="shared" si="18"/>
        <v>0.39813999999999999</v>
      </c>
      <c r="L404" s="5">
        <f t="shared" si="19"/>
        <v>11.71</v>
      </c>
      <c r="M404" s="5" t="s">
        <v>39</v>
      </c>
      <c r="N404" s="5">
        <v>9.5553600000000003</v>
      </c>
      <c r="O404" s="5" t="s">
        <v>39</v>
      </c>
      <c r="P404" t="s">
        <v>116</v>
      </c>
      <c r="Q404" t="s">
        <v>391</v>
      </c>
      <c r="R404" t="s">
        <v>37</v>
      </c>
      <c r="S404" t="s">
        <v>392</v>
      </c>
      <c r="T404" t="s">
        <v>43</v>
      </c>
      <c r="U404" t="s">
        <v>44</v>
      </c>
      <c r="V404">
        <v>147</v>
      </c>
      <c r="W404" t="s">
        <v>45</v>
      </c>
      <c r="X404" t="s">
        <v>248</v>
      </c>
      <c r="Y404" t="s">
        <v>393</v>
      </c>
      <c r="Z404" t="s">
        <v>37</v>
      </c>
      <c r="AA404" t="s">
        <v>61</v>
      </c>
      <c r="AB404" t="s">
        <v>37</v>
      </c>
      <c r="AC404" s="6" t="s">
        <v>37</v>
      </c>
      <c r="AD404" s="6" t="s">
        <v>37</v>
      </c>
      <c r="AE404" t="s">
        <v>37</v>
      </c>
      <c r="AF404" t="s">
        <v>37</v>
      </c>
      <c r="AG404" s="6" t="s">
        <v>37</v>
      </c>
      <c r="AH404" t="s">
        <v>37</v>
      </c>
      <c r="AI404" t="s">
        <v>37</v>
      </c>
      <c r="AJ404" t="str">
        <f t="shared" si="20"/>
        <v>3S7Y1OIVB00544XKK4</v>
      </c>
    </row>
    <row r="405" spans="1:36" ht="15" customHeight="1" x14ac:dyDescent="0.25">
      <c r="A405" t="s">
        <v>67</v>
      </c>
      <c r="B405" t="s">
        <v>37</v>
      </c>
      <c r="C405" t="s">
        <v>37</v>
      </c>
      <c r="D405" t="s">
        <v>38</v>
      </c>
      <c r="E405" s="4">
        <v>10</v>
      </c>
      <c r="F405" s="5">
        <v>99.5</v>
      </c>
      <c r="G405" s="5" t="s">
        <v>39</v>
      </c>
      <c r="H405" s="5">
        <v>178.2</v>
      </c>
      <c r="I405" s="5" t="s">
        <v>39</v>
      </c>
      <c r="J405" s="5">
        <v>3.383</v>
      </c>
      <c r="K405" s="5">
        <f t="shared" si="18"/>
        <v>0.33829999999999999</v>
      </c>
      <c r="L405" s="5">
        <f t="shared" si="19"/>
        <v>9.9499999999999993</v>
      </c>
      <c r="M405" s="5" t="s">
        <v>39</v>
      </c>
      <c r="N405" s="5">
        <v>3.383</v>
      </c>
      <c r="O405" s="5" t="s">
        <v>39</v>
      </c>
      <c r="P405" t="s">
        <v>245</v>
      </c>
      <c r="Q405" t="s">
        <v>812</v>
      </c>
      <c r="R405" t="s">
        <v>37</v>
      </c>
      <c r="S405" t="s">
        <v>813</v>
      </c>
      <c r="T405" t="s">
        <v>43</v>
      </c>
      <c r="U405" t="s">
        <v>44</v>
      </c>
      <c r="V405">
        <v>147</v>
      </c>
      <c r="W405" t="s">
        <v>45</v>
      </c>
      <c r="X405" t="s">
        <v>75</v>
      </c>
      <c r="Y405" t="s">
        <v>814</v>
      </c>
      <c r="Z405" t="s">
        <v>37</v>
      </c>
      <c r="AA405" t="s">
        <v>61</v>
      </c>
      <c r="AB405" t="s">
        <v>37</v>
      </c>
      <c r="AC405" s="6" t="s">
        <v>37</v>
      </c>
      <c r="AD405" s="6" t="s">
        <v>37</v>
      </c>
      <c r="AE405" t="s">
        <v>37</v>
      </c>
      <c r="AF405" t="s">
        <v>37</v>
      </c>
      <c r="AG405" s="6" t="s">
        <v>37</v>
      </c>
      <c r="AH405" t="s">
        <v>37</v>
      </c>
      <c r="AI405" t="s">
        <v>37</v>
      </c>
      <c r="AJ405" t="str">
        <f t="shared" si="20"/>
        <v>6ZGQP34KB0056C7W1C</v>
      </c>
    </row>
    <row r="406" spans="1:36" ht="15" customHeight="1" x14ac:dyDescent="0.25">
      <c r="A406" t="s">
        <v>400</v>
      </c>
      <c r="B406" t="s">
        <v>37</v>
      </c>
      <c r="C406" t="s">
        <v>37</v>
      </c>
      <c r="D406" t="s">
        <v>38</v>
      </c>
      <c r="E406" s="4">
        <v>560</v>
      </c>
      <c r="F406" s="5">
        <v>11816</v>
      </c>
      <c r="G406" s="5" t="s">
        <v>39</v>
      </c>
      <c r="H406" s="5">
        <v>18816</v>
      </c>
      <c r="I406" s="5" t="s">
        <v>39</v>
      </c>
      <c r="J406" s="5">
        <v>401.74400000000003</v>
      </c>
      <c r="K406" s="5">
        <f t="shared" si="18"/>
        <v>0.71740000000000004</v>
      </c>
      <c r="L406" s="5">
        <f t="shared" si="19"/>
        <v>21.1</v>
      </c>
      <c r="M406" s="5" t="s">
        <v>39</v>
      </c>
      <c r="N406" s="5">
        <v>401.74400000000003</v>
      </c>
      <c r="O406" s="5" t="s">
        <v>39</v>
      </c>
      <c r="P406" t="s">
        <v>263</v>
      </c>
      <c r="Q406" t="s">
        <v>815</v>
      </c>
      <c r="R406" t="s">
        <v>37</v>
      </c>
      <c r="S406" t="s">
        <v>816</v>
      </c>
      <c r="T406" t="s">
        <v>43</v>
      </c>
      <c r="U406" t="s">
        <v>44</v>
      </c>
      <c r="V406">
        <v>147</v>
      </c>
      <c r="W406" t="s">
        <v>45</v>
      </c>
      <c r="X406" t="s">
        <v>53</v>
      </c>
      <c r="Y406" t="s">
        <v>817</v>
      </c>
      <c r="Z406" t="s">
        <v>37</v>
      </c>
      <c r="AA406" t="s">
        <v>61</v>
      </c>
      <c r="AB406" t="s">
        <v>37</v>
      </c>
      <c r="AC406" s="6" t="s">
        <v>37</v>
      </c>
      <c r="AD406" s="6" t="s">
        <v>37</v>
      </c>
      <c r="AE406" t="s">
        <v>37</v>
      </c>
      <c r="AF406" t="s">
        <v>37</v>
      </c>
      <c r="AG406" s="6" t="s">
        <v>37</v>
      </c>
      <c r="AH406" t="s">
        <v>37</v>
      </c>
      <c r="AI406" t="s">
        <v>37</v>
      </c>
      <c r="AJ406" t="str">
        <f t="shared" si="20"/>
        <v>3B2Q175VB07W5JKFQC</v>
      </c>
    </row>
    <row r="407" spans="1:36" ht="15" customHeight="1" x14ac:dyDescent="0.25">
      <c r="A407" t="s">
        <v>36</v>
      </c>
      <c r="B407" t="s">
        <v>37</v>
      </c>
      <c r="C407" t="s">
        <v>37</v>
      </c>
      <c r="D407" t="s">
        <v>38</v>
      </c>
      <c r="E407" s="4">
        <v>160</v>
      </c>
      <c r="F407" s="5">
        <v>1592</v>
      </c>
      <c r="G407" s="5" t="s">
        <v>39</v>
      </c>
      <c r="H407" s="5">
        <v>2360</v>
      </c>
      <c r="I407" s="5" t="s">
        <v>39</v>
      </c>
      <c r="J407" s="5">
        <v>54.128</v>
      </c>
      <c r="K407" s="5">
        <f t="shared" si="18"/>
        <v>0.33829999999999999</v>
      </c>
      <c r="L407" s="5">
        <f t="shared" si="19"/>
        <v>9.9499999999999993</v>
      </c>
      <c r="M407" s="5" t="s">
        <v>39</v>
      </c>
      <c r="N407" s="5">
        <v>54.128</v>
      </c>
      <c r="O407" s="5" t="s">
        <v>39</v>
      </c>
      <c r="P407" t="s">
        <v>123</v>
      </c>
      <c r="Q407" t="s">
        <v>761</v>
      </c>
      <c r="R407" t="s">
        <v>37</v>
      </c>
      <c r="S407" t="s">
        <v>762</v>
      </c>
      <c r="T407" t="s">
        <v>43</v>
      </c>
      <c r="U407" t="s">
        <v>44</v>
      </c>
      <c r="V407">
        <v>147</v>
      </c>
      <c r="W407" t="s">
        <v>45</v>
      </c>
      <c r="X407" t="s">
        <v>53</v>
      </c>
      <c r="Y407" t="s">
        <v>763</v>
      </c>
      <c r="Z407" t="s">
        <v>37</v>
      </c>
      <c r="AA407" t="s">
        <v>61</v>
      </c>
      <c r="AB407" t="s">
        <v>37</v>
      </c>
      <c r="AC407" s="6" t="s">
        <v>37</v>
      </c>
      <c r="AD407" s="6" t="s">
        <v>37</v>
      </c>
      <c r="AE407" t="s">
        <v>37</v>
      </c>
      <c r="AF407" t="s">
        <v>37</v>
      </c>
      <c r="AG407" s="6" t="s">
        <v>37</v>
      </c>
      <c r="AH407" t="s">
        <v>37</v>
      </c>
      <c r="AI407" t="s">
        <v>37</v>
      </c>
      <c r="AJ407" t="str">
        <f t="shared" si="20"/>
        <v>81V4YVNTB00552K0GM</v>
      </c>
    </row>
    <row r="408" spans="1:36" ht="15" customHeight="1" x14ac:dyDescent="0.25">
      <c r="A408" t="s">
        <v>262</v>
      </c>
      <c r="B408" t="s">
        <v>37</v>
      </c>
      <c r="C408" t="s">
        <v>37</v>
      </c>
      <c r="D408" t="s">
        <v>38</v>
      </c>
      <c r="E408" s="4">
        <v>10</v>
      </c>
      <c r="F408" s="5">
        <v>87.8</v>
      </c>
      <c r="G408" s="5" t="s">
        <v>39</v>
      </c>
      <c r="H408" s="5">
        <v>131.1</v>
      </c>
      <c r="I408" s="5" t="s">
        <v>39</v>
      </c>
      <c r="J408" s="5">
        <v>2.9851999999999999</v>
      </c>
      <c r="K408" s="5">
        <f t="shared" si="18"/>
        <v>0.29852000000000001</v>
      </c>
      <c r="L408" s="5">
        <f t="shared" si="19"/>
        <v>8.7799999999999994</v>
      </c>
      <c r="M408" s="5" t="s">
        <v>39</v>
      </c>
      <c r="N408" s="5">
        <v>2.9851999999999999</v>
      </c>
      <c r="O408" s="5" t="s">
        <v>39</v>
      </c>
      <c r="P408" t="s">
        <v>108</v>
      </c>
      <c r="Q408" t="s">
        <v>632</v>
      </c>
      <c r="R408" t="s">
        <v>37</v>
      </c>
      <c r="S408" t="s">
        <v>633</v>
      </c>
      <c r="T408" t="s">
        <v>43</v>
      </c>
      <c r="U408" t="s">
        <v>44</v>
      </c>
      <c r="V408">
        <v>147</v>
      </c>
      <c r="W408" t="s">
        <v>45</v>
      </c>
      <c r="X408" t="s">
        <v>53</v>
      </c>
      <c r="Y408" t="s">
        <v>634</v>
      </c>
      <c r="Z408" t="s">
        <v>37</v>
      </c>
      <c r="AA408" t="s">
        <v>61</v>
      </c>
      <c r="AB408" t="s">
        <v>37</v>
      </c>
      <c r="AC408" s="6" t="s">
        <v>37</v>
      </c>
      <c r="AD408" s="6" t="s">
        <v>37</v>
      </c>
      <c r="AE408" t="s">
        <v>37</v>
      </c>
      <c r="AF408" t="s">
        <v>37</v>
      </c>
      <c r="AG408" s="6" t="s">
        <v>37</v>
      </c>
      <c r="AH408" t="s">
        <v>37</v>
      </c>
      <c r="AI408" t="s">
        <v>37</v>
      </c>
      <c r="AJ408" t="str">
        <f t="shared" si="20"/>
        <v>5HGHPU5OB07W4DH9CW</v>
      </c>
    </row>
    <row r="409" spans="1:36" ht="15" customHeight="1" x14ac:dyDescent="0.25">
      <c r="A409" t="s">
        <v>36</v>
      </c>
      <c r="B409" t="s">
        <v>37</v>
      </c>
      <c r="C409" t="s">
        <v>37</v>
      </c>
      <c r="D409" t="s">
        <v>38</v>
      </c>
      <c r="E409" s="4">
        <v>80</v>
      </c>
      <c r="F409" s="5">
        <v>656</v>
      </c>
      <c r="G409" s="5" t="s">
        <v>39</v>
      </c>
      <c r="H409" s="5">
        <v>950.4</v>
      </c>
      <c r="I409" s="5" t="s">
        <v>39</v>
      </c>
      <c r="J409" s="5">
        <v>22.303999999999998</v>
      </c>
      <c r="K409" s="5">
        <f t="shared" si="18"/>
        <v>0.27879999999999999</v>
      </c>
      <c r="L409" s="5">
        <f t="shared" si="19"/>
        <v>8.1999999999999993</v>
      </c>
      <c r="M409" s="5" t="s">
        <v>39</v>
      </c>
      <c r="N409" s="5">
        <v>22.303999999999998</v>
      </c>
      <c r="O409" s="5" t="s">
        <v>39</v>
      </c>
      <c r="P409" t="s">
        <v>377</v>
      </c>
      <c r="Q409" t="s">
        <v>488</v>
      </c>
      <c r="R409" t="s">
        <v>37</v>
      </c>
      <c r="S409" t="s">
        <v>489</v>
      </c>
      <c r="T409" t="s">
        <v>43</v>
      </c>
      <c r="U409" t="s">
        <v>44</v>
      </c>
      <c r="V409">
        <v>147</v>
      </c>
      <c r="W409" t="s">
        <v>45</v>
      </c>
      <c r="X409" t="s">
        <v>75</v>
      </c>
      <c r="Y409" t="s">
        <v>490</v>
      </c>
      <c r="Z409" t="s">
        <v>37</v>
      </c>
      <c r="AA409" t="s">
        <v>61</v>
      </c>
      <c r="AB409" t="s">
        <v>37</v>
      </c>
      <c r="AC409" s="6" t="s">
        <v>37</v>
      </c>
      <c r="AD409" s="6" t="s">
        <v>37</v>
      </c>
      <c r="AE409" t="s">
        <v>37</v>
      </c>
      <c r="AF409" t="s">
        <v>37</v>
      </c>
      <c r="AG409" s="6" t="s">
        <v>37</v>
      </c>
      <c r="AH409" t="s">
        <v>37</v>
      </c>
      <c r="AI409" t="s">
        <v>37</v>
      </c>
      <c r="AJ409" t="str">
        <f t="shared" si="20"/>
        <v>5IZH76JAB00BT8QIJ4</v>
      </c>
    </row>
    <row r="410" spans="1:36" ht="15" customHeight="1" x14ac:dyDescent="0.25">
      <c r="A410" t="s">
        <v>36</v>
      </c>
      <c r="B410" t="s">
        <v>37</v>
      </c>
      <c r="C410" t="s">
        <v>37</v>
      </c>
      <c r="D410" t="s">
        <v>38</v>
      </c>
      <c r="E410" s="4">
        <v>16</v>
      </c>
      <c r="F410" s="5">
        <v>187.36</v>
      </c>
      <c r="G410" s="5" t="s">
        <v>39</v>
      </c>
      <c r="H410" s="5">
        <v>275.2</v>
      </c>
      <c r="I410" s="5" t="s">
        <v>39</v>
      </c>
      <c r="J410" s="5">
        <v>6.3702399999999999</v>
      </c>
      <c r="K410" s="5">
        <f t="shared" si="18"/>
        <v>0.39813999999999999</v>
      </c>
      <c r="L410" s="5">
        <f t="shared" si="19"/>
        <v>11.71</v>
      </c>
      <c r="M410" s="5" t="s">
        <v>39</v>
      </c>
      <c r="N410" s="5">
        <v>6.3702399999999999</v>
      </c>
      <c r="O410" s="5" t="s">
        <v>39</v>
      </c>
      <c r="P410" t="s">
        <v>40</v>
      </c>
      <c r="Q410" t="s">
        <v>359</v>
      </c>
      <c r="R410" t="s">
        <v>37</v>
      </c>
      <c r="S410" t="s">
        <v>360</v>
      </c>
      <c r="T410" t="s">
        <v>43</v>
      </c>
      <c r="U410" t="s">
        <v>44</v>
      </c>
      <c r="V410">
        <v>147</v>
      </c>
      <c r="W410" t="s">
        <v>45</v>
      </c>
      <c r="X410" t="s">
        <v>177</v>
      </c>
      <c r="Y410" t="s">
        <v>361</v>
      </c>
      <c r="Z410" t="s">
        <v>37</v>
      </c>
      <c r="AA410" t="s">
        <v>145</v>
      </c>
      <c r="AB410" t="s">
        <v>37</v>
      </c>
      <c r="AC410" s="6" t="s">
        <v>37</v>
      </c>
      <c r="AD410" s="6" t="s">
        <v>37</v>
      </c>
      <c r="AE410" t="s">
        <v>37</v>
      </c>
      <c r="AF410" t="s">
        <v>37</v>
      </c>
      <c r="AG410" s="6" t="s">
        <v>37</v>
      </c>
      <c r="AH410" t="s">
        <v>37</v>
      </c>
      <c r="AI410" t="s">
        <v>37</v>
      </c>
      <c r="AJ410" t="str">
        <f t="shared" si="20"/>
        <v>8IC45Q9KB00ZOZZM4U</v>
      </c>
    </row>
    <row r="411" spans="1:36" ht="15" customHeight="1" x14ac:dyDescent="0.25">
      <c r="A411" t="s">
        <v>133</v>
      </c>
      <c r="B411" t="s">
        <v>37</v>
      </c>
      <c r="C411" t="s">
        <v>37</v>
      </c>
      <c r="D411" t="s">
        <v>38</v>
      </c>
      <c r="E411" s="4">
        <v>5</v>
      </c>
      <c r="F411" s="5">
        <v>736.05</v>
      </c>
      <c r="G411" s="5" t="s">
        <v>39</v>
      </c>
      <c r="H411" s="5">
        <v>1188.5</v>
      </c>
      <c r="I411" s="5" t="s">
        <v>39</v>
      </c>
      <c r="J411" s="5">
        <v>25.025700000000001</v>
      </c>
      <c r="K411" s="5">
        <f t="shared" si="18"/>
        <v>5.0051399999999999</v>
      </c>
      <c r="L411" s="5">
        <f t="shared" si="19"/>
        <v>147.20999999999998</v>
      </c>
      <c r="M411" s="5" t="s">
        <v>39</v>
      </c>
      <c r="N411" s="5">
        <v>25.025700000000001</v>
      </c>
      <c r="O411" s="5" t="s">
        <v>39</v>
      </c>
      <c r="P411" t="s">
        <v>138</v>
      </c>
      <c r="Q411" t="s">
        <v>104</v>
      </c>
      <c r="R411" t="s">
        <v>37</v>
      </c>
      <c r="S411" t="s">
        <v>105</v>
      </c>
      <c r="T411" t="s">
        <v>43</v>
      </c>
      <c r="U411" t="s">
        <v>44</v>
      </c>
      <c r="V411">
        <v>147</v>
      </c>
      <c r="W411" t="s">
        <v>45</v>
      </c>
      <c r="X411" t="s">
        <v>46</v>
      </c>
      <c r="Y411" t="s">
        <v>106</v>
      </c>
      <c r="Z411" t="s">
        <v>37</v>
      </c>
      <c r="AA411" t="s">
        <v>107</v>
      </c>
      <c r="AB411" t="s">
        <v>37</v>
      </c>
      <c r="AC411" s="6" t="s">
        <v>37</v>
      </c>
      <c r="AD411" s="6" t="s">
        <v>37</v>
      </c>
      <c r="AE411" t="s">
        <v>37</v>
      </c>
      <c r="AF411" t="s">
        <v>37</v>
      </c>
      <c r="AG411" s="6" t="s">
        <v>37</v>
      </c>
      <c r="AH411" t="s">
        <v>37</v>
      </c>
      <c r="AI411" t="s">
        <v>37</v>
      </c>
      <c r="AJ411" t="str">
        <f t="shared" si="20"/>
        <v>1S3VNUKAB07JGCM9QM</v>
      </c>
    </row>
    <row r="412" spans="1:36" ht="15" customHeight="1" x14ac:dyDescent="0.25">
      <c r="A412" t="s">
        <v>36</v>
      </c>
      <c r="B412" t="s">
        <v>37</v>
      </c>
      <c r="C412" t="s">
        <v>37</v>
      </c>
      <c r="D412" t="s">
        <v>38</v>
      </c>
      <c r="E412" s="4">
        <v>140</v>
      </c>
      <c r="F412" s="5">
        <v>3689</v>
      </c>
      <c r="G412" s="5" t="s">
        <v>39</v>
      </c>
      <c r="H412" s="5">
        <v>5392.8</v>
      </c>
      <c r="I412" s="5" t="s">
        <v>39</v>
      </c>
      <c r="J412" s="5">
        <v>125.426</v>
      </c>
      <c r="K412" s="5">
        <f t="shared" si="18"/>
        <v>0.89590000000000003</v>
      </c>
      <c r="L412" s="5">
        <f t="shared" si="19"/>
        <v>26.35</v>
      </c>
      <c r="M412" s="5" t="s">
        <v>39</v>
      </c>
      <c r="N412" s="5">
        <v>125.426</v>
      </c>
      <c r="O412" s="5" t="s">
        <v>39</v>
      </c>
      <c r="P412" t="s">
        <v>159</v>
      </c>
      <c r="Q412" t="s">
        <v>818</v>
      </c>
      <c r="R412" t="s">
        <v>37</v>
      </c>
      <c r="S412" t="s">
        <v>819</v>
      </c>
      <c r="T412" t="s">
        <v>43</v>
      </c>
      <c r="U412" t="s">
        <v>44</v>
      </c>
      <c r="V412">
        <v>147</v>
      </c>
      <c r="W412" t="s">
        <v>45</v>
      </c>
      <c r="X412" t="s">
        <v>53</v>
      </c>
      <c r="Y412" t="s">
        <v>820</v>
      </c>
      <c r="Z412" t="s">
        <v>37</v>
      </c>
      <c r="AA412" t="s">
        <v>61</v>
      </c>
      <c r="AB412" t="s">
        <v>37</v>
      </c>
      <c r="AC412" s="6" t="s">
        <v>37</v>
      </c>
      <c r="AD412" s="6" t="s">
        <v>37</v>
      </c>
      <c r="AE412" t="s">
        <v>37</v>
      </c>
      <c r="AF412" t="s">
        <v>37</v>
      </c>
      <c r="AG412" s="6" t="s">
        <v>37</v>
      </c>
      <c r="AH412" t="s">
        <v>37</v>
      </c>
      <c r="AI412" t="s">
        <v>37</v>
      </c>
      <c r="AJ412" t="str">
        <f t="shared" si="20"/>
        <v>84Q57SSPB07W5JHM12</v>
      </c>
    </row>
    <row r="413" spans="1:36" ht="15" customHeight="1" x14ac:dyDescent="0.25">
      <c r="A413" t="s">
        <v>67</v>
      </c>
      <c r="B413" t="s">
        <v>37</v>
      </c>
      <c r="C413" t="s">
        <v>37</v>
      </c>
      <c r="D413" t="s">
        <v>38</v>
      </c>
      <c r="E413" s="4">
        <v>16</v>
      </c>
      <c r="F413" s="5">
        <v>280.95999999999998</v>
      </c>
      <c r="G413" s="5" t="s">
        <v>39</v>
      </c>
      <c r="H413" s="5">
        <v>280.95999999999998</v>
      </c>
      <c r="I413" s="5" t="s">
        <v>39</v>
      </c>
      <c r="J413" s="5">
        <v>9.5526400000000002</v>
      </c>
      <c r="K413" s="5">
        <f t="shared" si="18"/>
        <v>0.59704000000000002</v>
      </c>
      <c r="L413" s="5">
        <f t="shared" si="19"/>
        <v>17.559999999999999</v>
      </c>
      <c r="M413" s="5" t="s">
        <v>39</v>
      </c>
      <c r="N413" s="5">
        <v>9.5526400000000002</v>
      </c>
      <c r="O413" s="5" t="s">
        <v>39</v>
      </c>
      <c r="P413" t="s">
        <v>182</v>
      </c>
      <c r="Q413" t="s">
        <v>821</v>
      </c>
      <c r="R413" t="s">
        <v>37</v>
      </c>
      <c r="S413" t="s">
        <v>822</v>
      </c>
      <c r="T413" t="s">
        <v>43</v>
      </c>
      <c r="U413" t="s">
        <v>44</v>
      </c>
      <c r="V413">
        <v>147</v>
      </c>
      <c r="W413" t="s">
        <v>45</v>
      </c>
      <c r="X413" t="s">
        <v>75</v>
      </c>
      <c r="Y413" t="s">
        <v>823</v>
      </c>
      <c r="Z413" t="s">
        <v>37</v>
      </c>
      <c r="AA413" t="s">
        <v>61</v>
      </c>
      <c r="AB413" t="s">
        <v>37</v>
      </c>
      <c r="AC413" s="6" t="s">
        <v>37</v>
      </c>
      <c r="AD413" s="6" t="s">
        <v>37</v>
      </c>
      <c r="AE413" t="s">
        <v>37</v>
      </c>
      <c r="AF413" t="s">
        <v>37</v>
      </c>
      <c r="AG413" s="6" t="s">
        <v>37</v>
      </c>
      <c r="AH413" t="s">
        <v>37</v>
      </c>
      <c r="AI413" t="s">
        <v>37</v>
      </c>
      <c r="AJ413" t="str">
        <f t="shared" si="20"/>
        <v>5UESXM5PB00IOIJQ46</v>
      </c>
    </row>
    <row r="414" spans="1:36" ht="15" customHeight="1" x14ac:dyDescent="0.25">
      <c r="A414" t="s">
        <v>67</v>
      </c>
      <c r="B414" t="s">
        <v>37</v>
      </c>
      <c r="C414" t="s">
        <v>37</v>
      </c>
      <c r="D414" t="s">
        <v>38</v>
      </c>
      <c r="E414" s="4">
        <v>544</v>
      </c>
      <c r="F414" s="5">
        <v>31552</v>
      </c>
      <c r="G414" s="5" t="s">
        <v>39</v>
      </c>
      <c r="H414" s="5">
        <v>44586.239999999998</v>
      </c>
      <c r="I414" s="5" t="s">
        <v>39</v>
      </c>
      <c r="J414" s="5">
        <v>1072.768</v>
      </c>
      <c r="K414" s="5">
        <f t="shared" si="18"/>
        <v>1.972</v>
      </c>
      <c r="L414" s="5">
        <f t="shared" si="19"/>
        <v>58</v>
      </c>
      <c r="M414" s="5" t="s">
        <v>39</v>
      </c>
      <c r="N414" s="5">
        <v>1072.768</v>
      </c>
      <c r="O414" s="5" t="s">
        <v>39</v>
      </c>
      <c r="P414" t="s">
        <v>63</v>
      </c>
      <c r="Q414" t="s">
        <v>824</v>
      </c>
      <c r="R414" t="s">
        <v>37</v>
      </c>
      <c r="S414" t="s">
        <v>825</v>
      </c>
      <c r="T414" t="s">
        <v>43</v>
      </c>
      <c r="U414" t="s">
        <v>44</v>
      </c>
      <c r="V414">
        <v>147</v>
      </c>
      <c r="W414" t="s">
        <v>45</v>
      </c>
      <c r="X414" t="s">
        <v>177</v>
      </c>
      <c r="Y414" t="s">
        <v>826</v>
      </c>
      <c r="Z414" t="s">
        <v>37</v>
      </c>
      <c r="AA414" t="s">
        <v>61</v>
      </c>
      <c r="AB414" t="s">
        <v>37</v>
      </c>
      <c r="AC414" s="6" t="s">
        <v>37</v>
      </c>
      <c r="AD414" s="6" t="s">
        <v>37</v>
      </c>
      <c r="AE414" t="s">
        <v>37</v>
      </c>
      <c r="AF414" t="s">
        <v>37</v>
      </c>
      <c r="AG414" s="6" t="s">
        <v>37</v>
      </c>
      <c r="AH414" t="s">
        <v>37</v>
      </c>
      <c r="AI414" t="s">
        <v>37</v>
      </c>
      <c r="AJ414" t="str">
        <f t="shared" si="20"/>
        <v>3AWPOPBJB07MM4V7NR</v>
      </c>
    </row>
    <row r="415" spans="1:36" ht="15" customHeight="1" x14ac:dyDescent="0.25">
      <c r="A415" t="s">
        <v>67</v>
      </c>
      <c r="B415" t="s">
        <v>37</v>
      </c>
      <c r="C415" t="s">
        <v>37</v>
      </c>
      <c r="D415" t="s">
        <v>38</v>
      </c>
      <c r="E415" s="4">
        <v>228</v>
      </c>
      <c r="F415" s="5">
        <v>4628.3999999999996</v>
      </c>
      <c r="G415" s="5" t="s">
        <v>39</v>
      </c>
      <c r="H415" s="5">
        <v>6726</v>
      </c>
      <c r="I415" s="5" t="s">
        <v>39</v>
      </c>
      <c r="J415" s="5">
        <v>157.3656</v>
      </c>
      <c r="K415" s="5">
        <f t="shared" si="18"/>
        <v>0.69020000000000004</v>
      </c>
      <c r="L415" s="5">
        <f t="shared" si="19"/>
        <v>20.299999999999997</v>
      </c>
      <c r="M415" s="5" t="s">
        <v>39</v>
      </c>
      <c r="N415" s="5">
        <v>157.3656</v>
      </c>
      <c r="O415" s="5" t="s">
        <v>39</v>
      </c>
      <c r="P415" t="s">
        <v>245</v>
      </c>
      <c r="Q415" t="s">
        <v>135</v>
      </c>
      <c r="R415" t="s">
        <v>37</v>
      </c>
      <c r="S415" t="s">
        <v>136</v>
      </c>
      <c r="T415" t="s">
        <v>43</v>
      </c>
      <c r="U415" t="s">
        <v>44</v>
      </c>
      <c r="V415">
        <v>147</v>
      </c>
      <c r="W415" t="s">
        <v>45</v>
      </c>
      <c r="X415" t="s">
        <v>75</v>
      </c>
      <c r="Y415" t="s">
        <v>137</v>
      </c>
      <c r="Z415" t="s">
        <v>37</v>
      </c>
      <c r="AA415" t="s">
        <v>61</v>
      </c>
      <c r="AB415" t="s">
        <v>37</v>
      </c>
      <c r="AC415" s="6" t="s">
        <v>37</v>
      </c>
      <c r="AD415" s="6" t="s">
        <v>37</v>
      </c>
      <c r="AE415" t="s">
        <v>37</v>
      </c>
      <c r="AF415" t="s">
        <v>37</v>
      </c>
      <c r="AG415" s="6" t="s">
        <v>37</v>
      </c>
      <c r="AH415" t="s">
        <v>37</v>
      </c>
      <c r="AI415" t="s">
        <v>37</v>
      </c>
      <c r="AJ415" t="str">
        <f t="shared" si="20"/>
        <v>6ZGQP34KB07W5JK4LF</v>
      </c>
    </row>
    <row r="416" spans="1:36" ht="15" customHeight="1" x14ac:dyDescent="0.25">
      <c r="A416" t="s">
        <v>36</v>
      </c>
      <c r="B416" t="s">
        <v>37</v>
      </c>
      <c r="C416" t="s">
        <v>37</v>
      </c>
      <c r="D416" t="s">
        <v>38</v>
      </c>
      <c r="E416" s="4">
        <v>6</v>
      </c>
      <c r="F416" s="5">
        <v>503.34</v>
      </c>
      <c r="G416" s="5" t="s">
        <v>39</v>
      </c>
      <c r="H416" s="5">
        <v>811.44</v>
      </c>
      <c r="I416" s="5" t="s">
        <v>39</v>
      </c>
      <c r="J416" s="5">
        <v>17.11356</v>
      </c>
      <c r="K416" s="5">
        <f t="shared" si="18"/>
        <v>2.8522599999999998</v>
      </c>
      <c r="L416" s="5">
        <f t="shared" si="19"/>
        <v>83.89</v>
      </c>
      <c r="M416" s="5" t="s">
        <v>39</v>
      </c>
      <c r="N416" s="5">
        <v>17.11356</v>
      </c>
      <c r="O416" s="5" t="s">
        <v>39</v>
      </c>
      <c r="P416" t="s">
        <v>55</v>
      </c>
      <c r="Q416" t="s">
        <v>485</v>
      </c>
      <c r="R416" t="s">
        <v>37</v>
      </c>
      <c r="S416" t="s">
        <v>486</v>
      </c>
      <c r="T416" t="s">
        <v>43</v>
      </c>
      <c r="U416" t="s">
        <v>44</v>
      </c>
      <c r="V416">
        <v>147</v>
      </c>
      <c r="W416" t="s">
        <v>45</v>
      </c>
      <c r="X416" t="s">
        <v>46</v>
      </c>
      <c r="Y416" t="s">
        <v>487</v>
      </c>
      <c r="Z416" t="s">
        <v>37</v>
      </c>
      <c r="AA416" t="s">
        <v>48</v>
      </c>
      <c r="AB416" t="s">
        <v>37</v>
      </c>
      <c r="AC416" s="6" t="s">
        <v>37</v>
      </c>
      <c r="AD416" s="6" t="s">
        <v>37</v>
      </c>
      <c r="AE416" t="s">
        <v>37</v>
      </c>
      <c r="AF416" t="s">
        <v>37</v>
      </c>
      <c r="AG416" s="6" t="s">
        <v>37</v>
      </c>
      <c r="AH416" t="s">
        <v>37</v>
      </c>
      <c r="AI416" t="s">
        <v>37</v>
      </c>
      <c r="AJ416" t="str">
        <f t="shared" si="20"/>
        <v>3WIANGOBB01MCXJWD1</v>
      </c>
    </row>
    <row r="417" spans="1:36" ht="15" customHeight="1" x14ac:dyDescent="0.25">
      <c r="A417" t="s">
        <v>67</v>
      </c>
      <c r="B417" t="s">
        <v>37</v>
      </c>
      <c r="C417" t="s">
        <v>37</v>
      </c>
      <c r="D417" t="s">
        <v>38</v>
      </c>
      <c r="E417" s="4">
        <v>164</v>
      </c>
      <c r="F417" s="5">
        <v>4321.3999999999996</v>
      </c>
      <c r="G417" s="5" t="s">
        <v>39</v>
      </c>
      <c r="H417" s="5">
        <v>13856.36</v>
      </c>
      <c r="I417" s="5" t="s">
        <v>39</v>
      </c>
      <c r="J417" s="5">
        <v>146.92760000000001</v>
      </c>
      <c r="K417" s="5">
        <f t="shared" si="18"/>
        <v>0.89590000000000003</v>
      </c>
      <c r="L417" s="5">
        <f t="shared" si="19"/>
        <v>26.349999999999998</v>
      </c>
      <c r="M417" s="5" t="s">
        <v>39</v>
      </c>
      <c r="N417" s="5">
        <v>146.92760000000001</v>
      </c>
      <c r="O417" s="5" t="s">
        <v>39</v>
      </c>
      <c r="P417" t="s">
        <v>63</v>
      </c>
      <c r="Q417" t="s">
        <v>436</v>
      </c>
      <c r="R417" t="s">
        <v>37</v>
      </c>
      <c r="S417" t="s">
        <v>437</v>
      </c>
      <c r="T417" t="s">
        <v>43</v>
      </c>
      <c r="U417" t="s">
        <v>44</v>
      </c>
      <c r="V417">
        <v>147</v>
      </c>
      <c r="W417" t="s">
        <v>45</v>
      </c>
      <c r="X417" t="s">
        <v>177</v>
      </c>
      <c r="Y417" t="s">
        <v>438</v>
      </c>
      <c r="Z417" t="s">
        <v>37</v>
      </c>
      <c r="AA417" t="s">
        <v>48</v>
      </c>
      <c r="AB417" t="s">
        <v>37</v>
      </c>
      <c r="AC417" s="6" t="s">
        <v>37</v>
      </c>
      <c r="AD417" s="6" t="s">
        <v>37</v>
      </c>
      <c r="AE417" t="s">
        <v>37</v>
      </c>
      <c r="AF417" t="s">
        <v>37</v>
      </c>
      <c r="AG417" s="6" t="s">
        <v>37</v>
      </c>
      <c r="AH417" t="s">
        <v>37</v>
      </c>
      <c r="AI417" t="s">
        <v>37</v>
      </c>
      <c r="AJ417" t="str">
        <f t="shared" si="20"/>
        <v>3AWPOPBJB005BFCNYU</v>
      </c>
    </row>
    <row r="418" spans="1:36" ht="15" customHeight="1" x14ac:dyDescent="0.25">
      <c r="A418" t="s">
        <v>77</v>
      </c>
      <c r="B418" t="s">
        <v>37</v>
      </c>
      <c r="C418" t="s">
        <v>37</v>
      </c>
      <c r="D418" t="s">
        <v>38</v>
      </c>
      <c r="E418" s="4">
        <v>4</v>
      </c>
      <c r="F418" s="5">
        <v>73.84</v>
      </c>
      <c r="G418" s="5" t="s">
        <v>39</v>
      </c>
      <c r="H418" s="5">
        <v>128.19999999999999</v>
      </c>
      <c r="I418" s="5" t="s">
        <v>39</v>
      </c>
      <c r="J418" s="5">
        <v>2.5105599999999999</v>
      </c>
      <c r="K418" s="5">
        <f t="shared" si="18"/>
        <v>0.62763999999999998</v>
      </c>
      <c r="L418" s="5">
        <f t="shared" si="19"/>
        <v>18.46</v>
      </c>
      <c r="M418" s="5" t="s">
        <v>39</v>
      </c>
      <c r="N418" s="5">
        <v>2.5105599999999999</v>
      </c>
      <c r="O418" s="5" t="s">
        <v>39</v>
      </c>
      <c r="P418" t="s">
        <v>827</v>
      </c>
      <c r="Q418" t="s">
        <v>426</v>
      </c>
      <c r="R418" t="s">
        <v>37</v>
      </c>
      <c r="S418" t="s">
        <v>427</v>
      </c>
      <c r="T418" t="s">
        <v>43</v>
      </c>
      <c r="U418" t="s">
        <v>44</v>
      </c>
      <c r="V418">
        <v>147</v>
      </c>
      <c r="W418" t="s">
        <v>45</v>
      </c>
      <c r="X418" t="s">
        <v>46</v>
      </c>
      <c r="Y418" t="s">
        <v>428</v>
      </c>
      <c r="Z418" t="s">
        <v>37</v>
      </c>
      <c r="AA418" t="s">
        <v>48</v>
      </c>
      <c r="AB418" t="s">
        <v>37</v>
      </c>
      <c r="AC418" s="6" t="s">
        <v>37</v>
      </c>
      <c r="AD418" s="6" t="s">
        <v>37</v>
      </c>
      <c r="AE418" t="s">
        <v>37</v>
      </c>
      <c r="AF418" t="s">
        <v>37</v>
      </c>
      <c r="AG418" s="6" t="s">
        <v>37</v>
      </c>
      <c r="AH418" t="s">
        <v>37</v>
      </c>
      <c r="AI418" t="s">
        <v>37</v>
      </c>
      <c r="AJ418" t="str">
        <f t="shared" si="20"/>
        <v>3XMQQXHMB00CJ5FP04</v>
      </c>
    </row>
    <row r="419" spans="1:36" ht="15" customHeight="1" x14ac:dyDescent="0.25">
      <c r="A419" t="s">
        <v>420</v>
      </c>
      <c r="B419" t="s">
        <v>37</v>
      </c>
      <c r="C419" t="s">
        <v>37</v>
      </c>
      <c r="D419" t="s">
        <v>38</v>
      </c>
      <c r="E419" s="4">
        <v>0</v>
      </c>
      <c r="F419" s="5">
        <v>0</v>
      </c>
      <c r="G419" s="5" t="s">
        <v>39</v>
      </c>
      <c r="H419" s="5">
        <v>0</v>
      </c>
      <c r="I419" s="5" t="s">
        <v>39</v>
      </c>
      <c r="J419" s="5">
        <v>0</v>
      </c>
      <c r="K419" s="5" t="e">
        <f t="shared" si="18"/>
        <v>#DIV/0!</v>
      </c>
      <c r="L419" s="5" t="e">
        <f t="shared" si="19"/>
        <v>#DIV/0!</v>
      </c>
      <c r="M419" s="5" t="s">
        <v>39</v>
      </c>
      <c r="N419" s="5">
        <v>0</v>
      </c>
      <c r="O419" s="5" t="s">
        <v>39</v>
      </c>
      <c r="P419" t="s">
        <v>63</v>
      </c>
      <c r="Q419" t="s">
        <v>436</v>
      </c>
      <c r="R419" t="s">
        <v>37</v>
      </c>
      <c r="S419" t="s">
        <v>437</v>
      </c>
      <c r="T419" t="s">
        <v>43</v>
      </c>
      <c r="U419" t="s">
        <v>44</v>
      </c>
      <c r="V419">
        <v>147</v>
      </c>
      <c r="W419" t="s">
        <v>45</v>
      </c>
      <c r="X419" t="s">
        <v>177</v>
      </c>
      <c r="Y419" t="s">
        <v>438</v>
      </c>
      <c r="Z419" t="s">
        <v>37</v>
      </c>
      <c r="AA419" t="s">
        <v>48</v>
      </c>
      <c r="AB419" t="s">
        <v>37</v>
      </c>
      <c r="AC419" s="6" t="s">
        <v>37</v>
      </c>
      <c r="AD419" s="6" t="s">
        <v>37</v>
      </c>
      <c r="AE419" t="s">
        <v>37</v>
      </c>
      <c r="AF419" t="s">
        <v>37</v>
      </c>
      <c r="AG419" s="6" t="s">
        <v>37</v>
      </c>
      <c r="AH419" t="s">
        <v>37</v>
      </c>
      <c r="AI419" t="s">
        <v>37</v>
      </c>
      <c r="AJ419" t="str">
        <f t="shared" si="20"/>
        <v>3AWPOPBJB005BFCNYU</v>
      </c>
    </row>
    <row r="420" spans="1:36" ht="15" customHeight="1" x14ac:dyDescent="0.25">
      <c r="A420" t="s">
        <v>127</v>
      </c>
      <c r="B420" t="s">
        <v>37</v>
      </c>
      <c r="C420" t="s">
        <v>37</v>
      </c>
      <c r="D420" t="s">
        <v>38</v>
      </c>
      <c r="E420" s="4">
        <v>8</v>
      </c>
      <c r="F420" s="5">
        <v>164</v>
      </c>
      <c r="G420" s="5" t="s">
        <v>39</v>
      </c>
      <c r="H420" s="5">
        <v>236</v>
      </c>
      <c r="I420" s="5" t="s">
        <v>39</v>
      </c>
      <c r="J420" s="5">
        <v>5.5759999999999996</v>
      </c>
      <c r="K420" s="5">
        <f t="shared" si="18"/>
        <v>0.69699999999999995</v>
      </c>
      <c r="L420" s="5">
        <f t="shared" si="19"/>
        <v>20.5</v>
      </c>
      <c r="M420" s="5" t="s">
        <v>39</v>
      </c>
      <c r="N420" s="5">
        <v>5.5759999999999996</v>
      </c>
      <c r="O420" s="5" t="s">
        <v>39</v>
      </c>
      <c r="P420" t="s">
        <v>128</v>
      </c>
      <c r="Q420" t="s">
        <v>226</v>
      </c>
      <c r="R420" t="s">
        <v>37</v>
      </c>
      <c r="S420" t="s">
        <v>227</v>
      </c>
      <c r="T420" t="s">
        <v>43</v>
      </c>
      <c r="U420" t="s">
        <v>44</v>
      </c>
      <c r="V420">
        <v>147</v>
      </c>
      <c r="W420" t="s">
        <v>45</v>
      </c>
      <c r="X420" t="s">
        <v>75</v>
      </c>
      <c r="Y420" t="s">
        <v>228</v>
      </c>
      <c r="Z420" t="s">
        <v>37</v>
      </c>
      <c r="AA420" t="s">
        <v>48</v>
      </c>
      <c r="AB420" t="s">
        <v>37</v>
      </c>
      <c r="AC420" s="6" t="s">
        <v>37</v>
      </c>
      <c r="AD420" s="6" t="s">
        <v>37</v>
      </c>
      <c r="AE420" t="s">
        <v>37</v>
      </c>
      <c r="AF420" t="s">
        <v>37</v>
      </c>
      <c r="AG420" s="6" t="s">
        <v>37</v>
      </c>
      <c r="AH420" t="s">
        <v>37</v>
      </c>
      <c r="AI420" t="s">
        <v>37</v>
      </c>
      <c r="AJ420" t="str">
        <f t="shared" si="20"/>
        <v>5DN5PI5YB01C47ZFLK</v>
      </c>
    </row>
    <row r="421" spans="1:36" ht="15" customHeight="1" x14ac:dyDescent="0.25">
      <c r="A421" t="s">
        <v>133</v>
      </c>
      <c r="B421" t="s">
        <v>37</v>
      </c>
      <c r="C421" t="s">
        <v>37</v>
      </c>
      <c r="D421" t="s">
        <v>38</v>
      </c>
      <c r="E421" s="4">
        <v>8</v>
      </c>
      <c r="F421" s="5">
        <v>671.12</v>
      </c>
      <c r="G421" s="5" t="s">
        <v>39</v>
      </c>
      <c r="H421" s="5">
        <v>1081.92</v>
      </c>
      <c r="I421" s="5" t="s">
        <v>39</v>
      </c>
      <c r="J421" s="5">
        <v>22.818079999999998</v>
      </c>
      <c r="K421" s="5">
        <f t="shared" si="18"/>
        <v>2.8522599999999998</v>
      </c>
      <c r="L421" s="5">
        <f t="shared" si="19"/>
        <v>83.89</v>
      </c>
      <c r="M421" s="5" t="s">
        <v>39</v>
      </c>
      <c r="N421" s="5">
        <v>22.818079999999998</v>
      </c>
      <c r="O421" s="5" t="s">
        <v>39</v>
      </c>
      <c r="P421" t="s">
        <v>189</v>
      </c>
      <c r="Q421" t="s">
        <v>350</v>
      </c>
      <c r="R421" t="s">
        <v>37</v>
      </c>
      <c r="S421" t="s">
        <v>351</v>
      </c>
      <c r="T421" t="s">
        <v>43</v>
      </c>
      <c r="U421" t="s">
        <v>44</v>
      </c>
      <c r="V421">
        <v>147</v>
      </c>
      <c r="W421" t="s">
        <v>45</v>
      </c>
      <c r="X421" t="s">
        <v>53</v>
      </c>
      <c r="Y421" t="s">
        <v>352</v>
      </c>
      <c r="Z421" t="s">
        <v>37</v>
      </c>
      <c r="AA421" t="s">
        <v>61</v>
      </c>
      <c r="AB421" t="s">
        <v>37</v>
      </c>
      <c r="AC421" s="6" t="s">
        <v>37</v>
      </c>
      <c r="AD421" s="6" t="s">
        <v>37</v>
      </c>
      <c r="AE421" t="s">
        <v>37</v>
      </c>
      <c r="AF421" t="s">
        <v>37</v>
      </c>
      <c r="AG421" s="6" t="s">
        <v>37</v>
      </c>
      <c r="AH421" t="s">
        <v>37</v>
      </c>
      <c r="AI421" t="s">
        <v>37</v>
      </c>
      <c r="AJ421" t="str">
        <f t="shared" si="20"/>
        <v>6DPU2MKPB07W7MKLNT</v>
      </c>
    </row>
    <row r="422" spans="1:36" ht="15" customHeight="1" x14ac:dyDescent="0.25">
      <c r="A422" t="s">
        <v>49</v>
      </c>
      <c r="B422" t="s">
        <v>37</v>
      </c>
      <c r="C422" t="s">
        <v>37</v>
      </c>
      <c r="D422" t="s">
        <v>38</v>
      </c>
      <c r="E422" s="4">
        <v>2</v>
      </c>
      <c r="F422" s="5">
        <v>212.98</v>
      </c>
      <c r="G422" s="5" t="s">
        <v>39</v>
      </c>
      <c r="H422" s="5">
        <v>342.6</v>
      </c>
      <c r="I422" s="5" t="s">
        <v>39</v>
      </c>
      <c r="J422" s="5">
        <v>7.24132</v>
      </c>
      <c r="K422" s="5">
        <f t="shared" si="18"/>
        <v>3.62066</v>
      </c>
      <c r="L422" s="5">
        <f t="shared" si="19"/>
        <v>106.49</v>
      </c>
      <c r="M422" s="5" t="s">
        <v>39</v>
      </c>
      <c r="N422" s="5">
        <v>7.24132</v>
      </c>
      <c r="O422" s="5" t="s">
        <v>39</v>
      </c>
      <c r="P422" t="s">
        <v>50</v>
      </c>
      <c r="Q422" t="s">
        <v>622</v>
      </c>
      <c r="R422" t="s">
        <v>37</v>
      </c>
      <c r="S422" t="s">
        <v>623</v>
      </c>
      <c r="T422" t="s">
        <v>43</v>
      </c>
      <c r="U422" t="s">
        <v>44</v>
      </c>
      <c r="V422">
        <v>23</v>
      </c>
      <c r="W422" t="s">
        <v>624</v>
      </c>
      <c r="X422" t="s">
        <v>625</v>
      </c>
      <c r="Y422" t="s">
        <v>626</v>
      </c>
      <c r="Z422" t="s">
        <v>37</v>
      </c>
      <c r="AA422" t="s">
        <v>145</v>
      </c>
      <c r="AB422" t="s">
        <v>37</v>
      </c>
      <c r="AC422" s="6" t="s">
        <v>37</v>
      </c>
      <c r="AD422" s="6" t="s">
        <v>37</v>
      </c>
      <c r="AE422" t="s">
        <v>37</v>
      </c>
      <c r="AF422" t="s">
        <v>37</v>
      </c>
      <c r="AG422" s="6" t="s">
        <v>37</v>
      </c>
      <c r="AH422" t="s">
        <v>37</v>
      </c>
      <c r="AI422" t="s">
        <v>37</v>
      </c>
      <c r="AJ422" t="str">
        <f t="shared" si="20"/>
        <v>54U7COBYB07G6MYMKD</v>
      </c>
    </row>
    <row r="423" spans="1:36" ht="15" customHeight="1" x14ac:dyDescent="0.25">
      <c r="A423" t="s">
        <v>36</v>
      </c>
      <c r="B423" t="s">
        <v>37</v>
      </c>
      <c r="C423" t="s">
        <v>37</v>
      </c>
      <c r="D423" t="s">
        <v>38</v>
      </c>
      <c r="E423" s="4">
        <v>40</v>
      </c>
      <c r="F423" s="5">
        <v>3016.4</v>
      </c>
      <c r="G423" s="5" t="s">
        <v>39</v>
      </c>
      <c r="H423" s="5">
        <v>4426</v>
      </c>
      <c r="I423" s="5" t="s">
        <v>39</v>
      </c>
      <c r="J423" s="5">
        <v>102.55759999999999</v>
      </c>
      <c r="K423" s="5">
        <f t="shared" si="18"/>
        <v>2.5639399999999997</v>
      </c>
      <c r="L423" s="5">
        <f t="shared" si="19"/>
        <v>75.41</v>
      </c>
      <c r="M423" s="5" t="s">
        <v>39</v>
      </c>
      <c r="N423" s="5">
        <v>102.55759999999999</v>
      </c>
      <c r="O423" s="5" t="s">
        <v>39</v>
      </c>
      <c r="P423" t="s">
        <v>40</v>
      </c>
      <c r="Q423" t="s">
        <v>242</v>
      </c>
      <c r="R423" t="s">
        <v>37</v>
      </c>
      <c r="S423" t="s">
        <v>243</v>
      </c>
      <c r="T423" t="s">
        <v>43</v>
      </c>
      <c r="U423" t="s">
        <v>44</v>
      </c>
      <c r="V423">
        <v>147</v>
      </c>
      <c r="W423" t="s">
        <v>45</v>
      </c>
      <c r="X423" t="s">
        <v>53</v>
      </c>
      <c r="Y423" t="s">
        <v>244</v>
      </c>
      <c r="Z423" t="s">
        <v>37</v>
      </c>
      <c r="AA423" t="s">
        <v>48</v>
      </c>
      <c r="AB423" t="s">
        <v>37</v>
      </c>
      <c r="AC423" s="6" t="s">
        <v>37</v>
      </c>
      <c r="AD423" s="6" t="s">
        <v>37</v>
      </c>
      <c r="AE423" t="s">
        <v>37</v>
      </c>
      <c r="AF423" t="s">
        <v>37</v>
      </c>
      <c r="AG423" s="6" t="s">
        <v>37</v>
      </c>
      <c r="AH423" t="s">
        <v>37</v>
      </c>
      <c r="AI423" t="s">
        <v>37</v>
      </c>
      <c r="AJ423" t="str">
        <f t="shared" si="20"/>
        <v>8IC45Q9KB07W6HDNNV</v>
      </c>
    </row>
    <row r="424" spans="1:36" ht="15" customHeight="1" x14ac:dyDescent="0.25">
      <c r="A424" t="s">
        <v>36</v>
      </c>
      <c r="B424" t="s">
        <v>37</v>
      </c>
      <c r="C424" t="s">
        <v>37</v>
      </c>
      <c r="D424" t="s">
        <v>38</v>
      </c>
      <c r="E424" s="4">
        <v>8</v>
      </c>
      <c r="F424" s="5">
        <v>164</v>
      </c>
      <c r="G424" s="5" t="s">
        <v>39</v>
      </c>
      <c r="H424" s="5">
        <v>236</v>
      </c>
      <c r="I424" s="5" t="s">
        <v>39</v>
      </c>
      <c r="J424" s="5">
        <v>5.5759999999999996</v>
      </c>
      <c r="K424" s="5">
        <f t="shared" si="18"/>
        <v>0.69699999999999995</v>
      </c>
      <c r="L424" s="5">
        <f t="shared" si="19"/>
        <v>20.5</v>
      </c>
      <c r="M424" s="5" t="s">
        <v>39</v>
      </c>
      <c r="N424" s="5">
        <v>5.5759999999999996</v>
      </c>
      <c r="O424" s="5" t="s">
        <v>39</v>
      </c>
      <c r="P424" t="s">
        <v>167</v>
      </c>
      <c r="Q424" t="s">
        <v>129</v>
      </c>
      <c r="R424" t="s">
        <v>37</v>
      </c>
      <c r="S424" t="s">
        <v>130</v>
      </c>
      <c r="T424" t="s">
        <v>43</v>
      </c>
      <c r="U424" t="s">
        <v>44</v>
      </c>
      <c r="V424">
        <v>147</v>
      </c>
      <c r="W424" t="s">
        <v>45</v>
      </c>
      <c r="X424" t="s">
        <v>75</v>
      </c>
      <c r="Y424" t="s">
        <v>131</v>
      </c>
      <c r="Z424" t="s">
        <v>37</v>
      </c>
      <c r="AA424" t="s">
        <v>61</v>
      </c>
      <c r="AB424" t="s">
        <v>37</v>
      </c>
      <c r="AC424" s="6" t="s">
        <v>37</v>
      </c>
      <c r="AD424" s="6" t="s">
        <v>37</v>
      </c>
      <c r="AE424" t="s">
        <v>37</v>
      </c>
      <c r="AF424" t="s">
        <v>37</v>
      </c>
      <c r="AG424" s="6" t="s">
        <v>37</v>
      </c>
      <c r="AH424" t="s">
        <v>37</v>
      </c>
      <c r="AI424" t="s">
        <v>37</v>
      </c>
      <c r="AJ424" t="str">
        <f t="shared" si="20"/>
        <v>4FFLHW5MB0078M385M</v>
      </c>
    </row>
    <row r="425" spans="1:36" ht="15" customHeight="1" x14ac:dyDescent="0.25">
      <c r="A425" t="s">
        <v>67</v>
      </c>
      <c r="B425" t="s">
        <v>37</v>
      </c>
      <c r="C425" t="s">
        <v>37</v>
      </c>
      <c r="D425" t="s">
        <v>38</v>
      </c>
      <c r="E425" s="4">
        <v>8</v>
      </c>
      <c r="F425" s="5">
        <v>126.56</v>
      </c>
      <c r="G425" s="5" t="s">
        <v>39</v>
      </c>
      <c r="H425" s="5">
        <v>203.2</v>
      </c>
      <c r="I425" s="5" t="s">
        <v>39</v>
      </c>
      <c r="J425" s="5">
        <v>4.3030400000000002</v>
      </c>
      <c r="K425" s="5">
        <f t="shared" si="18"/>
        <v>0.53788000000000002</v>
      </c>
      <c r="L425" s="5">
        <f t="shared" si="19"/>
        <v>15.82</v>
      </c>
      <c r="M425" s="5" t="s">
        <v>39</v>
      </c>
      <c r="N425" s="5">
        <v>4.3030400000000002</v>
      </c>
      <c r="O425" s="5" t="s">
        <v>39</v>
      </c>
      <c r="P425" t="s">
        <v>182</v>
      </c>
      <c r="Q425" t="s">
        <v>120</v>
      </c>
      <c r="R425" t="s">
        <v>37</v>
      </c>
      <c r="S425" t="s">
        <v>121</v>
      </c>
      <c r="T425" t="s">
        <v>43</v>
      </c>
      <c r="U425" t="s">
        <v>44</v>
      </c>
      <c r="V425">
        <v>147</v>
      </c>
      <c r="W425" t="s">
        <v>45</v>
      </c>
      <c r="X425" t="s">
        <v>46</v>
      </c>
      <c r="Y425" t="s">
        <v>122</v>
      </c>
      <c r="Z425" t="s">
        <v>37</v>
      </c>
      <c r="AA425" t="s">
        <v>48</v>
      </c>
      <c r="AB425" t="s">
        <v>37</v>
      </c>
      <c r="AC425" s="6" t="s">
        <v>37</v>
      </c>
      <c r="AD425" s="6" t="s">
        <v>37</v>
      </c>
      <c r="AE425" t="s">
        <v>37</v>
      </c>
      <c r="AF425" t="s">
        <v>37</v>
      </c>
      <c r="AG425" s="6" t="s">
        <v>37</v>
      </c>
      <c r="AH425" t="s">
        <v>37</v>
      </c>
      <c r="AI425" t="s">
        <v>37</v>
      </c>
      <c r="AJ425" t="str">
        <f t="shared" si="20"/>
        <v>5UESXM5PB01DIJIE1Q</v>
      </c>
    </row>
    <row r="426" spans="1:36" ht="15" customHeight="1" x14ac:dyDescent="0.25">
      <c r="A426" t="s">
        <v>67</v>
      </c>
      <c r="B426" t="s">
        <v>37</v>
      </c>
      <c r="C426" t="s">
        <v>37</v>
      </c>
      <c r="D426" t="s">
        <v>38</v>
      </c>
      <c r="E426" s="4">
        <v>60</v>
      </c>
      <c r="F426" s="5">
        <v>526.79999999999995</v>
      </c>
      <c r="G426" s="5" t="s">
        <v>39</v>
      </c>
      <c r="H426" s="5">
        <v>786.6</v>
      </c>
      <c r="I426" s="5" t="s">
        <v>39</v>
      </c>
      <c r="J426" s="5">
        <v>17.911200000000001</v>
      </c>
      <c r="K426" s="5">
        <f t="shared" si="18"/>
        <v>0.29852000000000001</v>
      </c>
      <c r="L426" s="5">
        <f t="shared" si="19"/>
        <v>8.7799999999999994</v>
      </c>
      <c r="M426" s="5" t="s">
        <v>39</v>
      </c>
      <c r="N426" s="5">
        <v>17.911200000000001</v>
      </c>
      <c r="O426" s="5" t="s">
        <v>39</v>
      </c>
      <c r="P426" t="s">
        <v>108</v>
      </c>
      <c r="Q426" t="s">
        <v>632</v>
      </c>
      <c r="R426" t="s">
        <v>37</v>
      </c>
      <c r="S426" t="s">
        <v>633</v>
      </c>
      <c r="T426" t="s">
        <v>43</v>
      </c>
      <c r="U426" t="s">
        <v>44</v>
      </c>
      <c r="V426">
        <v>147</v>
      </c>
      <c r="W426" t="s">
        <v>45</v>
      </c>
      <c r="X426" t="s">
        <v>53</v>
      </c>
      <c r="Y426" t="s">
        <v>634</v>
      </c>
      <c r="Z426" t="s">
        <v>37</v>
      </c>
      <c r="AA426" t="s">
        <v>61</v>
      </c>
      <c r="AB426" t="s">
        <v>37</v>
      </c>
      <c r="AC426" s="6" t="s">
        <v>37</v>
      </c>
      <c r="AD426" s="6" t="s">
        <v>37</v>
      </c>
      <c r="AE426" t="s">
        <v>37</v>
      </c>
      <c r="AF426" t="s">
        <v>37</v>
      </c>
      <c r="AG426" s="6" t="s">
        <v>37</v>
      </c>
      <c r="AH426" t="s">
        <v>37</v>
      </c>
      <c r="AI426" t="s">
        <v>37</v>
      </c>
      <c r="AJ426" t="str">
        <f t="shared" si="20"/>
        <v>5HGHPU5OB07W4DH9CW</v>
      </c>
    </row>
    <row r="427" spans="1:36" ht="15" customHeight="1" x14ac:dyDescent="0.25">
      <c r="A427" t="s">
        <v>133</v>
      </c>
      <c r="B427" t="s">
        <v>37</v>
      </c>
      <c r="C427" t="s">
        <v>37</v>
      </c>
      <c r="D427" t="s">
        <v>38</v>
      </c>
      <c r="E427" s="4">
        <v>8</v>
      </c>
      <c r="F427" s="5">
        <v>140.47999999999999</v>
      </c>
      <c r="G427" s="5" t="s">
        <v>39</v>
      </c>
      <c r="H427" s="5">
        <v>203.2</v>
      </c>
      <c r="I427" s="5" t="s">
        <v>39</v>
      </c>
      <c r="J427" s="5">
        <v>4.7763200000000001</v>
      </c>
      <c r="K427" s="5">
        <f t="shared" si="18"/>
        <v>0.59704000000000002</v>
      </c>
      <c r="L427" s="5">
        <f t="shared" si="19"/>
        <v>17.559999999999999</v>
      </c>
      <c r="M427" s="5" t="s">
        <v>39</v>
      </c>
      <c r="N427" s="5">
        <v>4.7763200000000001</v>
      </c>
      <c r="O427" s="5" t="s">
        <v>39</v>
      </c>
      <c r="P427" t="s">
        <v>189</v>
      </c>
      <c r="Q427" t="s">
        <v>345</v>
      </c>
      <c r="R427" t="s">
        <v>37</v>
      </c>
      <c r="S427" t="s">
        <v>346</v>
      </c>
      <c r="T427" t="s">
        <v>43</v>
      </c>
      <c r="U427" t="s">
        <v>44</v>
      </c>
      <c r="V427">
        <v>23</v>
      </c>
      <c r="W427" t="s">
        <v>347</v>
      </c>
      <c r="X427" t="s">
        <v>348</v>
      </c>
      <c r="Y427" t="s">
        <v>349</v>
      </c>
      <c r="Z427" t="s">
        <v>37</v>
      </c>
      <c r="AA427" t="s">
        <v>48</v>
      </c>
      <c r="AB427" t="s">
        <v>37</v>
      </c>
      <c r="AC427" s="6" t="s">
        <v>37</v>
      </c>
      <c r="AD427" s="6" t="s">
        <v>37</v>
      </c>
      <c r="AE427" t="s">
        <v>37</v>
      </c>
      <c r="AF427" t="s">
        <v>37</v>
      </c>
      <c r="AG427" s="6" t="s">
        <v>37</v>
      </c>
      <c r="AH427" t="s">
        <v>37</v>
      </c>
      <c r="AI427" t="s">
        <v>37</v>
      </c>
      <c r="AJ427" t="str">
        <f t="shared" si="20"/>
        <v>6DPU2MKPB06W547XN2</v>
      </c>
    </row>
    <row r="428" spans="1:36" ht="15" customHeight="1" x14ac:dyDescent="0.25">
      <c r="A428" t="s">
        <v>36</v>
      </c>
      <c r="B428" t="s">
        <v>37</v>
      </c>
      <c r="C428" t="s">
        <v>37</v>
      </c>
      <c r="D428" t="s">
        <v>38</v>
      </c>
      <c r="E428" s="4">
        <v>12</v>
      </c>
      <c r="F428" s="5">
        <v>506.4</v>
      </c>
      <c r="G428" s="5" t="s">
        <v>39</v>
      </c>
      <c r="H428" s="5">
        <v>806.4</v>
      </c>
      <c r="I428" s="5" t="s">
        <v>39</v>
      </c>
      <c r="J428" s="5">
        <v>17.217600000000001</v>
      </c>
      <c r="K428" s="5">
        <f t="shared" si="18"/>
        <v>1.4348000000000001</v>
      </c>
      <c r="L428" s="5">
        <f t="shared" si="19"/>
        <v>42.199999999999996</v>
      </c>
      <c r="M428" s="5" t="s">
        <v>39</v>
      </c>
      <c r="N428" s="5">
        <v>17.217600000000001</v>
      </c>
      <c r="O428" s="5" t="s">
        <v>39</v>
      </c>
      <c r="P428" t="s">
        <v>89</v>
      </c>
      <c r="Q428" t="s">
        <v>828</v>
      </c>
      <c r="R428" t="s">
        <v>37</v>
      </c>
      <c r="S428" t="s">
        <v>829</v>
      </c>
      <c r="T428" t="s">
        <v>43</v>
      </c>
      <c r="U428" t="s">
        <v>44</v>
      </c>
      <c r="V428">
        <v>23</v>
      </c>
      <c r="W428" t="s">
        <v>95</v>
      </c>
      <c r="X428" t="s">
        <v>96</v>
      </c>
      <c r="Y428" t="s">
        <v>830</v>
      </c>
      <c r="Z428" t="s">
        <v>37</v>
      </c>
      <c r="AA428" t="s">
        <v>145</v>
      </c>
      <c r="AB428" t="s">
        <v>37</v>
      </c>
      <c r="AC428" s="6" t="s">
        <v>37</v>
      </c>
      <c r="AD428" s="6" t="s">
        <v>37</v>
      </c>
      <c r="AE428" t="s">
        <v>37</v>
      </c>
      <c r="AF428" t="s">
        <v>37</v>
      </c>
      <c r="AG428" s="6" t="s">
        <v>37</v>
      </c>
      <c r="AH428" t="s">
        <v>37</v>
      </c>
      <c r="AI428" t="s">
        <v>37</v>
      </c>
      <c r="AJ428" t="str">
        <f t="shared" si="20"/>
        <v>6D1HFTMSB07W6JM35X</v>
      </c>
    </row>
    <row r="429" spans="1:36" ht="15" customHeight="1" x14ac:dyDescent="0.25">
      <c r="A429" t="s">
        <v>36</v>
      </c>
      <c r="B429" t="s">
        <v>37</v>
      </c>
      <c r="C429" t="s">
        <v>37</v>
      </c>
      <c r="D429" t="s">
        <v>38</v>
      </c>
      <c r="E429" s="4">
        <v>4</v>
      </c>
      <c r="F429" s="5">
        <v>105.48</v>
      </c>
      <c r="G429" s="5" t="s">
        <v>39</v>
      </c>
      <c r="H429" s="5">
        <v>170.44</v>
      </c>
      <c r="I429" s="5" t="s">
        <v>39</v>
      </c>
      <c r="J429" s="5">
        <v>3.5863200000000002</v>
      </c>
      <c r="K429" s="5">
        <f t="shared" si="18"/>
        <v>0.89658000000000004</v>
      </c>
      <c r="L429" s="5">
        <f t="shared" si="19"/>
        <v>26.37</v>
      </c>
      <c r="M429" s="5" t="s">
        <v>39</v>
      </c>
      <c r="N429" s="5">
        <v>3.5863200000000002</v>
      </c>
      <c r="O429" s="5" t="s">
        <v>39</v>
      </c>
      <c r="P429" t="s">
        <v>40</v>
      </c>
      <c r="Q429" t="s">
        <v>255</v>
      </c>
      <c r="R429" t="s">
        <v>37</v>
      </c>
      <c r="S429" t="s">
        <v>256</v>
      </c>
      <c r="T429" t="s">
        <v>43</v>
      </c>
      <c r="U429" t="s">
        <v>44</v>
      </c>
      <c r="V429">
        <v>147</v>
      </c>
      <c r="W429" t="s">
        <v>45</v>
      </c>
      <c r="X429" t="s">
        <v>53</v>
      </c>
      <c r="Y429" t="s">
        <v>257</v>
      </c>
      <c r="Z429" t="s">
        <v>37</v>
      </c>
      <c r="AA429" t="s">
        <v>61</v>
      </c>
      <c r="AB429" t="s">
        <v>37</v>
      </c>
      <c r="AC429" s="6" t="s">
        <v>37</v>
      </c>
      <c r="AD429" s="6" t="s">
        <v>37</v>
      </c>
      <c r="AE429" t="s">
        <v>37</v>
      </c>
      <c r="AF429" t="s">
        <v>37</v>
      </c>
      <c r="AG429" s="6" t="s">
        <v>37</v>
      </c>
      <c r="AH429" t="s">
        <v>37</v>
      </c>
      <c r="AI429" t="s">
        <v>37</v>
      </c>
      <c r="AJ429" t="str">
        <f t="shared" si="20"/>
        <v>8IC45Q9KB0766JZ8Q3</v>
      </c>
    </row>
    <row r="430" spans="1:36" ht="15" customHeight="1" x14ac:dyDescent="0.25">
      <c r="A430" t="s">
        <v>36</v>
      </c>
      <c r="B430" t="s">
        <v>37</v>
      </c>
      <c r="C430" t="s">
        <v>37</v>
      </c>
      <c r="D430" t="s">
        <v>38</v>
      </c>
      <c r="E430" s="4">
        <v>40</v>
      </c>
      <c r="F430" s="5">
        <v>398</v>
      </c>
      <c r="G430" s="5" t="s">
        <v>39</v>
      </c>
      <c r="H430" s="5">
        <v>398</v>
      </c>
      <c r="I430" s="5" t="s">
        <v>39</v>
      </c>
      <c r="J430" s="5">
        <v>13.532</v>
      </c>
      <c r="K430" s="5">
        <f t="shared" si="18"/>
        <v>0.33829999999999999</v>
      </c>
      <c r="L430" s="5">
        <f t="shared" si="19"/>
        <v>9.9499999999999993</v>
      </c>
      <c r="M430" s="5" t="s">
        <v>39</v>
      </c>
      <c r="N430" s="5">
        <v>13.532</v>
      </c>
      <c r="O430" s="5" t="s">
        <v>39</v>
      </c>
      <c r="P430" t="s">
        <v>123</v>
      </c>
      <c r="Q430" t="s">
        <v>117</v>
      </c>
      <c r="R430" t="s">
        <v>37</v>
      </c>
      <c r="S430" t="s">
        <v>118</v>
      </c>
      <c r="T430" t="s">
        <v>43</v>
      </c>
      <c r="U430" t="s">
        <v>44</v>
      </c>
      <c r="V430">
        <v>147</v>
      </c>
      <c r="W430" t="s">
        <v>45</v>
      </c>
      <c r="X430" t="s">
        <v>53</v>
      </c>
      <c r="Y430" t="s">
        <v>119</v>
      </c>
      <c r="Z430" t="s">
        <v>37</v>
      </c>
      <c r="AA430" t="s">
        <v>48</v>
      </c>
      <c r="AB430" t="s">
        <v>37</v>
      </c>
      <c r="AC430" s="6" t="s">
        <v>37</v>
      </c>
      <c r="AD430" s="6" t="s">
        <v>37</v>
      </c>
      <c r="AE430" t="s">
        <v>37</v>
      </c>
      <c r="AF430" t="s">
        <v>37</v>
      </c>
      <c r="AG430" s="6" t="s">
        <v>37</v>
      </c>
      <c r="AH430" t="s">
        <v>37</v>
      </c>
      <c r="AI430" t="s">
        <v>37</v>
      </c>
      <c r="AJ430" t="str">
        <f t="shared" si="20"/>
        <v>81V4YVNTB00544XFHC</v>
      </c>
    </row>
    <row r="431" spans="1:36" ht="15" customHeight="1" x14ac:dyDescent="0.25">
      <c r="A431" t="s">
        <v>36</v>
      </c>
      <c r="B431" t="s">
        <v>37</v>
      </c>
      <c r="C431" t="s">
        <v>37</v>
      </c>
      <c r="D431" t="s">
        <v>38</v>
      </c>
      <c r="E431" s="4">
        <v>8</v>
      </c>
      <c r="F431" s="5">
        <v>628.96</v>
      </c>
      <c r="G431" s="5" t="s">
        <v>39</v>
      </c>
      <c r="H431" s="5">
        <v>1016.32</v>
      </c>
      <c r="I431" s="5" t="s">
        <v>39</v>
      </c>
      <c r="J431" s="5">
        <v>21.384640000000001</v>
      </c>
      <c r="K431" s="5">
        <f t="shared" si="18"/>
        <v>2.6730800000000001</v>
      </c>
      <c r="L431" s="5">
        <f t="shared" si="19"/>
        <v>78.62</v>
      </c>
      <c r="M431" s="5" t="s">
        <v>39</v>
      </c>
      <c r="N431" s="5">
        <v>21.384640000000001</v>
      </c>
      <c r="O431" s="5" t="s">
        <v>39</v>
      </c>
      <c r="P431" t="s">
        <v>167</v>
      </c>
      <c r="Q431" t="s">
        <v>581</v>
      </c>
      <c r="R431" t="s">
        <v>37</v>
      </c>
      <c r="S431" t="s">
        <v>582</v>
      </c>
      <c r="T431" t="s">
        <v>43</v>
      </c>
      <c r="U431" t="s">
        <v>44</v>
      </c>
      <c r="V431">
        <v>147</v>
      </c>
      <c r="W431" t="s">
        <v>45</v>
      </c>
      <c r="X431" t="s">
        <v>46</v>
      </c>
      <c r="Y431" t="s">
        <v>583</v>
      </c>
      <c r="Z431" t="s">
        <v>37</v>
      </c>
      <c r="AA431" t="s">
        <v>48</v>
      </c>
      <c r="AB431" t="s">
        <v>37</v>
      </c>
      <c r="AC431" s="6" t="s">
        <v>37</v>
      </c>
      <c r="AD431" s="6" t="s">
        <v>37</v>
      </c>
      <c r="AE431" t="s">
        <v>37</v>
      </c>
      <c r="AF431" t="s">
        <v>37</v>
      </c>
      <c r="AG431" s="6" t="s">
        <v>37</v>
      </c>
      <c r="AH431" t="s">
        <v>37</v>
      </c>
      <c r="AI431" t="s">
        <v>37</v>
      </c>
      <c r="AJ431" t="str">
        <f t="shared" si="20"/>
        <v>4FFLHW5MB074C9LZVX</v>
      </c>
    </row>
    <row r="432" spans="1:36" ht="15" customHeight="1" x14ac:dyDescent="0.25">
      <c r="A432" t="s">
        <v>36</v>
      </c>
      <c r="B432" t="s">
        <v>37</v>
      </c>
      <c r="C432" t="s">
        <v>37</v>
      </c>
      <c r="D432" t="s">
        <v>38</v>
      </c>
      <c r="E432" s="4">
        <v>10</v>
      </c>
      <c r="F432" s="5">
        <v>146.4</v>
      </c>
      <c r="G432" s="5" t="s">
        <v>39</v>
      </c>
      <c r="H432" s="5">
        <v>293.39999999999998</v>
      </c>
      <c r="I432" s="5" t="s">
        <v>39</v>
      </c>
      <c r="J432" s="5">
        <v>4.9775999999999998</v>
      </c>
      <c r="K432" s="5">
        <f t="shared" si="18"/>
        <v>0.49775999999999998</v>
      </c>
      <c r="L432" s="5">
        <f t="shared" si="19"/>
        <v>14.64</v>
      </c>
      <c r="M432" s="5" t="s">
        <v>39</v>
      </c>
      <c r="N432" s="5">
        <v>4.9775999999999998</v>
      </c>
      <c r="O432" s="5" t="s">
        <v>39</v>
      </c>
      <c r="P432" t="s">
        <v>377</v>
      </c>
      <c r="Q432" t="s">
        <v>278</v>
      </c>
      <c r="R432" t="s">
        <v>37</v>
      </c>
      <c r="S432" t="s">
        <v>279</v>
      </c>
      <c r="T432" t="s">
        <v>43</v>
      </c>
      <c r="U432" t="s">
        <v>44</v>
      </c>
      <c r="V432">
        <v>147</v>
      </c>
      <c r="W432" t="s">
        <v>45</v>
      </c>
      <c r="X432" t="s">
        <v>75</v>
      </c>
      <c r="Y432" t="s">
        <v>280</v>
      </c>
      <c r="Z432" t="s">
        <v>37</v>
      </c>
      <c r="AA432" t="s">
        <v>61</v>
      </c>
      <c r="AB432" t="s">
        <v>37</v>
      </c>
      <c r="AC432" s="6" t="s">
        <v>37</v>
      </c>
      <c r="AD432" s="6" t="s">
        <v>37</v>
      </c>
      <c r="AE432" t="s">
        <v>37</v>
      </c>
      <c r="AF432" t="s">
        <v>37</v>
      </c>
      <c r="AG432" s="6" t="s">
        <v>37</v>
      </c>
      <c r="AH432" t="s">
        <v>37</v>
      </c>
      <c r="AI432" t="s">
        <v>37</v>
      </c>
      <c r="AJ432" t="str">
        <f t="shared" si="20"/>
        <v>5IZH76JAB01I252A34</v>
      </c>
    </row>
    <row r="433" spans="1:36" ht="15" customHeight="1" x14ac:dyDescent="0.25">
      <c r="A433" t="s">
        <v>36</v>
      </c>
      <c r="B433" t="s">
        <v>37</v>
      </c>
      <c r="C433" t="s">
        <v>37</v>
      </c>
      <c r="D433" t="s">
        <v>38</v>
      </c>
      <c r="E433" s="4">
        <v>8</v>
      </c>
      <c r="F433" s="5">
        <v>93.68</v>
      </c>
      <c r="G433" s="5" t="s">
        <v>39</v>
      </c>
      <c r="H433" s="5">
        <v>137.44</v>
      </c>
      <c r="I433" s="5" t="s">
        <v>39</v>
      </c>
      <c r="J433" s="5">
        <v>3.18512</v>
      </c>
      <c r="K433" s="5">
        <f t="shared" si="18"/>
        <v>0.39813999999999999</v>
      </c>
      <c r="L433" s="5">
        <f t="shared" si="19"/>
        <v>11.71</v>
      </c>
      <c r="M433" s="5" t="s">
        <v>39</v>
      </c>
      <c r="N433" s="5">
        <v>3.18512</v>
      </c>
      <c r="O433" s="5" t="s">
        <v>39</v>
      </c>
      <c r="P433" t="s">
        <v>89</v>
      </c>
      <c r="Q433" t="s">
        <v>831</v>
      </c>
      <c r="R433" t="s">
        <v>37</v>
      </c>
      <c r="S433" t="s">
        <v>832</v>
      </c>
      <c r="T433" t="s">
        <v>43</v>
      </c>
      <c r="U433" t="s">
        <v>44</v>
      </c>
      <c r="V433">
        <v>147</v>
      </c>
      <c r="W433" t="s">
        <v>45</v>
      </c>
      <c r="X433" t="s">
        <v>53</v>
      </c>
      <c r="Y433" t="s">
        <v>833</v>
      </c>
      <c r="Z433" t="s">
        <v>37</v>
      </c>
      <c r="AA433" t="s">
        <v>48</v>
      </c>
      <c r="AB433" t="s">
        <v>37</v>
      </c>
      <c r="AC433" s="6" t="s">
        <v>37</v>
      </c>
      <c r="AD433" s="6" t="s">
        <v>37</v>
      </c>
      <c r="AE433" t="s">
        <v>37</v>
      </c>
      <c r="AF433" t="s">
        <v>37</v>
      </c>
      <c r="AG433" s="6" t="s">
        <v>37</v>
      </c>
      <c r="AH433" t="s">
        <v>37</v>
      </c>
      <c r="AI433" t="s">
        <v>37</v>
      </c>
      <c r="AJ433" t="str">
        <f t="shared" si="20"/>
        <v>6D1HFTMSB00745IE1Q</v>
      </c>
    </row>
    <row r="434" spans="1:36" ht="15" customHeight="1" x14ac:dyDescent="0.25">
      <c r="A434" t="s">
        <v>36</v>
      </c>
      <c r="B434" t="s">
        <v>37</v>
      </c>
      <c r="C434" t="s">
        <v>37</v>
      </c>
      <c r="D434" t="s">
        <v>38</v>
      </c>
      <c r="E434" s="4">
        <v>16</v>
      </c>
      <c r="F434" s="5">
        <v>1438.72</v>
      </c>
      <c r="G434" s="5" t="s">
        <v>39</v>
      </c>
      <c r="H434" s="5">
        <v>1704.8</v>
      </c>
      <c r="I434" s="5" t="s">
        <v>39</v>
      </c>
      <c r="J434" s="5">
        <v>48.91648</v>
      </c>
      <c r="K434" s="5">
        <f t="shared" si="18"/>
        <v>3.05728</v>
      </c>
      <c r="L434" s="5">
        <f t="shared" si="19"/>
        <v>89.92</v>
      </c>
      <c r="M434" s="5" t="s">
        <v>39</v>
      </c>
      <c r="N434" s="5">
        <v>48.91648</v>
      </c>
      <c r="O434" s="5" t="s">
        <v>39</v>
      </c>
      <c r="P434" t="s">
        <v>55</v>
      </c>
      <c r="Q434" t="s">
        <v>527</v>
      </c>
      <c r="R434" t="s">
        <v>37</v>
      </c>
      <c r="S434" t="s">
        <v>528</v>
      </c>
      <c r="T434" t="s">
        <v>43</v>
      </c>
      <c r="U434" t="s">
        <v>44</v>
      </c>
      <c r="V434">
        <v>267</v>
      </c>
      <c r="W434" t="s">
        <v>231</v>
      </c>
      <c r="X434" t="s">
        <v>232</v>
      </c>
      <c r="Y434" t="s">
        <v>529</v>
      </c>
      <c r="Z434" t="s">
        <v>37</v>
      </c>
      <c r="AA434" t="s">
        <v>48</v>
      </c>
      <c r="AB434" t="s">
        <v>37</v>
      </c>
      <c r="AC434" s="6" t="s">
        <v>37</v>
      </c>
      <c r="AD434" s="6" t="s">
        <v>37</v>
      </c>
      <c r="AE434" t="s">
        <v>37</v>
      </c>
      <c r="AF434" t="s">
        <v>37</v>
      </c>
      <c r="AG434" s="6" t="s">
        <v>37</v>
      </c>
      <c r="AH434" t="s">
        <v>37</v>
      </c>
      <c r="AI434" t="s">
        <v>37</v>
      </c>
      <c r="AJ434" t="str">
        <f t="shared" si="20"/>
        <v>3WIANGOBB078MLBGRM</v>
      </c>
    </row>
    <row r="435" spans="1:36" ht="15" customHeight="1" x14ac:dyDescent="0.25">
      <c r="A435" t="s">
        <v>294</v>
      </c>
      <c r="B435" t="s">
        <v>37</v>
      </c>
      <c r="C435" t="s">
        <v>37</v>
      </c>
      <c r="D435" t="s">
        <v>38</v>
      </c>
      <c r="E435" s="4">
        <v>0</v>
      </c>
      <c r="F435" s="5">
        <v>0</v>
      </c>
      <c r="G435" s="5" t="s">
        <v>39</v>
      </c>
      <c r="H435" s="5">
        <v>0</v>
      </c>
      <c r="I435" s="5" t="s">
        <v>39</v>
      </c>
      <c r="J435" s="5">
        <v>0</v>
      </c>
      <c r="K435" s="5" t="e">
        <f t="shared" si="18"/>
        <v>#DIV/0!</v>
      </c>
      <c r="L435" s="5" t="e">
        <f t="shared" si="19"/>
        <v>#DIV/0!</v>
      </c>
      <c r="M435" s="5" t="s">
        <v>39</v>
      </c>
      <c r="N435" s="5">
        <v>0</v>
      </c>
      <c r="O435" s="5" t="s">
        <v>39</v>
      </c>
      <c r="P435" t="s">
        <v>834</v>
      </c>
      <c r="Q435" t="s">
        <v>640</v>
      </c>
      <c r="R435" t="s">
        <v>37</v>
      </c>
      <c r="S435" t="s">
        <v>641</v>
      </c>
      <c r="T435" t="s">
        <v>43</v>
      </c>
      <c r="U435" t="s">
        <v>44</v>
      </c>
      <c r="V435">
        <v>147</v>
      </c>
      <c r="W435" t="s">
        <v>45</v>
      </c>
      <c r="X435" t="s">
        <v>53</v>
      </c>
      <c r="Y435" t="s">
        <v>642</v>
      </c>
      <c r="Z435" t="s">
        <v>37</v>
      </c>
      <c r="AA435" t="s">
        <v>48</v>
      </c>
      <c r="AB435" t="s">
        <v>37</v>
      </c>
      <c r="AC435" s="6" t="s">
        <v>37</v>
      </c>
      <c r="AD435" s="6" t="s">
        <v>37</v>
      </c>
      <c r="AE435" t="s">
        <v>37</v>
      </c>
      <c r="AF435" t="s">
        <v>37</v>
      </c>
      <c r="AG435" s="6" t="s">
        <v>37</v>
      </c>
      <c r="AH435" t="s">
        <v>37</v>
      </c>
      <c r="AI435" t="s">
        <v>37</v>
      </c>
      <c r="AJ435" t="str">
        <f t="shared" si="20"/>
        <v>2D9BINCTB01K7GEG9W</v>
      </c>
    </row>
    <row r="436" spans="1:36" ht="15" customHeight="1" x14ac:dyDescent="0.25">
      <c r="A436" t="s">
        <v>67</v>
      </c>
      <c r="B436" t="s">
        <v>37</v>
      </c>
      <c r="C436" t="s">
        <v>37</v>
      </c>
      <c r="D436" t="s">
        <v>38</v>
      </c>
      <c r="E436" s="4">
        <v>2</v>
      </c>
      <c r="F436" s="5">
        <v>152.26</v>
      </c>
      <c r="G436" s="5" t="s">
        <v>39</v>
      </c>
      <c r="H436" s="5">
        <v>221.3</v>
      </c>
      <c r="I436" s="5" t="s">
        <v>39</v>
      </c>
      <c r="J436" s="5">
        <v>5.1768400000000003</v>
      </c>
      <c r="K436" s="5">
        <f t="shared" si="18"/>
        <v>2.5884200000000002</v>
      </c>
      <c r="L436" s="5">
        <f t="shared" si="19"/>
        <v>76.13</v>
      </c>
      <c r="M436" s="5" t="s">
        <v>39</v>
      </c>
      <c r="N436" s="5">
        <v>5.1768400000000003</v>
      </c>
      <c r="O436" s="5" t="s">
        <v>39</v>
      </c>
      <c r="P436" t="s">
        <v>835</v>
      </c>
      <c r="Q436" t="s">
        <v>469</v>
      </c>
      <c r="R436" t="s">
        <v>37</v>
      </c>
      <c r="S436" t="s">
        <v>470</v>
      </c>
      <c r="T436" t="s">
        <v>43</v>
      </c>
      <c r="U436" t="s">
        <v>44</v>
      </c>
      <c r="V436">
        <v>147</v>
      </c>
      <c r="W436" t="s">
        <v>45</v>
      </c>
      <c r="X436" t="s">
        <v>248</v>
      </c>
      <c r="Y436" t="s">
        <v>471</v>
      </c>
      <c r="Z436" t="s">
        <v>37</v>
      </c>
      <c r="AA436" t="s">
        <v>145</v>
      </c>
      <c r="AB436" t="s">
        <v>37</v>
      </c>
      <c r="AC436" s="6" t="s">
        <v>37</v>
      </c>
      <c r="AD436" s="6" t="s">
        <v>37</v>
      </c>
      <c r="AE436" t="s">
        <v>37</v>
      </c>
      <c r="AF436" t="s">
        <v>37</v>
      </c>
      <c r="AG436" s="6" t="s">
        <v>37</v>
      </c>
      <c r="AH436" t="s">
        <v>37</v>
      </c>
      <c r="AI436" t="s">
        <v>37</v>
      </c>
      <c r="AJ436" t="str">
        <f t="shared" si="20"/>
        <v>7ZNGEPQAB0100055LI</v>
      </c>
    </row>
    <row r="437" spans="1:36" ht="15" customHeight="1" x14ac:dyDescent="0.25">
      <c r="A437" t="s">
        <v>262</v>
      </c>
      <c r="B437" t="s">
        <v>37</v>
      </c>
      <c r="C437" t="s">
        <v>37</v>
      </c>
      <c r="D437" t="s">
        <v>38</v>
      </c>
      <c r="E437" s="4">
        <v>10</v>
      </c>
      <c r="F437" s="5">
        <v>99.5</v>
      </c>
      <c r="G437" s="5" t="s">
        <v>39</v>
      </c>
      <c r="H437" s="5">
        <v>147.5</v>
      </c>
      <c r="I437" s="5" t="s">
        <v>39</v>
      </c>
      <c r="J437" s="5">
        <v>3.383</v>
      </c>
      <c r="K437" s="5">
        <f t="shared" si="18"/>
        <v>0.33829999999999999</v>
      </c>
      <c r="L437" s="5">
        <f t="shared" si="19"/>
        <v>9.9499999999999993</v>
      </c>
      <c r="M437" s="5" t="s">
        <v>39</v>
      </c>
      <c r="N437" s="5">
        <v>3.383</v>
      </c>
      <c r="O437" s="5" t="s">
        <v>39</v>
      </c>
      <c r="P437" t="s">
        <v>89</v>
      </c>
      <c r="Q437" t="s">
        <v>761</v>
      </c>
      <c r="R437" t="s">
        <v>37</v>
      </c>
      <c r="S437" t="s">
        <v>762</v>
      </c>
      <c r="T437" t="s">
        <v>43</v>
      </c>
      <c r="U437" t="s">
        <v>44</v>
      </c>
      <c r="V437">
        <v>147</v>
      </c>
      <c r="W437" t="s">
        <v>45</v>
      </c>
      <c r="X437" t="s">
        <v>53</v>
      </c>
      <c r="Y437" t="s">
        <v>763</v>
      </c>
      <c r="Z437" t="s">
        <v>37</v>
      </c>
      <c r="AA437" t="s">
        <v>61</v>
      </c>
      <c r="AB437" t="s">
        <v>37</v>
      </c>
      <c r="AC437" s="6" t="s">
        <v>37</v>
      </c>
      <c r="AD437" s="6" t="s">
        <v>37</v>
      </c>
      <c r="AE437" t="s">
        <v>37</v>
      </c>
      <c r="AF437" t="s">
        <v>37</v>
      </c>
      <c r="AG437" s="6" t="s">
        <v>37</v>
      </c>
      <c r="AH437" t="s">
        <v>37</v>
      </c>
      <c r="AI437" t="s">
        <v>37</v>
      </c>
      <c r="AJ437" t="str">
        <f t="shared" si="20"/>
        <v>6D1HFTMSB00552K0GM</v>
      </c>
    </row>
    <row r="438" spans="1:36" ht="15" customHeight="1" x14ac:dyDescent="0.25">
      <c r="A438" t="s">
        <v>36</v>
      </c>
      <c r="B438" t="s">
        <v>37</v>
      </c>
      <c r="C438" t="s">
        <v>37</v>
      </c>
      <c r="D438" t="s">
        <v>38</v>
      </c>
      <c r="E438" s="4">
        <v>330</v>
      </c>
      <c r="F438" s="5">
        <v>3283.5</v>
      </c>
      <c r="G438" s="5" t="s">
        <v>39</v>
      </c>
      <c r="H438" s="5">
        <v>4867.5</v>
      </c>
      <c r="I438" s="5" t="s">
        <v>39</v>
      </c>
      <c r="J438" s="5">
        <v>111.639</v>
      </c>
      <c r="K438" s="5">
        <f t="shared" si="18"/>
        <v>0.33829999999999999</v>
      </c>
      <c r="L438" s="5">
        <f t="shared" si="19"/>
        <v>9.9499999999999993</v>
      </c>
      <c r="M438" s="5" t="s">
        <v>39</v>
      </c>
      <c r="N438" s="5">
        <v>111.639</v>
      </c>
      <c r="O438" s="5" t="s">
        <v>39</v>
      </c>
      <c r="P438" t="s">
        <v>89</v>
      </c>
      <c r="Q438" t="s">
        <v>761</v>
      </c>
      <c r="R438" t="s">
        <v>37</v>
      </c>
      <c r="S438" t="s">
        <v>762</v>
      </c>
      <c r="T438" t="s">
        <v>43</v>
      </c>
      <c r="U438" t="s">
        <v>44</v>
      </c>
      <c r="V438">
        <v>147</v>
      </c>
      <c r="W438" t="s">
        <v>45</v>
      </c>
      <c r="X438" t="s">
        <v>53</v>
      </c>
      <c r="Y438" t="s">
        <v>763</v>
      </c>
      <c r="Z438" t="s">
        <v>37</v>
      </c>
      <c r="AA438" t="s">
        <v>61</v>
      </c>
      <c r="AB438" t="s">
        <v>37</v>
      </c>
      <c r="AC438" s="6" t="s">
        <v>37</v>
      </c>
      <c r="AD438" s="6" t="s">
        <v>37</v>
      </c>
      <c r="AE438" t="s">
        <v>37</v>
      </c>
      <c r="AF438" t="s">
        <v>37</v>
      </c>
      <c r="AG438" s="6" t="s">
        <v>37</v>
      </c>
      <c r="AH438" t="s">
        <v>37</v>
      </c>
      <c r="AI438" t="s">
        <v>37</v>
      </c>
      <c r="AJ438" t="str">
        <f t="shared" si="20"/>
        <v>6D1HFTMSB00552K0GM</v>
      </c>
    </row>
    <row r="439" spans="1:36" ht="15" customHeight="1" x14ac:dyDescent="0.25">
      <c r="A439" t="s">
        <v>584</v>
      </c>
      <c r="B439" t="s">
        <v>37</v>
      </c>
      <c r="C439" t="s">
        <v>37</v>
      </c>
      <c r="D439" t="s">
        <v>38</v>
      </c>
      <c r="E439" s="4">
        <v>0</v>
      </c>
      <c r="F439" s="5">
        <v>0</v>
      </c>
      <c r="G439" s="5" t="s">
        <v>39</v>
      </c>
      <c r="H439" s="5">
        <v>0</v>
      </c>
      <c r="I439" s="5" t="s">
        <v>39</v>
      </c>
      <c r="J439" s="5">
        <v>0</v>
      </c>
      <c r="K439" s="5" t="e">
        <f t="shared" si="18"/>
        <v>#DIV/0!</v>
      </c>
      <c r="L439" s="5" t="e">
        <f t="shared" si="19"/>
        <v>#DIV/0!</v>
      </c>
      <c r="M439" s="5" t="s">
        <v>39</v>
      </c>
      <c r="N439" s="5">
        <v>0</v>
      </c>
      <c r="O439" s="5" t="s">
        <v>39</v>
      </c>
      <c r="P439" t="s">
        <v>377</v>
      </c>
      <c r="Q439" t="s">
        <v>356</v>
      </c>
      <c r="R439" t="s">
        <v>37</v>
      </c>
      <c r="S439" t="s">
        <v>357</v>
      </c>
      <c r="T439" t="s">
        <v>43</v>
      </c>
      <c r="U439" t="s">
        <v>44</v>
      </c>
      <c r="V439">
        <v>147</v>
      </c>
      <c r="W439" t="s">
        <v>45</v>
      </c>
      <c r="X439" t="s">
        <v>46</v>
      </c>
      <c r="Y439" t="s">
        <v>358</v>
      </c>
      <c r="Z439" t="s">
        <v>37</v>
      </c>
      <c r="AA439" t="s">
        <v>48</v>
      </c>
      <c r="AB439" t="s">
        <v>37</v>
      </c>
      <c r="AC439" s="6" t="s">
        <v>37</v>
      </c>
      <c r="AD439" s="6" t="s">
        <v>37</v>
      </c>
      <c r="AE439" t="s">
        <v>37</v>
      </c>
      <c r="AF439" t="s">
        <v>37</v>
      </c>
      <c r="AG439" s="6" t="s">
        <v>37</v>
      </c>
      <c r="AH439" t="s">
        <v>37</v>
      </c>
      <c r="AI439" t="s">
        <v>37</v>
      </c>
      <c r="AJ439" t="str">
        <f t="shared" si="20"/>
        <v>5IZH76JAB01L6L45ES</v>
      </c>
    </row>
    <row r="440" spans="1:36" ht="15" customHeight="1" x14ac:dyDescent="0.25">
      <c r="A440" t="s">
        <v>133</v>
      </c>
      <c r="B440" t="s">
        <v>37</v>
      </c>
      <c r="C440" t="s">
        <v>37</v>
      </c>
      <c r="D440" t="s">
        <v>38</v>
      </c>
      <c r="E440" s="4">
        <v>40</v>
      </c>
      <c r="F440" s="5">
        <v>585.6</v>
      </c>
      <c r="G440" s="5" t="s">
        <v>39</v>
      </c>
      <c r="H440" s="5">
        <v>585.6</v>
      </c>
      <c r="I440" s="5" t="s">
        <v>39</v>
      </c>
      <c r="J440" s="5">
        <v>19.910399999999999</v>
      </c>
      <c r="K440" s="5">
        <f t="shared" si="18"/>
        <v>0.49775999999999998</v>
      </c>
      <c r="L440" s="5">
        <f t="shared" si="19"/>
        <v>14.64</v>
      </c>
      <c r="M440" s="5" t="s">
        <v>39</v>
      </c>
      <c r="N440" s="5">
        <v>19.910399999999999</v>
      </c>
      <c r="O440" s="5" t="s">
        <v>39</v>
      </c>
      <c r="P440" t="s">
        <v>189</v>
      </c>
      <c r="Q440" t="s">
        <v>149</v>
      </c>
      <c r="R440" t="s">
        <v>37</v>
      </c>
      <c r="S440" t="s">
        <v>150</v>
      </c>
      <c r="T440" t="s">
        <v>43</v>
      </c>
      <c r="U440" t="s">
        <v>44</v>
      </c>
      <c r="V440">
        <v>147</v>
      </c>
      <c r="W440" t="s">
        <v>45</v>
      </c>
      <c r="X440" t="s">
        <v>53</v>
      </c>
      <c r="Y440" t="s">
        <v>151</v>
      </c>
      <c r="Z440" t="s">
        <v>37</v>
      </c>
      <c r="AA440" t="s">
        <v>61</v>
      </c>
      <c r="AB440" t="s">
        <v>37</v>
      </c>
      <c r="AC440" s="6" t="s">
        <v>37</v>
      </c>
      <c r="AD440" s="6" t="s">
        <v>37</v>
      </c>
      <c r="AE440" t="s">
        <v>37</v>
      </c>
      <c r="AF440" t="s">
        <v>37</v>
      </c>
      <c r="AG440" s="6" t="s">
        <v>37</v>
      </c>
      <c r="AH440" t="s">
        <v>37</v>
      </c>
      <c r="AI440" t="s">
        <v>37</v>
      </c>
      <c r="AJ440" t="str">
        <f t="shared" si="20"/>
        <v>6DPU2MKPB004IO5BMQ</v>
      </c>
    </row>
    <row r="441" spans="1:36" ht="15" customHeight="1" x14ac:dyDescent="0.25">
      <c r="A441" t="s">
        <v>133</v>
      </c>
      <c r="B441" t="s">
        <v>37</v>
      </c>
      <c r="C441" t="s">
        <v>37</v>
      </c>
      <c r="D441" t="s">
        <v>38</v>
      </c>
      <c r="E441" s="4">
        <v>16</v>
      </c>
      <c r="F441" s="5">
        <v>1391.84</v>
      </c>
      <c r="G441" s="5" t="s">
        <v>39</v>
      </c>
      <c r="H441" s="5">
        <v>2032.64</v>
      </c>
      <c r="I441" s="5" t="s">
        <v>39</v>
      </c>
      <c r="J441" s="5">
        <v>47.322560000000003</v>
      </c>
      <c r="K441" s="5">
        <f t="shared" si="18"/>
        <v>2.9576600000000002</v>
      </c>
      <c r="L441" s="5">
        <f t="shared" si="19"/>
        <v>86.99</v>
      </c>
      <c r="M441" s="5" t="s">
        <v>39</v>
      </c>
      <c r="N441" s="5">
        <v>47.322560000000003</v>
      </c>
      <c r="O441" s="5" t="s">
        <v>39</v>
      </c>
      <c r="P441" t="s">
        <v>189</v>
      </c>
      <c r="Q441" t="s">
        <v>836</v>
      </c>
      <c r="R441" t="s">
        <v>37</v>
      </c>
      <c r="S441" t="s">
        <v>837</v>
      </c>
      <c r="T441" t="s">
        <v>43</v>
      </c>
      <c r="U441" t="s">
        <v>44</v>
      </c>
      <c r="V441">
        <v>147</v>
      </c>
      <c r="W441" t="s">
        <v>45</v>
      </c>
      <c r="X441" t="s">
        <v>75</v>
      </c>
      <c r="Y441" t="s">
        <v>838</v>
      </c>
      <c r="Z441" t="s">
        <v>37</v>
      </c>
      <c r="AA441" t="s">
        <v>61</v>
      </c>
      <c r="AB441" t="s">
        <v>37</v>
      </c>
      <c r="AC441" s="6" t="s">
        <v>37</v>
      </c>
      <c r="AD441" s="6" t="s">
        <v>37</v>
      </c>
      <c r="AE441" t="s">
        <v>37</v>
      </c>
      <c r="AF441" t="s">
        <v>37</v>
      </c>
      <c r="AG441" s="6" t="s">
        <v>37</v>
      </c>
      <c r="AH441" t="s">
        <v>37</v>
      </c>
      <c r="AI441" t="s">
        <v>37</v>
      </c>
      <c r="AJ441" t="str">
        <f t="shared" si="20"/>
        <v>6DPU2MKPB07W5JJP7R</v>
      </c>
    </row>
    <row r="442" spans="1:36" ht="15" customHeight="1" x14ac:dyDescent="0.25">
      <c r="A442" t="s">
        <v>372</v>
      </c>
      <c r="B442" t="s">
        <v>37</v>
      </c>
      <c r="C442" t="s">
        <v>37</v>
      </c>
      <c r="D442" t="s">
        <v>38</v>
      </c>
      <c r="E442" s="4">
        <v>250</v>
      </c>
      <c r="F442" s="5">
        <v>7320</v>
      </c>
      <c r="G442" s="5" t="s">
        <v>39</v>
      </c>
      <c r="H442" s="5">
        <v>10652.5</v>
      </c>
      <c r="I442" s="5" t="s">
        <v>39</v>
      </c>
      <c r="J442" s="5">
        <v>248.88</v>
      </c>
      <c r="K442" s="5">
        <f t="shared" si="18"/>
        <v>0.99551999999999996</v>
      </c>
      <c r="L442" s="5">
        <f t="shared" si="19"/>
        <v>29.28</v>
      </c>
      <c r="M442" s="5" t="s">
        <v>39</v>
      </c>
      <c r="N442" s="5">
        <v>248.88</v>
      </c>
      <c r="O442" s="5" t="s">
        <v>39</v>
      </c>
      <c r="P442" t="s">
        <v>123</v>
      </c>
      <c r="Q442" t="s">
        <v>773</v>
      </c>
      <c r="R442" t="s">
        <v>37</v>
      </c>
      <c r="S442" t="s">
        <v>774</v>
      </c>
      <c r="T442" t="s">
        <v>43</v>
      </c>
      <c r="U442" t="s">
        <v>44</v>
      </c>
      <c r="V442">
        <v>147</v>
      </c>
      <c r="W442" t="s">
        <v>45</v>
      </c>
      <c r="X442" t="s">
        <v>53</v>
      </c>
      <c r="Y442" t="s">
        <v>775</v>
      </c>
      <c r="Z442" t="s">
        <v>37</v>
      </c>
      <c r="AA442" t="s">
        <v>61</v>
      </c>
      <c r="AB442" t="s">
        <v>37</v>
      </c>
      <c r="AC442" s="6" t="s">
        <v>37</v>
      </c>
      <c r="AD442" s="6" t="s">
        <v>37</v>
      </c>
      <c r="AE442" t="s">
        <v>37</v>
      </c>
      <c r="AF442" t="s">
        <v>37</v>
      </c>
      <c r="AG442" s="6" t="s">
        <v>37</v>
      </c>
      <c r="AH442" t="s">
        <v>37</v>
      </c>
      <c r="AI442" t="s">
        <v>37</v>
      </c>
      <c r="AJ442" t="str">
        <f t="shared" si="20"/>
        <v>81V4YVNTB07W4DHT47</v>
      </c>
    </row>
    <row r="443" spans="1:36" ht="15" customHeight="1" x14ac:dyDescent="0.25">
      <c r="A443" t="s">
        <v>36</v>
      </c>
      <c r="B443" t="s">
        <v>37</v>
      </c>
      <c r="C443" t="s">
        <v>37</v>
      </c>
      <c r="D443" t="s">
        <v>38</v>
      </c>
      <c r="E443" s="4">
        <v>336</v>
      </c>
      <c r="F443" s="5">
        <v>9838.08</v>
      </c>
      <c r="G443" s="5" t="s">
        <v>39</v>
      </c>
      <c r="H443" s="5">
        <v>9838.08</v>
      </c>
      <c r="I443" s="5" t="s">
        <v>39</v>
      </c>
      <c r="J443" s="5">
        <v>334.49471999999997</v>
      </c>
      <c r="K443" s="5">
        <f t="shared" si="18"/>
        <v>0.99551999999999996</v>
      </c>
      <c r="L443" s="5">
        <f t="shared" si="19"/>
        <v>29.28</v>
      </c>
      <c r="M443" s="5" t="s">
        <v>39</v>
      </c>
      <c r="N443" s="5">
        <v>334.49471999999997</v>
      </c>
      <c r="O443" s="5" t="s">
        <v>39</v>
      </c>
      <c r="P443" t="s">
        <v>764</v>
      </c>
      <c r="Q443" t="s">
        <v>655</v>
      </c>
      <c r="R443" t="s">
        <v>37</v>
      </c>
      <c r="S443" t="s">
        <v>656</v>
      </c>
      <c r="T443" t="s">
        <v>43</v>
      </c>
      <c r="U443" t="s">
        <v>44</v>
      </c>
      <c r="V443">
        <v>23</v>
      </c>
      <c r="W443" t="s">
        <v>657</v>
      </c>
      <c r="X443" t="s">
        <v>301</v>
      </c>
      <c r="Y443" t="s">
        <v>658</v>
      </c>
      <c r="Z443" t="s">
        <v>37</v>
      </c>
      <c r="AA443" t="s">
        <v>61</v>
      </c>
      <c r="AB443" t="s">
        <v>37</v>
      </c>
      <c r="AC443" s="6" t="s">
        <v>37</v>
      </c>
      <c r="AD443" s="6" t="s">
        <v>37</v>
      </c>
      <c r="AE443" t="s">
        <v>37</v>
      </c>
      <c r="AF443" t="s">
        <v>37</v>
      </c>
      <c r="AG443" s="6" t="s">
        <v>37</v>
      </c>
      <c r="AH443" t="s">
        <v>37</v>
      </c>
      <c r="AI443" t="s">
        <v>37</v>
      </c>
      <c r="AJ443" t="str">
        <f t="shared" si="20"/>
        <v>317BCF6ZB00IRCDT7Y</v>
      </c>
    </row>
    <row r="444" spans="1:36" ht="15" customHeight="1" x14ac:dyDescent="0.25">
      <c r="A444" t="s">
        <v>133</v>
      </c>
      <c r="B444" t="s">
        <v>37</v>
      </c>
      <c r="C444" t="s">
        <v>37</v>
      </c>
      <c r="D444" t="s">
        <v>38</v>
      </c>
      <c r="E444" s="4">
        <v>19</v>
      </c>
      <c r="F444" s="5">
        <v>2696.67</v>
      </c>
      <c r="G444" s="5" t="s">
        <v>39</v>
      </c>
      <c r="H444" s="5">
        <v>4360.5</v>
      </c>
      <c r="I444" s="5" t="s">
        <v>39</v>
      </c>
      <c r="J444" s="5">
        <v>91.686779999999999</v>
      </c>
      <c r="K444" s="5">
        <f t="shared" si="18"/>
        <v>4.8256199999999998</v>
      </c>
      <c r="L444" s="5">
        <f t="shared" si="19"/>
        <v>141.93</v>
      </c>
      <c r="M444" s="5" t="s">
        <v>39</v>
      </c>
      <c r="N444" s="5">
        <v>91.686779999999999</v>
      </c>
      <c r="O444" s="5" t="s">
        <v>39</v>
      </c>
      <c r="P444" t="s">
        <v>116</v>
      </c>
      <c r="Q444" t="s">
        <v>68</v>
      </c>
      <c r="R444" t="s">
        <v>37</v>
      </c>
      <c r="S444" t="s">
        <v>69</v>
      </c>
      <c r="T444" t="s">
        <v>43</v>
      </c>
      <c r="U444" t="s">
        <v>44</v>
      </c>
      <c r="V444">
        <v>147</v>
      </c>
      <c r="W444" t="s">
        <v>45</v>
      </c>
      <c r="X444" t="s">
        <v>46</v>
      </c>
      <c r="Y444" t="s">
        <v>70</v>
      </c>
      <c r="Z444" t="s">
        <v>37</v>
      </c>
      <c r="AA444" t="s">
        <v>48</v>
      </c>
      <c r="AB444" t="s">
        <v>37</v>
      </c>
      <c r="AC444" s="6" t="s">
        <v>37</v>
      </c>
      <c r="AD444" s="6" t="s">
        <v>37</v>
      </c>
      <c r="AE444" t="s">
        <v>37</v>
      </c>
      <c r="AF444" t="s">
        <v>37</v>
      </c>
      <c r="AG444" s="6" t="s">
        <v>37</v>
      </c>
      <c r="AH444" t="s">
        <v>37</v>
      </c>
      <c r="AI444" t="s">
        <v>37</v>
      </c>
      <c r="AJ444" t="str">
        <f t="shared" si="20"/>
        <v>3S7Y1OIVB079Z3DSBK</v>
      </c>
    </row>
    <row r="445" spans="1:36" ht="15" customHeight="1" x14ac:dyDescent="0.25">
      <c r="A445" t="s">
        <v>36</v>
      </c>
      <c r="B445" t="s">
        <v>37</v>
      </c>
      <c r="C445" t="s">
        <v>37</v>
      </c>
      <c r="D445" t="s">
        <v>38</v>
      </c>
      <c r="E445" s="4">
        <v>48</v>
      </c>
      <c r="F445" s="5">
        <v>2025.6</v>
      </c>
      <c r="G445" s="5" t="s">
        <v>39</v>
      </c>
      <c r="H445" s="5">
        <v>3225.6</v>
      </c>
      <c r="I445" s="5" t="s">
        <v>39</v>
      </c>
      <c r="J445" s="5">
        <v>68.870400000000004</v>
      </c>
      <c r="K445" s="5">
        <f t="shared" si="18"/>
        <v>1.4348000000000001</v>
      </c>
      <c r="L445" s="5">
        <f t="shared" si="19"/>
        <v>42.199999999999996</v>
      </c>
      <c r="M445" s="5" t="s">
        <v>39</v>
      </c>
      <c r="N445" s="5">
        <v>68.870400000000004</v>
      </c>
      <c r="O445" s="5" t="s">
        <v>39</v>
      </c>
      <c r="P445" t="s">
        <v>377</v>
      </c>
      <c r="Q445" t="s">
        <v>356</v>
      </c>
      <c r="R445" t="s">
        <v>37</v>
      </c>
      <c r="S445" t="s">
        <v>357</v>
      </c>
      <c r="T445" t="s">
        <v>43</v>
      </c>
      <c r="U445" t="s">
        <v>44</v>
      </c>
      <c r="V445">
        <v>147</v>
      </c>
      <c r="W445" t="s">
        <v>45</v>
      </c>
      <c r="X445" t="s">
        <v>46</v>
      </c>
      <c r="Y445" t="s">
        <v>358</v>
      </c>
      <c r="Z445" t="s">
        <v>37</v>
      </c>
      <c r="AA445" t="s">
        <v>48</v>
      </c>
      <c r="AB445" t="s">
        <v>37</v>
      </c>
      <c r="AC445" s="6" t="s">
        <v>37</v>
      </c>
      <c r="AD445" s="6" t="s">
        <v>37</v>
      </c>
      <c r="AE445" t="s">
        <v>37</v>
      </c>
      <c r="AF445" t="s">
        <v>37</v>
      </c>
      <c r="AG445" s="6" t="s">
        <v>37</v>
      </c>
      <c r="AH445" t="s">
        <v>37</v>
      </c>
      <c r="AI445" t="s">
        <v>37</v>
      </c>
      <c r="AJ445" t="str">
        <f t="shared" si="20"/>
        <v>5IZH76JAB01L6L45ES</v>
      </c>
    </row>
    <row r="446" spans="1:36" ht="15" customHeight="1" x14ac:dyDescent="0.25">
      <c r="A446" t="s">
        <v>36</v>
      </c>
      <c r="B446" t="s">
        <v>37</v>
      </c>
      <c r="C446" t="s">
        <v>37</v>
      </c>
      <c r="D446" t="s">
        <v>38</v>
      </c>
      <c r="E446" s="4">
        <v>12</v>
      </c>
      <c r="F446" s="5">
        <v>421.56</v>
      </c>
      <c r="G446" s="5" t="s">
        <v>39</v>
      </c>
      <c r="H446" s="5">
        <v>609.72</v>
      </c>
      <c r="I446" s="5" t="s">
        <v>39</v>
      </c>
      <c r="J446" s="5">
        <v>14.33304</v>
      </c>
      <c r="K446" s="5">
        <f t="shared" si="18"/>
        <v>1.19442</v>
      </c>
      <c r="L446" s="5">
        <f t="shared" si="19"/>
        <v>35.130000000000003</v>
      </c>
      <c r="M446" s="5" t="s">
        <v>39</v>
      </c>
      <c r="N446" s="5">
        <v>14.33304</v>
      </c>
      <c r="O446" s="5" t="s">
        <v>39</v>
      </c>
      <c r="P446" t="s">
        <v>89</v>
      </c>
      <c r="Q446" t="s">
        <v>696</v>
      </c>
      <c r="R446" t="s">
        <v>37</v>
      </c>
      <c r="S446" t="s">
        <v>697</v>
      </c>
      <c r="T446" t="s">
        <v>43</v>
      </c>
      <c r="U446" t="s">
        <v>44</v>
      </c>
      <c r="V446">
        <v>147</v>
      </c>
      <c r="W446" t="s">
        <v>45</v>
      </c>
      <c r="X446" t="s">
        <v>75</v>
      </c>
      <c r="Y446" t="s">
        <v>698</v>
      </c>
      <c r="Z446" t="s">
        <v>37</v>
      </c>
      <c r="AA446" t="s">
        <v>61</v>
      </c>
      <c r="AB446" t="s">
        <v>37</v>
      </c>
      <c r="AC446" s="6" t="s">
        <v>37</v>
      </c>
      <c r="AD446" s="6" t="s">
        <v>37</v>
      </c>
      <c r="AE446" t="s">
        <v>37</v>
      </c>
      <c r="AF446" t="s">
        <v>37</v>
      </c>
      <c r="AG446" s="6" t="s">
        <v>37</v>
      </c>
      <c r="AH446" t="s">
        <v>37</v>
      </c>
      <c r="AI446" t="s">
        <v>37</v>
      </c>
      <c r="AJ446" t="str">
        <f t="shared" si="20"/>
        <v>6D1HFTMSB07VL9YHC9</v>
      </c>
    </row>
    <row r="447" spans="1:36" ht="15" customHeight="1" x14ac:dyDescent="0.25">
      <c r="A447" t="s">
        <v>262</v>
      </c>
      <c r="B447" t="s">
        <v>37</v>
      </c>
      <c r="C447" t="s">
        <v>37</v>
      </c>
      <c r="D447" t="s">
        <v>38</v>
      </c>
      <c r="E447" s="4">
        <v>40</v>
      </c>
      <c r="F447" s="5">
        <v>1171.2</v>
      </c>
      <c r="G447" s="5" t="s">
        <v>39</v>
      </c>
      <c r="H447" s="5">
        <v>1171.2</v>
      </c>
      <c r="I447" s="5" t="s">
        <v>39</v>
      </c>
      <c r="J447" s="5">
        <v>39.820799999999998</v>
      </c>
      <c r="K447" s="5">
        <f t="shared" si="18"/>
        <v>0.99551999999999996</v>
      </c>
      <c r="L447" s="5">
        <f t="shared" si="19"/>
        <v>29.28</v>
      </c>
      <c r="M447" s="5" t="s">
        <v>39</v>
      </c>
      <c r="N447" s="5">
        <v>39.820799999999998</v>
      </c>
      <c r="O447" s="5" t="s">
        <v>39</v>
      </c>
      <c r="P447" t="s">
        <v>764</v>
      </c>
      <c r="Q447" t="s">
        <v>655</v>
      </c>
      <c r="R447" t="s">
        <v>37</v>
      </c>
      <c r="S447" t="s">
        <v>656</v>
      </c>
      <c r="T447" t="s">
        <v>43</v>
      </c>
      <c r="U447" t="s">
        <v>44</v>
      </c>
      <c r="V447">
        <v>23</v>
      </c>
      <c r="W447" t="s">
        <v>657</v>
      </c>
      <c r="X447" t="s">
        <v>301</v>
      </c>
      <c r="Y447" t="s">
        <v>658</v>
      </c>
      <c r="Z447" t="s">
        <v>37</v>
      </c>
      <c r="AA447" t="s">
        <v>61</v>
      </c>
      <c r="AB447" t="s">
        <v>37</v>
      </c>
      <c r="AC447" s="6" t="s">
        <v>37</v>
      </c>
      <c r="AD447" s="6" t="s">
        <v>37</v>
      </c>
      <c r="AE447" t="s">
        <v>37</v>
      </c>
      <c r="AF447" t="s">
        <v>37</v>
      </c>
      <c r="AG447" s="6" t="s">
        <v>37</v>
      </c>
      <c r="AH447" t="s">
        <v>37</v>
      </c>
      <c r="AI447" t="s">
        <v>37</v>
      </c>
      <c r="AJ447" t="str">
        <f t="shared" si="20"/>
        <v>317BCF6ZB00IRCDT7Y</v>
      </c>
    </row>
    <row r="448" spans="1:36" ht="15" customHeight="1" x14ac:dyDescent="0.25">
      <c r="A448" t="s">
        <v>422</v>
      </c>
      <c r="B448" t="s">
        <v>37</v>
      </c>
      <c r="C448" t="s">
        <v>37</v>
      </c>
      <c r="D448" t="s">
        <v>38</v>
      </c>
      <c r="E448" s="4">
        <v>4</v>
      </c>
      <c r="F448" s="5">
        <v>117.12</v>
      </c>
      <c r="G448" s="5" t="s">
        <v>39</v>
      </c>
      <c r="H448" s="5">
        <v>117.12</v>
      </c>
      <c r="I448" s="5" t="s">
        <v>39</v>
      </c>
      <c r="J448" s="5">
        <v>3.9820799999999998</v>
      </c>
      <c r="K448" s="5">
        <f t="shared" si="18"/>
        <v>0.99551999999999996</v>
      </c>
      <c r="L448" s="5">
        <f t="shared" si="19"/>
        <v>29.28</v>
      </c>
      <c r="M448" s="5" t="s">
        <v>39</v>
      </c>
      <c r="N448" s="5">
        <v>3.9820799999999998</v>
      </c>
      <c r="O448" s="5" t="s">
        <v>39</v>
      </c>
      <c r="P448" t="s">
        <v>764</v>
      </c>
      <c r="Q448" t="s">
        <v>655</v>
      </c>
      <c r="R448" t="s">
        <v>37</v>
      </c>
      <c r="S448" t="s">
        <v>656</v>
      </c>
      <c r="T448" t="s">
        <v>43</v>
      </c>
      <c r="U448" t="s">
        <v>44</v>
      </c>
      <c r="V448">
        <v>23</v>
      </c>
      <c r="W448" t="s">
        <v>657</v>
      </c>
      <c r="X448" t="s">
        <v>301</v>
      </c>
      <c r="Y448" t="s">
        <v>658</v>
      </c>
      <c r="Z448" t="s">
        <v>37</v>
      </c>
      <c r="AA448" t="s">
        <v>61</v>
      </c>
      <c r="AB448" t="s">
        <v>37</v>
      </c>
      <c r="AC448" s="6" t="s">
        <v>37</v>
      </c>
      <c r="AD448" s="6" t="s">
        <v>37</v>
      </c>
      <c r="AE448" t="s">
        <v>37</v>
      </c>
      <c r="AF448" t="s">
        <v>37</v>
      </c>
      <c r="AG448" s="6" t="s">
        <v>37</v>
      </c>
      <c r="AH448" t="s">
        <v>37</v>
      </c>
      <c r="AI448" t="s">
        <v>37</v>
      </c>
      <c r="AJ448" t="str">
        <f t="shared" si="20"/>
        <v>317BCF6ZB00IRCDT7Y</v>
      </c>
    </row>
    <row r="449" spans="1:36" ht="15" customHeight="1" x14ac:dyDescent="0.25">
      <c r="A449" t="s">
        <v>36</v>
      </c>
      <c r="B449" t="s">
        <v>37</v>
      </c>
      <c r="C449" t="s">
        <v>37</v>
      </c>
      <c r="D449" t="s">
        <v>38</v>
      </c>
      <c r="E449" s="4">
        <v>28</v>
      </c>
      <c r="F449" s="5">
        <v>1299.2</v>
      </c>
      <c r="G449" s="5" t="s">
        <v>39</v>
      </c>
      <c r="H449" s="5">
        <v>1881.6</v>
      </c>
      <c r="I449" s="5" t="s">
        <v>39</v>
      </c>
      <c r="J449" s="5">
        <v>44.172800000000002</v>
      </c>
      <c r="K449" s="5">
        <f t="shared" si="18"/>
        <v>1.5776000000000001</v>
      </c>
      <c r="L449" s="5">
        <f t="shared" si="19"/>
        <v>46.4</v>
      </c>
      <c r="M449" s="5" t="s">
        <v>39</v>
      </c>
      <c r="N449" s="5">
        <v>44.172800000000002</v>
      </c>
      <c r="O449" s="5" t="s">
        <v>39</v>
      </c>
      <c r="P449" t="s">
        <v>89</v>
      </c>
      <c r="Q449" t="s">
        <v>680</v>
      </c>
      <c r="R449" t="s">
        <v>37</v>
      </c>
      <c r="S449" t="s">
        <v>681</v>
      </c>
      <c r="T449" t="s">
        <v>43</v>
      </c>
      <c r="U449" t="s">
        <v>44</v>
      </c>
      <c r="V449">
        <v>147</v>
      </c>
      <c r="W449" t="s">
        <v>45</v>
      </c>
      <c r="X449" t="s">
        <v>53</v>
      </c>
      <c r="Y449" t="s">
        <v>682</v>
      </c>
      <c r="Z449" t="s">
        <v>37</v>
      </c>
      <c r="AA449" t="s">
        <v>61</v>
      </c>
      <c r="AB449" t="s">
        <v>37</v>
      </c>
      <c r="AC449" s="6" t="s">
        <v>37</v>
      </c>
      <c r="AD449" s="6" t="s">
        <v>37</v>
      </c>
      <c r="AE449" t="s">
        <v>37</v>
      </c>
      <c r="AF449" t="s">
        <v>37</v>
      </c>
      <c r="AG449" s="6" t="s">
        <v>37</v>
      </c>
      <c r="AH449" t="s">
        <v>37</v>
      </c>
      <c r="AI449" t="s">
        <v>37</v>
      </c>
      <c r="AJ449" t="str">
        <f t="shared" si="20"/>
        <v>6D1HFTMSB07W8P4PDD</v>
      </c>
    </row>
    <row r="450" spans="1:36" ht="15" customHeight="1" x14ac:dyDescent="0.25">
      <c r="A450" t="s">
        <v>36</v>
      </c>
      <c r="B450" t="s">
        <v>37</v>
      </c>
      <c r="C450" t="s">
        <v>37</v>
      </c>
      <c r="D450" t="s">
        <v>38</v>
      </c>
      <c r="E450" s="4">
        <v>8</v>
      </c>
      <c r="F450" s="5">
        <v>603.28</v>
      </c>
      <c r="G450" s="5" t="s">
        <v>39</v>
      </c>
      <c r="H450" s="5">
        <v>885.2</v>
      </c>
      <c r="I450" s="5" t="s">
        <v>39</v>
      </c>
      <c r="J450" s="5">
        <v>20.511520000000001</v>
      </c>
      <c r="K450" s="5">
        <f t="shared" si="18"/>
        <v>2.5639400000000001</v>
      </c>
      <c r="L450" s="5">
        <f t="shared" si="19"/>
        <v>75.41</v>
      </c>
      <c r="M450" s="5" t="s">
        <v>39</v>
      </c>
      <c r="N450" s="5">
        <v>20.511520000000001</v>
      </c>
      <c r="O450" s="5" t="s">
        <v>39</v>
      </c>
      <c r="P450" t="s">
        <v>167</v>
      </c>
      <c r="Q450" t="s">
        <v>384</v>
      </c>
      <c r="R450" t="s">
        <v>37</v>
      </c>
      <c r="S450" t="s">
        <v>385</v>
      </c>
      <c r="T450" t="s">
        <v>43</v>
      </c>
      <c r="U450" t="s">
        <v>44</v>
      </c>
      <c r="V450">
        <v>147</v>
      </c>
      <c r="W450" t="s">
        <v>45</v>
      </c>
      <c r="X450" t="s">
        <v>154</v>
      </c>
      <c r="Y450" t="s">
        <v>386</v>
      </c>
      <c r="Z450" t="s">
        <v>37</v>
      </c>
      <c r="AA450" t="s">
        <v>48</v>
      </c>
      <c r="AB450" t="s">
        <v>37</v>
      </c>
      <c r="AC450" s="6" t="s">
        <v>37</v>
      </c>
      <c r="AD450" s="6" t="s">
        <v>37</v>
      </c>
      <c r="AE450" t="s">
        <v>37</v>
      </c>
      <c r="AF450" t="s">
        <v>37</v>
      </c>
      <c r="AG450" s="6" t="s">
        <v>37</v>
      </c>
      <c r="AH450" t="s">
        <v>37</v>
      </c>
      <c r="AI450" t="s">
        <v>37</v>
      </c>
      <c r="AJ450" t="str">
        <f t="shared" si="20"/>
        <v>4FFLHW5MB01MT5WMMG</v>
      </c>
    </row>
    <row r="451" spans="1:36" ht="15" customHeight="1" x14ac:dyDescent="0.25">
      <c r="A451" t="s">
        <v>36</v>
      </c>
      <c r="B451" t="s">
        <v>37</v>
      </c>
      <c r="C451" t="s">
        <v>37</v>
      </c>
      <c r="D451" t="s">
        <v>38</v>
      </c>
      <c r="E451" s="4">
        <v>20</v>
      </c>
      <c r="F451" s="5">
        <v>474.8</v>
      </c>
      <c r="G451" s="5" t="s">
        <v>39</v>
      </c>
      <c r="H451" s="5">
        <v>754</v>
      </c>
      <c r="I451" s="5" t="s">
        <v>39</v>
      </c>
      <c r="J451" s="5">
        <v>16.1432</v>
      </c>
      <c r="K451" s="5">
        <f t="shared" ref="K451:K514" si="21">J451/E451</f>
        <v>0.80715999999999999</v>
      </c>
      <c r="L451" s="5">
        <f t="shared" ref="L451:L514" si="22">F451/E451</f>
        <v>23.740000000000002</v>
      </c>
      <c r="M451" s="5" t="s">
        <v>39</v>
      </c>
      <c r="N451" s="5">
        <v>16.1432</v>
      </c>
      <c r="O451" s="5" t="s">
        <v>39</v>
      </c>
      <c r="P451" t="s">
        <v>89</v>
      </c>
      <c r="Q451" t="s">
        <v>739</v>
      </c>
      <c r="R451" t="s">
        <v>37</v>
      </c>
      <c r="S451" t="s">
        <v>740</v>
      </c>
      <c r="T451" t="s">
        <v>43</v>
      </c>
      <c r="U451" t="s">
        <v>44</v>
      </c>
      <c r="V451">
        <v>147</v>
      </c>
      <c r="W451" t="s">
        <v>45</v>
      </c>
      <c r="X451" t="s">
        <v>53</v>
      </c>
      <c r="Y451" t="s">
        <v>741</v>
      </c>
      <c r="Z451" t="s">
        <v>37</v>
      </c>
      <c r="AA451" t="s">
        <v>48</v>
      </c>
      <c r="AB451" t="s">
        <v>37</v>
      </c>
      <c r="AC451" s="6" t="s">
        <v>37</v>
      </c>
      <c r="AD451" s="6" t="s">
        <v>37</v>
      </c>
      <c r="AE451" t="s">
        <v>37</v>
      </c>
      <c r="AF451" t="s">
        <v>37</v>
      </c>
      <c r="AG451" s="6" t="s">
        <v>37</v>
      </c>
      <c r="AH451" t="s">
        <v>37</v>
      </c>
      <c r="AI451" t="s">
        <v>37</v>
      </c>
      <c r="AJ451" t="str">
        <f t="shared" ref="AJ451:AJ514" si="23">P451&amp;Q451</f>
        <v>6D1HFTMSB00Q6MR0UO</v>
      </c>
    </row>
    <row r="452" spans="1:36" ht="15" customHeight="1" x14ac:dyDescent="0.25">
      <c r="A452" t="s">
        <v>36</v>
      </c>
      <c r="B452" t="s">
        <v>37</v>
      </c>
      <c r="C452" t="s">
        <v>37</v>
      </c>
      <c r="D452" t="s">
        <v>38</v>
      </c>
      <c r="E452" s="4">
        <v>4</v>
      </c>
      <c r="F452" s="5">
        <v>84.4</v>
      </c>
      <c r="G452" s="5" t="s">
        <v>39</v>
      </c>
      <c r="H452" s="5">
        <v>134.4</v>
      </c>
      <c r="I452" s="5" t="s">
        <v>39</v>
      </c>
      <c r="J452" s="5">
        <v>2.8696000000000002</v>
      </c>
      <c r="K452" s="5">
        <f t="shared" si="21"/>
        <v>0.71740000000000004</v>
      </c>
      <c r="L452" s="5">
        <f t="shared" si="22"/>
        <v>21.1</v>
      </c>
      <c r="M452" s="5" t="s">
        <v>39</v>
      </c>
      <c r="N452" s="5">
        <v>2.8696000000000002</v>
      </c>
      <c r="O452" s="5" t="s">
        <v>39</v>
      </c>
      <c r="P452" t="s">
        <v>40</v>
      </c>
      <c r="Q452" t="s">
        <v>699</v>
      </c>
      <c r="R452" t="s">
        <v>37</v>
      </c>
      <c r="S452" t="s">
        <v>700</v>
      </c>
      <c r="T452" t="s">
        <v>43</v>
      </c>
      <c r="U452" t="s">
        <v>44</v>
      </c>
      <c r="V452">
        <v>147</v>
      </c>
      <c r="W452" t="s">
        <v>45</v>
      </c>
      <c r="X452" t="s">
        <v>46</v>
      </c>
      <c r="Y452" t="s">
        <v>701</v>
      </c>
      <c r="Z452" t="s">
        <v>37</v>
      </c>
      <c r="AA452" t="s">
        <v>48</v>
      </c>
      <c r="AB452" t="s">
        <v>37</v>
      </c>
      <c r="AC452" s="6" t="s">
        <v>37</v>
      </c>
      <c r="AD452" s="6" t="s">
        <v>37</v>
      </c>
      <c r="AE452" t="s">
        <v>37</v>
      </c>
      <c r="AF452" t="s">
        <v>37</v>
      </c>
      <c r="AG452" s="6" t="s">
        <v>37</v>
      </c>
      <c r="AH452" t="s">
        <v>37</v>
      </c>
      <c r="AI452" t="s">
        <v>37</v>
      </c>
      <c r="AJ452" t="str">
        <f t="shared" si="23"/>
        <v>8IC45Q9KB01DIJICIQ</v>
      </c>
    </row>
    <row r="453" spans="1:36" ht="15" customHeight="1" x14ac:dyDescent="0.25">
      <c r="A453" t="s">
        <v>839</v>
      </c>
      <c r="B453" t="s">
        <v>37</v>
      </c>
      <c r="C453" t="s">
        <v>37</v>
      </c>
      <c r="D453" t="s">
        <v>38</v>
      </c>
      <c r="E453" s="4">
        <v>0</v>
      </c>
      <c r="F453" s="5">
        <v>0</v>
      </c>
      <c r="G453" s="5" t="s">
        <v>39</v>
      </c>
      <c r="H453" s="5">
        <v>0</v>
      </c>
      <c r="I453" s="5" t="s">
        <v>39</v>
      </c>
      <c r="J453" s="5">
        <v>0</v>
      </c>
      <c r="K453" s="5" t="e">
        <f t="shared" si="21"/>
        <v>#DIV/0!</v>
      </c>
      <c r="L453" s="5" t="e">
        <f t="shared" si="22"/>
        <v>#DIV/0!</v>
      </c>
      <c r="M453" s="5" t="s">
        <v>39</v>
      </c>
      <c r="N453" s="5">
        <v>0</v>
      </c>
      <c r="O453" s="5" t="s">
        <v>39</v>
      </c>
      <c r="P453" t="s">
        <v>116</v>
      </c>
      <c r="Q453" t="s">
        <v>804</v>
      </c>
      <c r="R453" t="s">
        <v>37</v>
      </c>
      <c r="S453" t="s">
        <v>805</v>
      </c>
      <c r="T453" t="s">
        <v>43</v>
      </c>
      <c r="U453" t="s">
        <v>44</v>
      </c>
      <c r="V453">
        <v>147</v>
      </c>
      <c r="W453" t="s">
        <v>45</v>
      </c>
      <c r="X453" t="s">
        <v>46</v>
      </c>
      <c r="Y453" t="s">
        <v>806</v>
      </c>
      <c r="Z453" t="s">
        <v>37</v>
      </c>
      <c r="AA453" t="s">
        <v>61</v>
      </c>
      <c r="AB453" t="s">
        <v>37</v>
      </c>
      <c r="AC453" s="6" t="s">
        <v>37</v>
      </c>
      <c r="AD453" s="6" t="s">
        <v>37</v>
      </c>
      <c r="AE453" t="s">
        <v>37</v>
      </c>
      <c r="AF453" t="s">
        <v>37</v>
      </c>
      <c r="AG453" s="6" t="s">
        <v>37</v>
      </c>
      <c r="AH453" t="s">
        <v>37</v>
      </c>
      <c r="AI453" t="s">
        <v>37</v>
      </c>
      <c r="AJ453" t="str">
        <f t="shared" si="23"/>
        <v>3S7Y1OIVB00ZWOUH4S</v>
      </c>
    </row>
    <row r="454" spans="1:36" ht="15" customHeight="1" x14ac:dyDescent="0.25">
      <c r="A454" t="s">
        <v>67</v>
      </c>
      <c r="B454" t="s">
        <v>37</v>
      </c>
      <c r="C454" t="s">
        <v>37</v>
      </c>
      <c r="D454" t="s">
        <v>38</v>
      </c>
      <c r="E454" s="4">
        <v>8</v>
      </c>
      <c r="F454" s="5">
        <v>556.88</v>
      </c>
      <c r="G454" s="5" t="s">
        <v>39</v>
      </c>
      <c r="H454" s="5">
        <v>819.6</v>
      </c>
      <c r="I454" s="5" t="s">
        <v>39</v>
      </c>
      <c r="J454" s="5">
        <v>18.933920000000001</v>
      </c>
      <c r="K454" s="5">
        <f t="shared" si="21"/>
        <v>2.3667400000000001</v>
      </c>
      <c r="L454" s="5">
        <f t="shared" si="22"/>
        <v>69.61</v>
      </c>
      <c r="M454" s="5" t="s">
        <v>39</v>
      </c>
      <c r="N454" s="5">
        <v>18.933920000000001</v>
      </c>
      <c r="O454" s="5" t="s">
        <v>39</v>
      </c>
      <c r="P454" t="s">
        <v>421</v>
      </c>
      <c r="Q454" t="s">
        <v>186</v>
      </c>
      <c r="R454" t="s">
        <v>37</v>
      </c>
      <c r="S454" t="s">
        <v>187</v>
      </c>
      <c r="T454" t="s">
        <v>43</v>
      </c>
      <c r="U454" t="s">
        <v>44</v>
      </c>
      <c r="V454">
        <v>147</v>
      </c>
      <c r="W454" t="s">
        <v>45</v>
      </c>
      <c r="X454" t="s">
        <v>53</v>
      </c>
      <c r="Y454" t="s">
        <v>188</v>
      </c>
      <c r="Z454" t="s">
        <v>37</v>
      </c>
      <c r="AA454" t="s">
        <v>61</v>
      </c>
      <c r="AB454" t="s">
        <v>37</v>
      </c>
      <c r="AC454" s="6" t="s">
        <v>37</v>
      </c>
      <c r="AD454" s="6" t="s">
        <v>37</v>
      </c>
      <c r="AE454" t="s">
        <v>37</v>
      </c>
      <c r="AF454" t="s">
        <v>37</v>
      </c>
      <c r="AG454" s="6" t="s">
        <v>37</v>
      </c>
      <c r="AH454" t="s">
        <v>37</v>
      </c>
      <c r="AI454" t="s">
        <v>37</v>
      </c>
      <c r="AJ454" t="str">
        <f t="shared" si="23"/>
        <v>1QCXHA1RB07FNHV4MW</v>
      </c>
    </row>
    <row r="455" spans="1:36" ht="15" customHeight="1" x14ac:dyDescent="0.25">
      <c r="A455" t="s">
        <v>36</v>
      </c>
      <c r="B455" t="s">
        <v>37</v>
      </c>
      <c r="C455" t="s">
        <v>37</v>
      </c>
      <c r="D455" t="s">
        <v>38</v>
      </c>
      <c r="E455" s="4">
        <v>16</v>
      </c>
      <c r="F455" s="5">
        <v>468.48</v>
      </c>
      <c r="G455" s="5" t="s">
        <v>39</v>
      </c>
      <c r="H455" s="5">
        <v>681.76</v>
      </c>
      <c r="I455" s="5" t="s">
        <v>39</v>
      </c>
      <c r="J455" s="5">
        <v>15.928319999999999</v>
      </c>
      <c r="K455" s="5">
        <f t="shared" si="21"/>
        <v>0.99551999999999996</v>
      </c>
      <c r="L455" s="5">
        <f t="shared" si="22"/>
        <v>29.28</v>
      </c>
      <c r="M455" s="5" t="s">
        <v>39</v>
      </c>
      <c r="N455" s="5">
        <v>15.928319999999999</v>
      </c>
      <c r="O455" s="5" t="s">
        <v>39</v>
      </c>
      <c r="P455" t="s">
        <v>89</v>
      </c>
      <c r="Q455" t="s">
        <v>220</v>
      </c>
      <c r="R455" t="s">
        <v>37</v>
      </c>
      <c r="S455" t="s">
        <v>221</v>
      </c>
      <c r="T455" t="s">
        <v>43</v>
      </c>
      <c r="U455" t="s">
        <v>44</v>
      </c>
      <c r="V455">
        <v>147</v>
      </c>
      <c r="W455" t="s">
        <v>45</v>
      </c>
      <c r="X455" t="s">
        <v>75</v>
      </c>
      <c r="Y455" t="s">
        <v>222</v>
      </c>
      <c r="Z455" t="s">
        <v>37</v>
      </c>
      <c r="AA455" t="s">
        <v>48</v>
      </c>
      <c r="AB455" t="s">
        <v>37</v>
      </c>
      <c r="AC455" s="6" t="s">
        <v>37</v>
      </c>
      <c r="AD455" s="6" t="s">
        <v>37</v>
      </c>
      <c r="AE455" t="s">
        <v>37</v>
      </c>
      <c r="AF455" t="s">
        <v>37</v>
      </c>
      <c r="AG455" s="6" t="s">
        <v>37</v>
      </c>
      <c r="AH455" t="s">
        <v>37</v>
      </c>
      <c r="AI455" t="s">
        <v>37</v>
      </c>
      <c r="AJ455" t="str">
        <f t="shared" si="23"/>
        <v>6D1HFTMSB013SL2050</v>
      </c>
    </row>
    <row r="456" spans="1:36" ht="15" customHeight="1" x14ac:dyDescent="0.25">
      <c r="A456" t="s">
        <v>102</v>
      </c>
      <c r="B456" t="s">
        <v>37</v>
      </c>
      <c r="C456" t="s">
        <v>37</v>
      </c>
      <c r="D456" t="s">
        <v>38</v>
      </c>
      <c r="E456" s="4">
        <v>140</v>
      </c>
      <c r="F456" s="5">
        <v>2049.6</v>
      </c>
      <c r="G456" s="5" t="s">
        <v>39</v>
      </c>
      <c r="H456" s="5">
        <v>2982</v>
      </c>
      <c r="I456" s="5" t="s">
        <v>39</v>
      </c>
      <c r="J456" s="5">
        <v>69.686400000000006</v>
      </c>
      <c r="K456" s="5">
        <f t="shared" si="21"/>
        <v>0.49776000000000004</v>
      </c>
      <c r="L456" s="5">
        <f t="shared" si="22"/>
        <v>14.639999999999999</v>
      </c>
      <c r="M456" s="5" t="s">
        <v>39</v>
      </c>
      <c r="N456" s="5">
        <v>69.686400000000006</v>
      </c>
      <c r="O456" s="5" t="s">
        <v>39</v>
      </c>
      <c r="P456" t="s">
        <v>167</v>
      </c>
      <c r="Q456" t="s">
        <v>562</v>
      </c>
      <c r="R456" t="s">
        <v>37</v>
      </c>
      <c r="S456" t="s">
        <v>563</v>
      </c>
      <c r="T456" t="s">
        <v>43</v>
      </c>
      <c r="U456" t="s">
        <v>44</v>
      </c>
      <c r="V456">
        <v>147</v>
      </c>
      <c r="W456" t="s">
        <v>45</v>
      </c>
      <c r="X456" t="s">
        <v>75</v>
      </c>
      <c r="Y456" t="s">
        <v>564</v>
      </c>
      <c r="Z456" t="s">
        <v>37</v>
      </c>
      <c r="AA456" t="s">
        <v>61</v>
      </c>
      <c r="AB456" t="s">
        <v>37</v>
      </c>
      <c r="AC456" s="6" t="s">
        <v>37</v>
      </c>
      <c r="AD456" s="6" t="s">
        <v>37</v>
      </c>
      <c r="AE456" t="s">
        <v>37</v>
      </c>
      <c r="AF456" t="s">
        <v>37</v>
      </c>
      <c r="AG456" s="6" t="s">
        <v>37</v>
      </c>
      <c r="AH456" t="s">
        <v>37</v>
      </c>
      <c r="AI456" t="s">
        <v>37</v>
      </c>
      <c r="AJ456" t="str">
        <f t="shared" si="23"/>
        <v>4FFLHW5MB077BT728N</v>
      </c>
    </row>
    <row r="457" spans="1:36" ht="15" customHeight="1" x14ac:dyDescent="0.25">
      <c r="A457" t="s">
        <v>67</v>
      </c>
      <c r="B457" t="s">
        <v>37</v>
      </c>
      <c r="C457" t="s">
        <v>37</v>
      </c>
      <c r="D457" t="s">
        <v>38</v>
      </c>
      <c r="E457" s="4">
        <v>10</v>
      </c>
      <c r="F457" s="5">
        <v>580</v>
      </c>
      <c r="G457" s="5" t="s">
        <v>39</v>
      </c>
      <c r="H457" s="5">
        <v>852.4</v>
      </c>
      <c r="I457" s="5" t="s">
        <v>39</v>
      </c>
      <c r="J457" s="5">
        <v>19.72</v>
      </c>
      <c r="K457" s="5">
        <f t="shared" si="21"/>
        <v>1.972</v>
      </c>
      <c r="L457" s="5">
        <f t="shared" si="22"/>
        <v>58</v>
      </c>
      <c r="M457" s="5" t="s">
        <v>39</v>
      </c>
      <c r="N457" s="5">
        <v>19.72</v>
      </c>
      <c r="O457" s="5" t="s">
        <v>39</v>
      </c>
      <c r="P457" t="s">
        <v>182</v>
      </c>
      <c r="Q457" t="s">
        <v>719</v>
      </c>
      <c r="R457" t="s">
        <v>37</v>
      </c>
      <c r="S457" t="s">
        <v>720</v>
      </c>
      <c r="T457" t="s">
        <v>43</v>
      </c>
      <c r="U457" t="s">
        <v>44</v>
      </c>
      <c r="V457">
        <v>147</v>
      </c>
      <c r="W457" t="s">
        <v>45</v>
      </c>
      <c r="X457" t="s">
        <v>53</v>
      </c>
      <c r="Y457" t="s">
        <v>721</v>
      </c>
      <c r="Z457" t="s">
        <v>37</v>
      </c>
      <c r="AA457" t="s">
        <v>61</v>
      </c>
      <c r="AB457" t="s">
        <v>37</v>
      </c>
      <c r="AC457" s="6" t="s">
        <v>37</v>
      </c>
      <c r="AD457" s="6" t="s">
        <v>37</v>
      </c>
      <c r="AE457" t="s">
        <v>37</v>
      </c>
      <c r="AF457" t="s">
        <v>37</v>
      </c>
      <c r="AG457" s="6" t="s">
        <v>37</v>
      </c>
      <c r="AH457" t="s">
        <v>37</v>
      </c>
      <c r="AI457" t="s">
        <v>37</v>
      </c>
      <c r="AJ457" t="str">
        <f t="shared" si="23"/>
        <v>5UESXM5PB07W7KV5KF</v>
      </c>
    </row>
    <row r="458" spans="1:36" ht="15" customHeight="1" x14ac:dyDescent="0.25">
      <c r="A458" t="s">
        <v>133</v>
      </c>
      <c r="B458" t="s">
        <v>37</v>
      </c>
      <c r="C458" t="s">
        <v>37</v>
      </c>
      <c r="D458" t="s">
        <v>38</v>
      </c>
      <c r="E458" s="4">
        <v>4</v>
      </c>
      <c r="F458" s="5">
        <v>314.48</v>
      </c>
      <c r="G458" s="5" t="s">
        <v>39</v>
      </c>
      <c r="H458" s="5">
        <v>508.16</v>
      </c>
      <c r="I458" s="5" t="s">
        <v>39</v>
      </c>
      <c r="J458" s="5">
        <v>10.69232</v>
      </c>
      <c r="K458" s="5">
        <f t="shared" si="21"/>
        <v>2.6730800000000001</v>
      </c>
      <c r="L458" s="5">
        <f t="shared" si="22"/>
        <v>78.62</v>
      </c>
      <c r="M458" s="5" t="s">
        <v>39</v>
      </c>
      <c r="N458" s="5">
        <v>10.69232</v>
      </c>
      <c r="O458" s="5" t="s">
        <v>39</v>
      </c>
      <c r="P458" t="s">
        <v>138</v>
      </c>
      <c r="Q458" t="s">
        <v>671</v>
      </c>
      <c r="R458" t="s">
        <v>37</v>
      </c>
      <c r="S458" t="s">
        <v>672</v>
      </c>
      <c r="T458" t="s">
        <v>43</v>
      </c>
      <c r="U458" t="s">
        <v>44</v>
      </c>
      <c r="V458">
        <v>147</v>
      </c>
      <c r="W458" t="s">
        <v>45</v>
      </c>
      <c r="X458" t="s">
        <v>46</v>
      </c>
      <c r="Y458" t="s">
        <v>673</v>
      </c>
      <c r="Z458" t="s">
        <v>37</v>
      </c>
      <c r="AA458" t="s">
        <v>48</v>
      </c>
      <c r="AB458" t="s">
        <v>37</v>
      </c>
      <c r="AC458" s="6" t="s">
        <v>37</v>
      </c>
      <c r="AD458" s="6" t="s">
        <v>37</v>
      </c>
      <c r="AE458" t="s">
        <v>37</v>
      </c>
      <c r="AF458" t="s">
        <v>37</v>
      </c>
      <c r="AG458" s="6" t="s">
        <v>37</v>
      </c>
      <c r="AH458" t="s">
        <v>37</v>
      </c>
      <c r="AI458" t="s">
        <v>37</v>
      </c>
      <c r="AJ458" t="str">
        <f t="shared" si="23"/>
        <v>1S3VNUKAB01MQ0N57Q</v>
      </c>
    </row>
    <row r="459" spans="1:36" ht="15" customHeight="1" x14ac:dyDescent="0.25">
      <c r="A459" t="s">
        <v>36</v>
      </c>
      <c r="B459" t="s">
        <v>37</v>
      </c>
      <c r="C459" t="s">
        <v>37</v>
      </c>
      <c r="D459" t="s">
        <v>38</v>
      </c>
      <c r="E459" s="4">
        <v>24</v>
      </c>
      <c r="F459" s="5">
        <v>1266.24</v>
      </c>
      <c r="G459" s="5" t="s">
        <v>39</v>
      </c>
      <c r="H459" s="5">
        <v>2045.76</v>
      </c>
      <c r="I459" s="5" t="s">
        <v>39</v>
      </c>
      <c r="J459" s="5">
        <v>43.052160000000001</v>
      </c>
      <c r="K459" s="5">
        <f t="shared" si="21"/>
        <v>1.7938400000000001</v>
      </c>
      <c r="L459" s="5">
        <f t="shared" si="22"/>
        <v>52.76</v>
      </c>
      <c r="M459" s="5" t="s">
        <v>39</v>
      </c>
      <c r="N459" s="5">
        <v>43.052160000000001</v>
      </c>
      <c r="O459" s="5" t="s">
        <v>39</v>
      </c>
      <c r="P459" t="s">
        <v>377</v>
      </c>
      <c r="Q459" t="s">
        <v>451</v>
      </c>
      <c r="R459" t="s">
        <v>37</v>
      </c>
      <c r="S459" t="s">
        <v>452</v>
      </c>
      <c r="T459" t="s">
        <v>43</v>
      </c>
      <c r="U459" t="s">
        <v>44</v>
      </c>
      <c r="V459">
        <v>147</v>
      </c>
      <c r="W459" t="s">
        <v>45</v>
      </c>
      <c r="X459" t="s">
        <v>75</v>
      </c>
      <c r="Y459" t="s">
        <v>453</v>
      </c>
      <c r="Z459" t="s">
        <v>37</v>
      </c>
      <c r="AA459" t="s">
        <v>48</v>
      </c>
      <c r="AB459" t="s">
        <v>37</v>
      </c>
      <c r="AC459" s="6" t="s">
        <v>37</v>
      </c>
      <c r="AD459" s="6" t="s">
        <v>37</v>
      </c>
      <c r="AE459" t="s">
        <v>37</v>
      </c>
      <c r="AF459" t="s">
        <v>37</v>
      </c>
      <c r="AG459" s="6" t="s">
        <v>37</v>
      </c>
      <c r="AH459" t="s">
        <v>37</v>
      </c>
      <c r="AI459" t="s">
        <v>37</v>
      </c>
      <c r="AJ459" t="str">
        <f t="shared" si="23"/>
        <v>5IZH76JAB06XQ3V8G7</v>
      </c>
    </row>
    <row r="460" spans="1:36" ht="15" customHeight="1" x14ac:dyDescent="0.25">
      <c r="A460" t="s">
        <v>127</v>
      </c>
      <c r="B460" t="s">
        <v>37</v>
      </c>
      <c r="C460" t="s">
        <v>37</v>
      </c>
      <c r="D460" t="s">
        <v>38</v>
      </c>
      <c r="E460" s="4">
        <v>4</v>
      </c>
      <c r="F460" s="5">
        <v>272.24</v>
      </c>
      <c r="G460" s="5" t="s">
        <v>39</v>
      </c>
      <c r="H460" s="5">
        <v>442.6</v>
      </c>
      <c r="I460" s="5" t="s">
        <v>39</v>
      </c>
      <c r="J460" s="5">
        <v>9.2561599999999995</v>
      </c>
      <c r="K460" s="5">
        <f t="shared" si="21"/>
        <v>2.3140399999999999</v>
      </c>
      <c r="L460" s="5">
        <f t="shared" si="22"/>
        <v>68.06</v>
      </c>
      <c r="M460" s="5" t="s">
        <v>39</v>
      </c>
      <c r="N460" s="5">
        <v>9.2561599999999995</v>
      </c>
      <c r="O460" s="5" t="s">
        <v>39</v>
      </c>
      <c r="P460" t="s">
        <v>250</v>
      </c>
      <c r="Q460" t="s">
        <v>139</v>
      </c>
      <c r="R460" t="s">
        <v>37</v>
      </c>
      <c r="S460" t="s">
        <v>140</v>
      </c>
      <c r="T460" t="s">
        <v>43</v>
      </c>
      <c r="U460" t="s">
        <v>44</v>
      </c>
      <c r="V460">
        <v>147</v>
      </c>
      <c r="W460" t="s">
        <v>45</v>
      </c>
      <c r="X460" t="s">
        <v>46</v>
      </c>
      <c r="Y460" t="s">
        <v>141</v>
      </c>
      <c r="Z460" t="s">
        <v>37</v>
      </c>
      <c r="AA460" t="s">
        <v>61</v>
      </c>
      <c r="AB460" t="s">
        <v>37</v>
      </c>
      <c r="AC460" s="6" t="s">
        <v>37</v>
      </c>
      <c r="AD460" s="6" t="s">
        <v>37</v>
      </c>
      <c r="AE460" t="s">
        <v>37</v>
      </c>
      <c r="AF460" t="s">
        <v>37</v>
      </c>
      <c r="AG460" s="6" t="s">
        <v>37</v>
      </c>
      <c r="AH460" t="s">
        <v>37</v>
      </c>
      <c r="AI460" t="s">
        <v>37</v>
      </c>
      <c r="AJ460" t="str">
        <f t="shared" si="23"/>
        <v>3O2Z95HBB073399S1L</v>
      </c>
    </row>
    <row r="461" spans="1:36" ht="15" customHeight="1" x14ac:dyDescent="0.25">
      <c r="A461" t="s">
        <v>133</v>
      </c>
      <c r="B461" t="s">
        <v>37</v>
      </c>
      <c r="C461" t="s">
        <v>37</v>
      </c>
      <c r="D461" t="s">
        <v>38</v>
      </c>
      <c r="E461" s="4">
        <v>12</v>
      </c>
      <c r="F461" s="5">
        <v>816.72</v>
      </c>
      <c r="G461" s="5" t="s">
        <v>39</v>
      </c>
      <c r="H461" s="5">
        <v>1327.8</v>
      </c>
      <c r="I461" s="5" t="s">
        <v>39</v>
      </c>
      <c r="J461" s="5">
        <v>27.76848</v>
      </c>
      <c r="K461" s="5">
        <f t="shared" si="21"/>
        <v>2.3140399999999999</v>
      </c>
      <c r="L461" s="5">
        <f t="shared" si="22"/>
        <v>68.06</v>
      </c>
      <c r="M461" s="5" t="s">
        <v>39</v>
      </c>
      <c r="N461" s="5">
        <v>27.76848</v>
      </c>
      <c r="O461" s="5" t="s">
        <v>39</v>
      </c>
      <c r="P461" t="s">
        <v>250</v>
      </c>
      <c r="Q461" t="s">
        <v>139</v>
      </c>
      <c r="R461" t="s">
        <v>37</v>
      </c>
      <c r="S461" t="s">
        <v>140</v>
      </c>
      <c r="T461" t="s">
        <v>43</v>
      </c>
      <c r="U461" t="s">
        <v>44</v>
      </c>
      <c r="V461">
        <v>147</v>
      </c>
      <c r="W461" t="s">
        <v>45</v>
      </c>
      <c r="X461" t="s">
        <v>46</v>
      </c>
      <c r="Y461" t="s">
        <v>141</v>
      </c>
      <c r="Z461" t="s">
        <v>37</v>
      </c>
      <c r="AA461" t="s">
        <v>61</v>
      </c>
      <c r="AB461" t="s">
        <v>37</v>
      </c>
      <c r="AC461" s="6" t="s">
        <v>37</v>
      </c>
      <c r="AD461" s="6" t="s">
        <v>37</v>
      </c>
      <c r="AE461" t="s">
        <v>37</v>
      </c>
      <c r="AF461" t="s">
        <v>37</v>
      </c>
      <c r="AG461" s="6" t="s">
        <v>37</v>
      </c>
      <c r="AH461" t="s">
        <v>37</v>
      </c>
      <c r="AI461" t="s">
        <v>37</v>
      </c>
      <c r="AJ461" t="str">
        <f t="shared" si="23"/>
        <v>3O2Z95HBB073399S1L</v>
      </c>
    </row>
    <row r="462" spans="1:36" ht="15" customHeight="1" x14ac:dyDescent="0.25">
      <c r="A462" t="s">
        <v>67</v>
      </c>
      <c r="B462" t="s">
        <v>37</v>
      </c>
      <c r="C462" t="s">
        <v>37</v>
      </c>
      <c r="D462" t="s">
        <v>38</v>
      </c>
      <c r="E462" s="4">
        <v>4</v>
      </c>
      <c r="F462" s="5">
        <v>168.8</v>
      </c>
      <c r="G462" s="5" t="s">
        <v>39</v>
      </c>
      <c r="H462" s="5">
        <v>268.8</v>
      </c>
      <c r="I462" s="5" t="s">
        <v>39</v>
      </c>
      <c r="J462" s="5">
        <v>5.7392000000000003</v>
      </c>
      <c r="K462" s="5">
        <f t="shared" si="21"/>
        <v>1.4348000000000001</v>
      </c>
      <c r="L462" s="5">
        <f t="shared" si="22"/>
        <v>42.2</v>
      </c>
      <c r="M462" s="5" t="s">
        <v>39</v>
      </c>
      <c r="N462" s="5">
        <v>5.7392000000000003</v>
      </c>
      <c r="O462" s="5" t="s">
        <v>39</v>
      </c>
      <c r="P462" t="s">
        <v>182</v>
      </c>
      <c r="Q462" t="s">
        <v>840</v>
      </c>
      <c r="R462" t="s">
        <v>37</v>
      </c>
      <c r="S462" t="s">
        <v>841</v>
      </c>
      <c r="T462" t="s">
        <v>43</v>
      </c>
      <c r="U462" t="s">
        <v>44</v>
      </c>
      <c r="V462">
        <v>147</v>
      </c>
      <c r="W462" t="s">
        <v>45</v>
      </c>
      <c r="X462" t="s">
        <v>46</v>
      </c>
      <c r="Y462" t="s">
        <v>842</v>
      </c>
      <c r="Z462" t="s">
        <v>37</v>
      </c>
      <c r="AA462" t="s">
        <v>61</v>
      </c>
      <c r="AB462" t="s">
        <v>37</v>
      </c>
      <c r="AC462" s="6" t="s">
        <v>37</v>
      </c>
      <c r="AD462" s="6" t="s">
        <v>37</v>
      </c>
      <c r="AE462" t="s">
        <v>37</v>
      </c>
      <c r="AF462" t="s">
        <v>37</v>
      </c>
      <c r="AG462" s="6" t="s">
        <v>37</v>
      </c>
      <c r="AH462" t="s">
        <v>37</v>
      </c>
      <c r="AI462" t="s">
        <v>37</v>
      </c>
      <c r="AJ462" t="str">
        <f t="shared" si="23"/>
        <v>5UESXM5PB07L9FLRPD</v>
      </c>
    </row>
    <row r="463" spans="1:36" ht="15" customHeight="1" x14ac:dyDescent="0.25">
      <c r="A463" t="s">
        <v>67</v>
      </c>
      <c r="B463" t="s">
        <v>37</v>
      </c>
      <c r="C463" t="s">
        <v>37</v>
      </c>
      <c r="D463" t="s">
        <v>38</v>
      </c>
      <c r="E463" s="4">
        <v>8</v>
      </c>
      <c r="F463" s="5">
        <v>628.96</v>
      </c>
      <c r="G463" s="5" t="s">
        <v>39</v>
      </c>
      <c r="H463" s="5">
        <v>1016.32</v>
      </c>
      <c r="I463" s="5" t="s">
        <v>39</v>
      </c>
      <c r="J463" s="5">
        <v>21.384640000000001</v>
      </c>
      <c r="K463" s="5">
        <f t="shared" si="21"/>
        <v>2.6730800000000001</v>
      </c>
      <c r="L463" s="5">
        <f t="shared" si="22"/>
        <v>78.62</v>
      </c>
      <c r="M463" s="5" t="s">
        <v>39</v>
      </c>
      <c r="N463" s="5">
        <v>21.384640000000001</v>
      </c>
      <c r="O463" s="5" t="s">
        <v>39</v>
      </c>
      <c r="P463" t="s">
        <v>108</v>
      </c>
      <c r="Q463" t="s">
        <v>223</v>
      </c>
      <c r="R463" t="s">
        <v>37</v>
      </c>
      <c r="S463" t="s">
        <v>224</v>
      </c>
      <c r="T463" t="s">
        <v>43</v>
      </c>
      <c r="U463" t="s">
        <v>44</v>
      </c>
      <c r="V463">
        <v>147</v>
      </c>
      <c r="W463" t="s">
        <v>45</v>
      </c>
      <c r="X463" t="s">
        <v>177</v>
      </c>
      <c r="Y463" t="s">
        <v>225</v>
      </c>
      <c r="Z463" t="s">
        <v>37</v>
      </c>
      <c r="AA463" t="s">
        <v>145</v>
      </c>
      <c r="AB463" t="s">
        <v>37</v>
      </c>
      <c r="AC463" s="6" t="s">
        <v>37</v>
      </c>
      <c r="AD463" s="6" t="s">
        <v>37</v>
      </c>
      <c r="AE463" t="s">
        <v>37</v>
      </c>
      <c r="AF463" t="s">
        <v>37</v>
      </c>
      <c r="AG463" s="6" t="s">
        <v>37</v>
      </c>
      <c r="AH463" t="s">
        <v>37</v>
      </c>
      <c r="AI463" t="s">
        <v>37</v>
      </c>
      <c r="AJ463" t="str">
        <f t="shared" si="23"/>
        <v>5HGHPU5OB07W7KT2B3</v>
      </c>
    </row>
    <row r="464" spans="1:36" ht="15" customHeight="1" x14ac:dyDescent="0.25">
      <c r="A464" t="s">
        <v>36</v>
      </c>
      <c r="B464" t="s">
        <v>37</v>
      </c>
      <c r="C464" t="s">
        <v>37</v>
      </c>
      <c r="D464" t="s">
        <v>38</v>
      </c>
      <c r="E464" s="4">
        <v>16</v>
      </c>
      <c r="F464" s="5">
        <v>742.4</v>
      </c>
      <c r="G464" s="5" t="s">
        <v>39</v>
      </c>
      <c r="H464" s="5">
        <v>1075.2</v>
      </c>
      <c r="I464" s="5" t="s">
        <v>39</v>
      </c>
      <c r="J464" s="5">
        <v>25.241599999999998</v>
      </c>
      <c r="K464" s="5">
        <f t="shared" si="21"/>
        <v>1.5775999999999999</v>
      </c>
      <c r="L464" s="5">
        <f t="shared" si="22"/>
        <v>46.4</v>
      </c>
      <c r="M464" s="5" t="s">
        <v>39</v>
      </c>
      <c r="N464" s="5">
        <v>25.241599999999998</v>
      </c>
      <c r="O464" s="5" t="s">
        <v>39</v>
      </c>
      <c r="P464" t="s">
        <v>89</v>
      </c>
      <c r="Q464" t="s">
        <v>445</v>
      </c>
      <c r="R464" t="s">
        <v>37</v>
      </c>
      <c r="S464" t="s">
        <v>446</v>
      </c>
      <c r="T464" t="s">
        <v>43</v>
      </c>
      <c r="U464" t="s">
        <v>44</v>
      </c>
      <c r="V464">
        <v>147</v>
      </c>
      <c r="W464" t="s">
        <v>45</v>
      </c>
      <c r="X464" t="s">
        <v>53</v>
      </c>
      <c r="Y464" t="s">
        <v>447</v>
      </c>
      <c r="Z464" t="s">
        <v>37</v>
      </c>
      <c r="AA464" t="s">
        <v>61</v>
      </c>
      <c r="AB464" t="s">
        <v>37</v>
      </c>
      <c r="AC464" s="6" t="s">
        <v>37</v>
      </c>
      <c r="AD464" s="6" t="s">
        <v>37</v>
      </c>
      <c r="AE464" t="s">
        <v>37</v>
      </c>
      <c r="AF464" t="s">
        <v>37</v>
      </c>
      <c r="AG464" s="6" t="s">
        <v>37</v>
      </c>
      <c r="AH464" t="s">
        <v>37</v>
      </c>
      <c r="AI464" t="s">
        <v>37</v>
      </c>
      <c r="AJ464" t="str">
        <f t="shared" si="23"/>
        <v>6D1HFTMSB07W6JLFZ7</v>
      </c>
    </row>
    <row r="465" spans="1:36" ht="15" customHeight="1" x14ac:dyDescent="0.25">
      <c r="A465" t="s">
        <v>133</v>
      </c>
      <c r="B465" t="s">
        <v>37</v>
      </c>
      <c r="C465" t="s">
        <v>37</v>
      </c>
      <c r="D465" t="s">
        <v>38</v>
      </c>
      <c r="E465" s="4">
        <v>10</v>
      </c>
      <c r="F465" s="5">
        <v>99.5</v>
      </c>
      <c r="G465" s="5" t="s">
        <v>39</v>
      </c>
      <c r="H465" s="5">
        <v>138.5</v>
      </c>
      <c r="I465" s="5" t="s">
        <v>39</v>
      </c>
      <c r="J465" s="5">
        <v>3.383</v>
      </c>
      <c r="K465" s="5">
        <f t="shared" si="21"/>
        <v>0.33829999999999999</v>
      </c>
      <c r="L465" s="5">
        <f t="shared" si="22"/>
        <v>9.9499999999999993</v>
      </c>
      <c r="M465" s="5" t="s">
        <v>39</v>
      </c>
      <c r="N465" s="5">
        <v>3.383</v>
      </c>
      <c r="O465" s="5" t="s">
        <v>39</v>
      </c>
      <c r="P465" t="s">
        <v>189</v>
      </c>
      <c r="Q465" t="s">
        <v>843</v>
      </c>
      <c r="R465" t="s">
        <v>37</v>
      </c>
      <c r="S465" t="s">
        <v>844</v>
      </c>
      <c r="T465" t="s">
        <v>43</v>
      </c>
      <c r="U465" t="s">
        <v>44</v>
      </c>
      <c r="V465">
        <v>147</v>
      </c>
      <c r="W465" t="s">
        <v>45</v>
      </c>
      <c r="X465" t="s">
        <v>75</v>
      </c>
      <c r="Y465" t="s">
        <v>845</v>
      </c>
      <c r="Z465" t="s">
        <v>37</v>
      </c>
      <c r="AA465" t="s">
        <v>61</v>
      </c>
      <c r="AB465" t="s">
        <v>37</v>
      </c>
      <c r="AC465" s="6" t="s">
        <v>37</v>
      </c>
      <c r="AD465" s="6" t="s">
        <v>37</v>
      </c>
      <c r="AE465" t="s">
        <v>37</v>
      </c>
      <c r="AF465" t="s">
        <v>37</v>
      </c>
      <c r="AG465" s="6" t="s">
        <v>37</v>
      </c>
      <c r="AH465" t="s">
        <v>37</v>
      </c>
      <c r="AI465" t="s">
        <v>37</v>
      </c>
      <c r="AJ465" t="str">
        <f t="shared" si="23"/>
        <v>6DPU2MKPB00564NERG</v>
      </c>
    </row>
    <row r="466" spans="1:36" ht="15" customHeight="1" x14ac:dyDescent="0.25">
      <c r="A466" t="s">
        <v>36</v>
      </c>
      <c r="B466" t="s">
        <v>37</v>
      </c>
      <c r="C466" t="s">
        <v>37</v>
      </c>
      <c r="D466" t="s">
        <v>38</v>
      </c>
      <c r="E466" s="4">
        <v>8</v>
      </c>
      <c r="F466" s="5">
        <v>337.6</v>
      </c>
      <c r="G466" s="5" t="s">
        <v>39</v>
      </c>
      <c r="H466" s="5">
        <v>537.6</v>
      </c>
      <c r="I466" s="5" t="s">
        <v>39</v>
      </c>
      <c r="J466" s="5">
        <v>11.478400000000001</v>
      </c>
      <c r="K466" s="5">
        <f t="shared" si="21"/>
        <v>1.4348000000000001</v>
      </c>
      <c r="L466" s="5">
        <f t="shared" si="22"/>
        <v>42.2</v>
      </c>
      <c r="M466" s="5" t="s">
        <v>39</v>
      </c>
      <c r="N466" s="5">
        <v>11.478400000000001</v>
      </c>
      <c r="O466" s="5" t="s">
        <v>39</v>
      </c>
      <c r="P466" t="s">
        <v>40</v>
      </c>
      <c r="Q466" t="s">
        <v>414</v>
      </c>
      <c r="R466" t="s">
        <v>37</v>
      </c>
      <c r="S466" t="s">
        <v>415</v>
      </c>
      <c r="T466" t="s">
        <v>43</v>
      </c>
      <c r="U466" t="s">
        <v>44</v>
      </c>
      <c r="V466">
        <v>147</v>
      </c>
      <c r="W466" t="s">
        <v>45</v>
      </c>
      <c r="X466" t="s">
        <v>46</v>
      </c>
      <c r="Y466" t="s">
        <v>416</v>
      </c>
      <c r="Z466" t="s">
        <v>37</v>
      </c>
      <c r="AA466" t="s">
        <v>145</v>
      </c>
      <c r="AB466" t="s">
        <v>37</v>
      </c>
      <c r="AC466" s="6" t="s">
        <v>37</v>
      </c>
      <c r="AD466" s="6" t="s">
        <v>37</v>
      </c>
      <c r="AE466" t="s">
        <v>37</v>
      </c>
      <c r="AF466" t="s">
        <v>37</v>
      </c>
      <c r="AG466" s="6" t="s">
        <v>37</v>
      </c>
      <c r="AH466" t="s">
        <v>37</v>
      </c>
      <c r="AI466" t="s">
        <v>37</v>
      </c>
      <c r="AJ466" t="str">
        <f t="shared" si="23"/>
        <v>8IC45Q9KB07MTXLFXV</v>
      </c>
    </row>
    <row r="467" spans="1:36" ht="15" customHeight="1" x14ac:dyDescent="0.25">
      <c r="A467" t="s">
        <v>36</v>
      </c>
      <c r="B467" t="s">
        <v>37</v>
      </c>
      <c r="C467" t="s">
        <v>37</v>
      </c>
      <c r="D467" t="s">
        <v>38</v>
      </c>
      <c r="E467" s="4">
        <v>4</v>
      </c>
      <c r="F467" s="5">
        <v>335.56</v>
      </c>
      <c r="G467" s="5" t="s">
        <v>39</v>
      </c>
      <c r="H467" s="5">
        <v>540.96</v>
      </c>
      <c r="I467" s="5" t="s">
        <v>39</v>
      </c>
      <c r="J467" s="5">
        <v>11.409039999999999</v>
      </c>
      <c r="K467" s="5">
        <f t="shared" si="21"/>
        <v>2.8522599999999998</v>
      </c>
      <c r="L467" s="5">
        <f t="shared" si="22"/>
        <v>83.89</v>
      </c>
      <c r="M467" s="5" t="s">
        <v>39</v>
      </c>
      <c r="N467" s="5">
        <v>11.409039999999999</v>
      </c>
      <c r="O467" s="5" t="s">
        <v>39</v>
      </c>
      <c r="P467" t="s">
        <v>103</v>
      </c>
      <c r="Q467" t="s">
        <v>485</v>
      </c>
      <c r="R467" t="s">
        <v>37</v>
      </c>
      <c r="S467" t="s">
        <v>486</v>
      </c>
      <c r="T467" t="s">
        <v>43</v>
      </c>
      <c r="U467" t="s">
        <v>44</v>
      </c>
      <c r="V467">
        <v>147</v>
      </c>
      <c r="W467" t="s">
        <v>45</v>
      </c>
      <c r="X467" t="s">
        <v>46</v>
      </c>
      <c r="Y467" t="s">
        <v>487</v>
      </c>
      <c r="Z467" t="s">
        <v>37</v>
      </c>
      <c r="AA467" t="s">
        <v>48</v>
      </c>
      <c r="AB467" t="s">
        <v>37</v>
      </c>
      <c r="AC467" s="6" t="s">
        <v>37</v>
      </c>
      <c r="AD467" s="6" t="s">
        <v>37</v>
      </c>
      <c r="AE467" t="s">
        <v>37</v>
      </c>
      <c r="AF467" t="s">
        <v>37</v>
      </c>
      <c r="AG467" s="6" t="s">
        <v>37</v>
      </c>
      <c r="AH467" t="s">
        <v>37</v>
      </c>
      <c r="AI467" t="s">
        <v>37</v>
      </c>
      <c r="AJ467" t="str">
        <f t="shared" si="23"/>
        <v>68K72QXCB01MCXJWD1</v>
      </c>
    </row>
    <row r="468" spans="1:36" ht="15" customHeight="1" x14ac:dyDescent="0.25">
      <c r="A468" t="s">
        <v>36</v>
      </c>
      <c r="B468" t="s">
        <v>37</v>
      </c>
      <c r="C468" t="s">
        <v>37</v>
      </c>
      <c r="D468" t="s">
        <v>38</v>
      </c>
      <c r="E468" s="4">
        <v>50</v>
      </c>
      <c r="F468" s="5">
        <v>1464</v>
      </c>
      <c r="G468" s="5" t="s">
        <v>39</v>
      </c>
      <c r="H468" s="5">
        <v>1885</v>
      </c>
      <c r="I468" s="5" t="s">
        <v>39</v>
      </c>
      <c r="J468" s="5">
        <v>49.776000000000003</v>
      </c>
      <c r="K468" s="5">
        <f t="shared" si="21"/>
        <v>0.99552000000000007</v>
      </c>
      <c r="L468" s="5">
        <f t="shared" si="22"/>
        <v>29.28</v>
      </c>
      <c r="M468" s="5" t="s">
        <v>39</v>
      </c>
      <c r="N468" s="5">
        <v>49.776000000000003</v>
      </c>
      <c r="O468" s="5" t="s">
        <v>39</v>
      </c>
      <c r="P468" t="s">
        <v>89</v>
      </c>
      <c r="Q468" t="s">
        <v>402</v>
      </c>
      <c r="R468" t="s">
        <v>37</v>
      </c>
      <c r="S468" t="s">
        <v>403</v>
      </c>
      <c r="T468" t="s">
        <v>43</v>
      </c>
      <c r="U468" t="s">
        <v>44</v>
      </c>
      <c r="V468">
        <v>147</v>
      </c>
      <c r="W468" t="s">
        <v>45</v>
      </c>
      <c r="X468" t="s">
        <v>75</v>
      </c>
      <c r="Y468" t="s">
        <v>404</v>
      </c>
      <c r="Z468" t="s">
        <v>37</v>
      </c>
      <c r="AA468" t="s">
        <v>61</v>
      </c>
      <c r="AB468" t="s">
        <v>37</v>
      </c>
      <c r="AC468" s="6" t="s">
        <v>37</v>
      </c>
      <c r="AD468" s="6" t="s">
        <v>37</v>
      </c>
      <c r="AE468" t="s">
        <v>37</v>
      </c>
      <c r="AF468" t="s">
        <v>37</v>
      </c>
      <c r="AG468" s="6" t="s">
        <v>37</v>
      </c>
      <c r="AH468" t="s">
        <v>37</v>
      </c>
      <c r="AI468" t="s">
        <v>37</v>
      </c>
      <c r="AJ468" t="str">
        <f t="shared" si="23"/>
        <v>6D1HFTMSB00Y0G2L9I</v>
      </c>
    </row>
    <row r="469" spans="1:36" ht="15" customHeight="1" x14ac:dyDescent="0.25">
      <c r="A469" t="s">
        <v>49</v>
      </c>
      <c r="B469" t="s">
        <v>37</v>
      </c>
      <c r="C469" t="s">
        <v>37</v>
      </c>
      <c r="D469" t="s">
        <v>38</v>
      </c>
      <c r="E469" s="4">
        <v>4</v>
      </c>
      <c r="F469" s="5">
        <v>73.84</v>
      </c>
      <c r="G469" s="5" t="s">
        <v>39</v>
      </c>
      <c r="H469" s="5">
        <v>128.19999999999999</v>
      </c>
      <c r="I469" s="5" t="s">
        <v>39</v>
      </c>
      <c r="J469" s="5">
        <v>2.5105599999999999</v>
      </c>
      <c r="K469" s="5">
        <f t="shared" si="21"/>
        <v>0.62763999999999998</v>
      </c>
      <c r="L469" s="5">
        <f t="shared" si="22"/>
        <v>18.46</v>
      </c>
      <c r="M469" s="5" t="s">
        <v>39</v>
      </c>
      <c r="N469" s="5">
        <v>2.5105599999999999</v>
      </c>
      <c r="O469" s="5" t="s">
        <v>39</v>
      </c>
      <c r="P469" t="s">
        <v>846</v>
      </c>
      <c r="Q469" t="s">
        <v>426</v>
      </c>
      <c r="R469" t="s">
        <v>37</v>
      </c>
      <c r="S469" t="s">
        <v>427</v>
      </c>
      <c r="T469" t="s">
        <v>43</v>
      </c>
      <c r="U469" t="s">
        <v>44</v>
      </c>
      <c r="V469">
        <v>147</v>
      </c>
      <c r="W469" t="s">
        <v>45</v>
      </c>
      <c r="X469" t="s">
        <v>46</v>
      </c>
      <c r="Y469" t="s">
        <v>428</v>
      </c>
      <c r="Z469" t="s">
        <v>37</v>
      </c>
      <c r="AA469" t="s">
        <v>48</v>
      </c>
      <c r="AB469" t="s">
        <v>37</v>
      </c>
      <c r="AC469" s="6" t="s">
        <v>37</v>
      </c>
      <c r="AD469" s="6" t="s">
        <v>37</v>
      </c>
      <c r="AE469" t="s">
        <v>37</v>
      </c>
      <c r="AF469" t="s">
        <v>37</v>
      </c>
      <c r="AG469" s="6" t="s">
        <v>37</v>
      </c>
      <c r="AH469" t="s">
        <v>37</v>
      </c>
      <c r="AI469" t="s">
        <v>37</v>
      </c>
      <c r="AJ469" t="str">
        <f t="shared" si="23"/>
        <v>7TOH4SKIB00CJ5FP04</v>
      </c>
    </row>
    <row r="470" spans="1:36" ht="15" customHeight="1" x14ac:dyDescent="0.25">
      <c r="A470" t="s">
        <v>127</v>
      </c>
      <c r="B470" t="s">
        <v>37</v>
      </c>
      <c r="C470" t="s">
        <v>37</v>
      </c>
      <c r="D470" t="s">
        <v>38</v>
      </c>
      <c r="E470" s="4">
        <v>20</v>
      </c>
      <c r="F470" s="5">
        <v>292.8</v>
      </c>
      <c r="G470" s="5" t="s">
        <v>39</v>
      </c>
      <c r="H470" s="5">
        <v>586.79999999999995</v>
      </c>
      <c r="I470" s="5" t="s">
        <v>39</v>
      </c>
      <c r="J470" s="5">
        <v>9.9551999999999996</v>
      </c>
      <c r="K470" s="5">
        <f t="shared" si="21"/>
        <v>0.49775999999999998</v>
      </c>
      <c r="L470" s="5">
        <f t="shared" si="22"/>
        <v>14.64</v>
      </c>
      <c r="M470" s="5" t="s">
        <v>39</v>
      </c>
      <c r="N470" s="5">
        <v>9.9551999999999996</v>
      </c>
      <c r="O470" s="5" t="s">
        <v>39</v>
      </c>
      <c r="P470" t="s">
        <v>208</v>
      </c>
      <c r="Q470" t="s">
        <v>278</v>
      </c>
      <c r="R470" t="s">
        <v>37</v>
      </c>
      <c r="S470" t="s">
        <v>279</v>
      </c>
      <c r="T470" t="s">
        <v>43</v>
      </c>
      <c r="U470" t="s">
        <v>44</v>
      </c>
      <c r="V470">
        <v>147</v>
      </c>
      <c r="W470" t="s">
        <v>45</v>
      </c>
      <c r="X470" t="s">
        <v>75</v>
      </c>
      <c r="Y470" t="s">
        <v>280</v>
      </c>
      <c r="Z470" t="s">
        <v>37</v>
      </c>
      <c r="AA470" t="s">
        <v>61</v>
      </c>
      <c r="AB470" t="s">
        <v>37</v>
      </c>
      <c r="AC470" s="6" t="s">
        <v>37</v>
      </c>
      <c r="AD470" s="6" t="s">
        <v>37</v>
      </c>
      <c r="AE470" t="s">
        <v>37</v>
      </c>
      <c r="AF470" t="s">
        <v>37</v>
      </c>
      <c r="AG470" s="6" t="s">
        <v>37</v>
      </c>
      <c r="AH470" t="s">
        <v>37</v>
      </c>
      <c r="AI470" t="s">
        <v>37</v>
      </c>
      <c r="AJ470" t="str">
        <f t="shared" si="23"/>
        <v>2WFUPSOGB01I252A34</v>
      </c>
    </row>
    <row r="471" spans="1:36" ht="15" customHeight="1" x14ac:dyDescent="0.25">
      <c r="A471" t="s">
        <v>36</v>
      </c>
      <c r="B471" t="s">
        <v>37</v>
      </c>
      <c r="C471" t="s">
        <v>37</v>
      </c>
      <c r="D471" t="s">
        <v>38</v>
      </c>
      <c r="E471" s="4">
        <v>24</v>
      </c>
      <c r="F471" s="5">
        <v>702.72</v>
      </c>
      <c r="G471" s="5" t="s">
        <v>39</v>
      </c>
      <c r="H471" s="5">
        <v>1022.64</v>
      </c>
      <c r="I471" s="5" t="s">
        <v>39</v>
      </c>
      <c r="J471" s="5">
        <v>23.892479999999999</v>
      </c>
      <c r="K471" s="5">
        <f t="shared" si="21"/>
        <v>0.99551999999999996</v>
      </c>
      <c r="L471" s="5">
        <f t="shared" si="22"/>
        <v>29.28</v>
      </c>
      <c r="M471" s="5" t="s">
        <v>39</v>
      </c>
      <c r="N471" s="5">
        <v>23.892479999999999</v>
      </c>
      <c r="O471" s="5" t="s">
        <v>39</v>
      </c>
      <c r="P471" t="s">
        <v>89</v>
      </c>
      <c r="Q471" t="s">
        <v>847</v>
      </c>
      <c r="R471" t="s">
        <v>37</v>
      </c>
      <c r="S471" t="s">
        <v>848</v>
      </c>
      <c r="T471" t="s">
        <v>43</v>
      </c>
      <c r="U471" t="s">
        <v>44</v>
      </c>
      <c r="V471">
        <v>147</v>
      </c>
      <c r="W471" t="s">
        <v>45</v>
      </c>
      <c r="X471" t="s">
        <v>849</v>
      </c>
      <c r="Y471" t="s">
        <v>850</v>
      </c>
      <c r="Z471" t="s">
        <v>37</v>
      </c>
      <c r="AA471" t="s">
        <v>61</v>
      </c>
      <c r="AB471" t="s">
        <v>37</v>
      </c>
      <c r="AC471" s="6" t="s">
        <v>37</v>
      </c>
      <c r="AD471" s="6" t="s">
        <v>37</v>
      </c>
      <c r="AE471" t="s">
        <v>37</v>
      </c>
      <c r="AF471" t="s">
        <v>37</v>
      </c>
      <c r="AG471" s="6" t="s">
        <v>37</v>
      </c>
      <c r="AH471" t="s">
        <v>37</v>
      </c>
      <c r="AI471" t="s">
        <v>37</v>
      </c>
      <c r="AJ471" t="str">
        <f t="shared" si="23"/>
        <v>6D1HFTMSB00IJYG4FY</v>
      </c>
    </row>
    <row r="472" spans="1:36" ht="15" customHeight="1" x14ac:dyDescent="0.25">
      <c r="A472" t="s">
        <v>127</v>
      </c>
      <c r="B472" t="s">
        <v>37</v>
      </c>
      <c r="C472" t="s">
        <v>37</v>
      </c>
      <c r="D472" t="s">
        <v>38</v>
      </c>
      <c r="E472" s="4">
        <v>30</v>
      </c>
      <c r="F472" s="5">
        <v>298.5</v>
      </c>
      <c r="G472" s="5" t="s">
        <v>39</v>
      </c>
      <c r="H472" s="5">
        <v>368.7</v>
      </c>
      <c r="I472" s="5" t="s">
        <v>39</v>
      </c>
      <c r="J472" s="5">
        <v>10.148999999999999</v>
      </c>
      <c r="K472" s="5">
        <f t="shared" si="21"/>
        <v>0.33829999999999999</v>
      </c>
      <c r="L472" s="5">
        <f t="shared" si="22"/>
        <v>9.9499999999999993</v>
      </c>
      <c r="M472" s="5" t="s">
        <v>39</v>
      </c>
      <c r="N472" s="5">
        <v>10.148999999999999</v>
      </c>
      <c r="O472" s="5" t="s">
        <v>39</v>
      </c>
      <c r="P472" t="s">
        <v>128</v>
      </c>
      <c r="Q472" t="s">
        <v>202</v>
      </c>
      <c r="R472" t="s">
        <v>37</v>
      </c>
      <c r="S472" t="s">
        <v>203</v>
      </c>
      <c r="T472" t="s">
        <v>43</v>
      </c>
      <c r="U472" t="s">
        <v>44</v>
      </c>
      <c r="V472">
        <v>147</v>
      </c>
      <c r="W472" t="s">
        <v>45</v>
      </c>
      <c r="X472" t="s">
        <v>75</v>
      </c>
      <c r="Y472" t="s">
        <v>204</v>
      </c>
      <c r="Z472" t="s">
        <v>37</v>
      </c>
      <c r="AA472" t="s">
        <v>61</v>
      </c>
      <c r="AB472" t="s">
        <v>37</v>
      </c>
      <c r="AC472" s="6" t="s">
        <v>37</v>
      </c>
      <c r="AD472" s="6" t="s">
        <v>37</v>
      </c>
      <c r="AE472" t="s">
        <v>37</v>
      </c>
      <c r="AF472" t="s">
        <v>37</v>
      </c>
      <c r="AG472" s="6" t="s">
        <v>37</v>
      </c>
      <c r="AH472" t="s">
        <v>37</v>
      </c>
      <c r="AI472" t="s">
        <v>37</v>
      </c>
      <c r="AJ472" t="str">
        <f t="shared" si="23"/>
        <v>5DN5PI5YB003PAMIA2</v>
      </c>
    </row>
    <row r="473" spans="1:36" ht="15" customHeight="1" x14ac:dyDescent="0.25">
      <c r="A473" t="s">
        <v>67</v>
      </c>
      <c r="B473" t="s">
        <v>37</v>
      </c>
      <c r="C473" t="s">
        <v>37</v>
      </c>
      <c r="D473" t="s">
        <v>38</v>
      </c>
      <c r="E473" s="4">
        <v>9</v>
      </c>
      <c r="F473" s="5">
        <v>1324.89</v>
      </c>
      <c r="G473" s="5" t="s">
        <v>39</v>
      </c>
      <c r="H473" s="5">
        <v>2139.3000000000002</v>
      </c>
      <c r="I473" s="5" t="s">
        <v>39</v>
      </c>
      <c r="J473" s="5">
        <v>45.046259999999997</v>
      </c>
      <c r="K473" s="5">
        <f t="shared" si="21"/>
        <v>5.0051399999999999</v>
      </c>
      <c r="L473" s="5">
        <f t="shared" si="22"/>
        <v>147.21</v>
      </c>
      <c r="M473" s="5" t="s">
        <v>39</v>
      </c>
      <c r="N473" s="5">
        <v>45.046259999999997</v>
      </c>
      <c r="O473" s="5" t="s">
        <v>39</v>
      </c>
      <c r="P473" t="s">
        <v>323</v>
      </c>
      <c r="Q473" t="s">
        <v>104</v>
      </c>
      <c r="R473" t="s">
        <v>37</v>
      </c>
      <c r="S473" t="s">
        <v>105</v>
      </c>
      <c r="T473" t="s">
        <v>43</v>
      </c>
      <c r="U473" t="s">
        <v>44</v>
      </c>
      <c r="V473">
        <v>147</v>
      </c>
      <c r="W473" t="s">
        <v>45</v>
      </c>
      <c r="X473" t="s">
        <v>46</v>
      </c>
      <c r="Y473" t="s">
        <v>106</v>
      </c>
      <c r="Z473" t="s">
        <v>37</v>
      </c>
      <c r="AA473" t="s">
        <v>107</v>
      </c>
      <c r="AB473" t="s">
        <v>37</v>
      </c>
      <c r="AC473" s="6" t="s">
        <v>37</v>
      </c>
      <c r="AD473" s="6" t="s">
        <v>37</v>
      </c>
      <c r="AE473" t="s">
        <v>37</v>
      </c>
      <c r="AF473" t="s">
        <v>37</v>
      </c>
      <c r="AG473" s="6" t="s">
        <v>37</v>
      </c>
      <c r="AH473" t="s">
        <v>37</v>
      </c>
      <c r="AI473" t="s">
        <v>37</v>
      </c>
      <c r="AJ473" t="str">
        <f t="shared" si="23"/>
        <v>11CZAECYB07JGCM9QM</v>
      </c>
    </row>
    <row r="474" spans="1:36" ht="15" customHeight="1" x14ac:dyDescent="0.25">
      <c r="A474" t="s">
        <v>133</v>
      </c>
      <c r="B474" t="s">
        <v>37</v>
      </c>
      <c r="C474" t="s">
        <v>37</v>
      </c>
      <c r="D474" t="s">
        <v>38</v>
      </c>
      <c r="E474" s="4">
        <v>24</v>
      </c>
      <c r="F474" s="5">
        <v>702.72</v>
      </c>
      <c r="G474" s="5" t="s">
        <v>39</v>
      </c>
      <c r="H474" s="5">
        <v>1022.64</v>
      </c>
      <c r="I474" s="5" t="s">
        <v>39</v>
      </c>
      <c r="J474" s="5">
        <v>23.892479999999999</v>
      </c>
      <c r="K474" s="5">
        <f t="shared" si="21"/>
        <v>0.99551999999999996</v>
      </c>
      <c r="L474" s="5">
        <f t="shared" si="22"/>
        <v>29.28</v>
      </c>
      <c r="M474" s="5" t="s">
        <v>39</v>
      </c>
      <c r="N474" s="5">
        <v>23.892479999999999</v>
      </c>
      <c r="O474" s="5" t="s">
        <v>39</v>
      </c>
      <c r="P474" t="s">
        <v>189</v>
      </c>
      <c r="Q474" t="s">
        <v>726</v>
      </c>
      <c r="R474" t="s">
        <v>37</v>
      </c>
      <c r="S474" t="s">
        <v>727</v>
      </c>
      <c r="T474" t="s">
        <v>43</v>
      </c>
      <c r="U474" t="s">
        <v>44</v>
      </c>
      <c r="V474">
        <v>147</v>
      </c>
      <c r="W474" t="s">
        <v>45</v>
      </c>
      <c r="X474" t="s">
        <v>75</v>
      </c>
      <c r="Y474" t="s">
        <v>728</v>
      </c>
      <c r="Z474" t="s">
        <v>37</v>
      </c>
      <c r="AA474" t="s">
        <v>61</v>
      </c>
      <c r="AB474" t="s">
        <v>37</v>
      </c>
      <c r="AC474" s="6" t="s">
        <v>37</v>
      </c>
      <c r="AD474" s="6" t="s">
        <v>37</v>
      </c>
      <c r="AE474" t="s">
        <v>37</v>
      </c>
      <c r="AF474" t="s">
        <v>37</v>
      </c>
      <c r="AG474" s="6" t="s">
        <v>37</v>
      </c>
      <c r="AH474" t="s">
        <v>37</v>
      </c>
      <c r="AI474" t="s">
        <v>37</v>
      </c>
      <c r="AJ474" t="str">
        <f t="shared" si="23"/>
        <v>6DPU2MKPB07W4DGCMV</v>
      </c>
    </row>
    <row r="475" spans="1:36" ht="15" customHeight="1" x14ac:dyDescent="0.25">
      <c r="A475" t="s">
        <v>133</v>
      </c>
      <c r="B475" t="s">
        <v>37</v>
      </c>
      <c r="C475" t="s">
        <v>37</v>
      </c>
      <c r="D475" t="s">
        <v>38</v>
      </c>
      <c r="E475" s="4">
        <v>4</v>
      </c>
      <c r="F475" s="5">
        <v>140.52000000000001</v>
      </c>
      <c r="G475" s="5" t="s">
        <v>39</v>
      </c>
      <c r="H475" s="5">
        <v>171.96</v>
      </c>
      <c r="I475" s="5" t="s">
        <v>39</v>
      </c>
      <c r="J475" s="5">
        <v>4.7776800000000001</v>
      </c>
      <c r="K475" s="5">
        <f t="shared" si="21"/>
        <v>1.19442</v>
      </c>
      <c r="L475" s="5">
        <f t="shared" si="22"/>
        <v>35.130000000000003</v>
      </c>
      <c r="M475" s="5" t="s">
        <v>39</v>
      </c>
      <c r="N475" s="5">
        <v>4.7776800000000001</v>
      </c>
      <c r="O475" s="5" t="s">
        <v>39</v>
      </c>
      <c r="P475" t="s">
        <v>189</v>
      </c>
      <c r="Q475" t="s">
        <v>716</v>
      </c>
      <c r="R475" t="s">
        <v>37</v>
      </c>
      <c r="S475" t="s">
        <v>717</v>
      </c>
      <c r="T475" t="s">
        <v>43</v>
      </c>
      <c r="U475" t="s">
        <v>44</v>
      </c>
      <c r="V475">
        <v>147</v>
      </c>
      <c r="W475" t="s">
        <v>45</v>
      </c>
      <c r="X475" t="s">
        <v>248</v>
      </c>
      <c r="Y475" t="s">
        <v>718</v>
      </c>
      <c r="Z475" t="s">
        <v>37</v>
      </c>
      <c r="AA475" t="s">
        <v>61</v>
      </c>
      <c r="AB475" t="s">
        <v>37</v>
      </c>
      <c r="AC475" s="6" t="s">
        <v>37</v>
      </c>
      <c r="AD475" s="6" t="s">
        <v>37</v>
      </c>
      <c r="AE475" t="s">
        <v>37</v>
      </c>
      <c r="AF475" t="s">
        <v>37</v>
      </c>
      <c r="AG475" s="6" t="s">
        <v>37</v>
      </c>
      <c r="AH475" t="s">
        <v>37</v>
      </c>
      <c r="AI475" t="s">
        <v>37</v>
      </c>
      <c r="AJ475" t="str">
        <f t="shared" si="23"/>
        <v>6DPU2MKPB00JKDN6RW</v>
      </c>
    </row>
    <row r="476" spans="1:36" ht="15" customHeight="1" x14ac:dyDescent="0.25">
      <c r="A476" t="s">
        <v>36</v>
      </c>
      <c r="B476" t="s">
        <v>37</v>
      </c>
      <c r="C476" t="s">
        <v>37</v>
      </c>
      <c r="D476" t="s">
        <v>38</v>
      </c>
      <c r="E476" s="4">
        <v>60</v>
      </c>
      <c r="F476" s="5">
        <v>2215.8000000000002</v>
      </c>
      <c r="G476" s="5" t="s">
        <v>39</v>
      </c>
      <c r="H476" s="5">
        <v>3540.6</v>
      </c>
      <c r="I476" s="5" t="s">
        <v>39</v>
      </c>
      <c r="J476" s="5">
        <v>75.337199999999996</v>
      </c>
      <c r="K476" s="5">
        <f t="shared" si="21"/>
        <v>1.25562</v>
      </c>
      <c r="L476" s="5">
        <f t="shared" si="22"/>
        <v>36.93</v>
      </c>
      <c r="M476" s="5" t="s">
        <v>39</v>
      </c>
      <c r="N476" s="5">
        <v>75.337199999999996</v>
      </c>
      <c r="O476" s="5" t="s">
        <v>39</v>
      </c>
      <c r="P476" t="s">
        <v>40</v>
      </c>
      <c r="Q476" t="s">
        <v>374</v>
      </c>
      <c r="R476" t="s">
        <v>37</v>
      </c>
      <c r="S476" t="s">
        <v>375</v>
      </c>
      <c r="T476" t="s">
        <v>43</v>
      </c>
      <c r="U476" t="s">
        <v>44</v>
      </c>
      <c r="V476">
        <v>147</v>
      </c>
      <c r="W476" t="s">
        <v>45</v>
      </c>
      <c r="X476" t="s">
        <v>46</v>
      </c>
      <c r="Y476" t="s">
        <v>376</v>
      </c>
      <c r="Z476" t="s">
        <v>37</v>
      </c>
      <c r="AA476" t="s">
        <v>145</v>
      </c>
      <c r="AB476" t="s">
        <v>37</v>
      </c>
      <c r="AC476" s="6" t="s">
        <v>37</v>
      </c>
      <c r="AD476" s="6" t="s">
        <v>37</v>
      </c>
      <c r="AE476" t="s">
        <v>37</v>
      </c>
      <c r="AF476" t="s">
        <v>37</v>
      </c>
      <c r="AG476" s="6" t="s">
        <v>37</v>
      </c>
      <c r="AH476" t="s">
        <v>37</v>
      </c>
      <c r="AI476" t="s">
        <v>37</v>
      </c>
      <c r="AJ476" t="str">
        <f t="shared" si="23"/>
        <v>8IC45Q9KB07W6J6TG5</v>
      </c>
    </row>
    <row r="477" spans="1:36" ht="15" customHeight="1" x14ac:dyDescent="0.25">
      <c r="A477" t="s">
        <v>133</v>
      </c>
      <c r="B477" t="s">
        <v>37</v>
      </c>
      <c r="C477" t="s">
        <v>37</v>
      </c>
      <c r="D477" t="s">
        <v>38</v>
      </c>
      <c r="E477" s="4">
        <v>4</v>
      </c>
      <c r="F477" s="5">
        <v>301.64</v>
      </c>
      <c r="G477" s="5" t="s">
        <v>39</v>
      </c>
      <c r="H477" s="5">
        <v>442.6</v>
      </c>
      <c r="I477" s="5" t="s">
        <v>39</v>
      </c>
      <c r="J477" s="5">
        <v>10.25576</v>
      </c>
      <c r="K477" s="5">
        <f t="shared" si="21"/>
        <v>2.5639400000000001</v>
      </c>
      <c r="L477" s="5">
        <f t="shared" si="22"/>
        <v>75.41</v>
      </c>
      <c r="M477" s="5" t="s">
        <v>39</v>
      </c>
      <c r="N477" s="5">
        <v>10.25576</v>
      </c>
      <c r="O477" s="5" t="s">
        <v>39</v>
      </c>
      <c r="P477" t="s">
        <v>128</v>
      </c>
      <c r="Q477" t="s">
        <v>384</v>
      </c>
      <c r="R477" t="s">
        <v>37</v>
      </c>
      <c r="S477" t="s">
        <v>385</v>
      </c>
      <c r="T477" t="s">
        <v>43</v>
      </c>
      <c r="U477" t="s">
        <v>44</v>
      </c>
      <c r="V477">
        <v>147</v>
      </c>
      <c r="W477" t="s">
        <v>45</v>
      </c>
      <c r="X477" t="s">
        <v>154</v>
      </c>
      <c r="Y477" t="s">
        <v>386</v>
      </c>
      <c r="Z477" t="s">
        <v>37</v>
      </c>
      <c r="AA477" t="s">
        <v>48</v>
      </c>
      <c r="AB477" t="s">
        <v>37</v>
      </c>
      <c r="AC477" s="6" t="s">
        <v>37</v>
      </c>
      <c r="AD477" s="6" t="s">
        <v>37</v>
      </c>
      <c r="AE477" t="s">
        <v>37</v>
      </c>
      <c r="AF477" t="s">
        <v>37</v>
      </c>
      <c r="AG477" s="6" t="s">
        <v>37</v>
      </c>
      <c r="AH477" t="s">
        <v>37</v>
      </c>
      <c r="AI477" t="s">
        <v>37</v>
      </c>
      <c r="AJ477" t="str">
        <f t="shared" si="23"/>
        <v>5DN5PI5YB01MT5WMMG</v>
      </c>
    </row>
    <row r="478" spans="1:36" ht="15" customHeight="1" x14ac:dyDescent="0.25">
      <c r="A478" t="s">
        <v>36</v>
      </c>
      <c r="B478" t="s">
        <v>37</v>
      </c>
      <c r="C478" t="s">
        <v>37</v>
      </c>
      <c r="D478" t="s">
        <v>38</v>
      </c>
      <c r="E478" s="4">
        <v>36</v>
      </c>
      <c r="F478" s="5">
        <v>1475.64</v>
      </c>
      <c r="G478" s="5" t="s">
        <v>39</v>
      </c>
      <c r="H478" s="5">
        <v>2124.36</v>
      </c>
      <c r="I478" s="5" t="s">
        <v>39</v>
      </c>
      <c r="J478" s="5">
        <v>50.171759999999999</v>
      </c>
      <c r="K478" s="5">
        <f t="shared" si="21"/>
        <v>1.3936599999999999</v>
      </c>
      <c r="L478" s="5">
        <f t="shared" si="22"/>
        <v>40.99</v>
      </c>
      <c r="M478" s="5" t="s">
        <v>39</v>
      </c>
      <c r="N478" s="5">
        <v>50.171759999999999</v>
      </c>
      <c r="O478" s="5" t="s">
        <v>39</v>
      </c>
      <c r="P478" t="s">
        <v>377</v>
      </c>
      <c r="Q478" t="s">
        <v>851</v>
      </c>
      <c r="R478" t="s">
        <v>37</v>
      </c>
      <c r="S478" t="s">
        <v>852</v>
      </c>
      <c r="T478" t="s">
        <v>43</v>
      </c>
      <c r="U478" t="s">
        <v>44</v>
      </c>
      <c r="V478">
        <v>147</v>
      </c>
      <c r="W478" t="s">
        <v>45</v>
      </c>
      <c r="X478" t="s">
        <v>75</v>
      </c>
      <c r="Y478" t="s">
        <v>853</v>
      </c>
      <c r="Z478" t="s">
        <v>37</v>
      </c>
      <c r="AA478" t="s">
        <v>48</v>
      </c>
      <c r="AB478" t="s">
        <v>37</v>
      </c>
      <c r="AC478" s="6" t="s">
        <v>37</v>
      </c>
      <c r="AD478" s="6" t="s">
        <v>37</v>
      </c>
      <c r="AE478" t="s">
        <v>37</v>
      </c>
      <c r="AF478" t="s">
        <v>37</v>
      </c>
      <c r="AG478" s="6" t="s">
        <v>37</v>
      </c>
      <c r="AH478" t="s">
        <v>37</v>
      </c>
      <c r="AI478" t="s">
        <v>37</v>
      </c>
      <c r="AJ478" t="str">
        <f t="shared" si="23"/>
        <v>5IZH76JAB0797G6W5K</v>
      </c>
    </row>
    <row r="479" spans="1:36" ht="15" customHeight="1" x14ac:dyDescent="0.25">
      <c r="A479" t="s">
        <v>294</v>
      </c>
      <c r="B479" t="s">
        <v>37</v>
      </c>
      <c r="C479" t="s">
        <v>37</v>
      </c>
      <c r="D479" t="s">
        <v>38</v>
      </c>
      <c r="E479" s="4">
        <v>0</v>
      </c>
      <c r="F479" s="5">
        <v>0</v>
      </c>
      <c r="G479" s="5" t="s">
        <v>39</v>
      </c>
      <c r="H479" s="5">
        <v>0</v>
      </c>
      <c r="I479" s="5" t="s">
        <v>39</v>
      </c>
      <c r="J479" s="5">
        <v>0</v>
      </c>
      <c r="K479" s="5" t="e">
        <f t="shared" si="21"/>
        <v>#DIV/0!</v>
      </c>
      <c r="L479" s="5" t="e">
        <f t="shared" si="22"/>
        <v>#DIV/0!</v>
      </c>
      <c r="M479" s="5" t="s">
        <v>39</v>
      </c>
      <c r="N479" s="5">
        <v>0</v>
      </c>
      <c r="O479" s="5" t="s">
        <v>39</v>
      </c>
      <c r="P479" t="s">
        <v>78</v>
      </c>
      <c r="Q479" t="s">
        <v>223</v>
      </c>
      <c r="R479" t="s">
        <v>37</v>
      </c>
      <c r="S479" t="s">
        <v>224</v>
      </c>
      <c r="T479" t="s">
        <v>43</v>
      </c>
      <c r="U479" t="s">
        <v>44</v>
      </c>
      <c r="V479">
        <v>147</v>
      </c>
      <c r="W479" t="s">
        <v>45</v>
      </c>
      <c r="X479" t="s">
        <v>177</v>
      </c>
      <c r="Y479" t="s">
        <v>225</v>
      </c>
      <c r="Z479" t="s">
        <v>37</v>
      </c>
      <c r="AA479" t="s">
        <v>145</v>
      </c>
      <c r="AB479" t="s">
        <v>37</v>
      </c>
      <c r="AC479" s="6" t="s">
        <v>37</v>
      </c>
      <c r="AD479" s="6" t="s">
        <v>37</v>
      </c>
      <c r="AE479" t="s">
        <v>37</v>
      </c>
      <c r="AF479" t="s">
        <v>37</v>
      </c>
      <c r="AG479" s="6" t="s">
        <v>37</v>
      </c>
      <c r="AH479" t="s">
        <v>37</v>
      </c>
      <c r="AI479" t="s">
        <v>37</v>
      </c>
      <c r="AJ479" t="str">
        <f t="shared" si="23"/>
        <v>135JM91XB07W7KT2B3</v>
      </c>
    </row>
    <row r="480" spans="1:36" ht="15" customHeight="1" x14ac:dyDescent="0.25">
      <c r="A480" t="s">
        <v>127</v>
      </c>
      <c r="B480" t="s">
        <v>37</v>
      </c>
      <c r="C480" t="s">
        <v>37</v>
      </c>
      <c r="D480" t="s">
        <v>38</v>
      </c>
      <c r="E480" s="4">
        <v>12</v>
      </c>
      <c r="F480" s="5">
        <v>904.92</v>
      </c>
      <c r="G480" s="5" t="s">
        <v>39</v>
      </c>
      <c r="H480" s="5">
        <v>1327.8</v>
      </c>
      <c r="I480" s="5" t="s">
        <v>39</v>
      </c>
      <c r="J480" s="5">
        <v>30.76728</v>
      </c>
      <c r="K480" s="5">
        <f t="shared" si="21"/>
        <v>2.5639400000000001</v>
      </c>
      <c r="L480" s="5">
        <f t="shared" si="22"/>
        <v>75.41</v>
      </c>
      <c r="M480" s="5" t="s">
        <v>39</v>
      </c>
      <c r="N480" s="5">
        <v>30.76728</v>
      </c>
      <c r="O480" s="5" t="s">
        <v>39</v>
      </c>
      <c r="P480" t="s">
        <v>128</v>
      </c>
      <c r="Q480" t="s">
        <v>384</v>
      </c>
      <c r="R480" t="s">
        <v>37</v>
      </c>
      <c r="S480" t="s">
        <v>385</v>
      </c>
      <c r="T480" t="s">
        <v>43</v>
      </c>
      <c r="U480" t="s">
        <v>44</v>
      </c>
      <c r="V480">
        <v>147</v>
      </c>
      <c r="W480" t="s">
        <v>45</v>
      </c>
      <c r="X480" t="s">
        <v>154</v>
      </c>
      <c r="Y480" t="s">
        <v>386</v>
      </c>
      <c r="Z480" t="s">
        <v>37</v>
      </c>
      <c r="AA480" t="s">
        <v>48</v>
      </c>
      <c r="AB480" t="s">
        <v>37</v>
      </c>
      <c r="AC480" s="6" t="s">
        <v>37</v>
      </c>
      <c r="AD480" s="6" t="s">
        <v>37</v>
      </c>
      <c r="AE480" t="s">
        <v>37</v>
      </c>
      <c r="AF480" t="s">
        <v>37</v>
      </c>
      <c r="AG480" s="6" t="s">
        <v>37</v>
      </c>
      <c r="AH480" t="s">
        <v>37</v>
      </c>
      <c r="AI480" t="s">
        <v>37</v>
      </c>
      <c r="AJ480" t="str">
        <f t="shared" si="23"/>
        <v>5DN5PI5YB01MT5WMMG</v>
      </c>
    </row>
    <row r="481" spans="1:36" ht="15" customHeight="1" x14ac:dyDescent="0.25">
      <c r="A481" t="s">
        <v>36</v>
      </c>
      <c r="B481" t="s">
        <v>37</v>
      </c>
      <c r="C481" t="s">
        <v>37</v>
      </c>
      <c r="D481" t="s">
        <v>38</v>
      </c>
      <c r="E481" s="4">
        <v>12</v>
      </c>
      <c r="F481" s="5">
        <v>514.32000000000005</v>
      </c>
      <c r="G481" s="5" t="s">
        <v>39</v>
      </c>
      <c r="H481" s="5">
        <v>708.12</v>
      </c>
      <c r="I481" s="5" t="s">
        <v>39</v>
      </c>
      <c r="J481" s="5">
        <v>17.486879999999999</v>
      </c>
      <c r="K481" s="5">
        <f t="shared" si="21"/>
        <v>1.4572399999999999</v>
      </c>
      <c r="L481" s="5">
        <f t="shared" si="22"/>
        <v>42.860000000000007</v>
      </c>
      <c r="M481" s="5" t="s">
        <v>39</v>
      </c>
      <c r="N481" s="5">
        <v>17.486879999999999</v>
      </c>
      <c r="O481" s="5" t="s">
        <v>39</v>
      </c>
      <c r="P481" t="s">
        <v>89</v>
      </c>
      <c r="Q481" t="s">
        <v>854</v>
      </c>
      <c r="R481" t="s">
        <v>37</v>
      </c>
      <c r="S481" t="s">
        <v>855</v>
      </c>
      <c r="T481" t="s">
        <v>43</v>
      </c>
      <c r="U481" t="s">
        <v>44</v>
      </c>
      <c r="V481">
        <v>147</v>
      </c>
      <c r="W481" t="s">
        <v>45</v>
      </c>
      <c r="X481" t="s">
        <v>856</v>
      </c>
      <c r="Y481" t="s">
        <v>857</v>
      </c>
      <c r="Z481" t="s">
        <v>37</v>
      </c>
      <c r="AA481" t="s">
        <v>48</v>
      </c>
      <c r="AB481" t="s">
        <v>37</v>
      </c>
      <c r="AC481" s="6" t="s">
        <v>37</v>
      </c>
      <c r="AD481" s="6" t="s">
        <v>37</v>
      </c>
      <c r="AE481" t="s">
        <v>37</v>
      </c>
      <c r="AF481" t="s">
        <v>37</v>
      </c>
      <c r="AG481" s="6" t="s">
        <v>37</v>
      </c>
      <c r="AH481" t="s">
        <v>37</v>
      </c>
      <c r="AI481" t="s">
        <v>37</v>
      </c>
      <c r="AJ481" t="str">
        <f t="shared" si="23"/>
        <v>6D1HFTMSB07H3HGVDW</v>
      </c>
    </row>
    <row r="482" spans="1:36" ht="15" customHeight="1" x14ac:dyDescent="0.25">
      <c r="A482" t="s">
        <v>400</v>
      </c>
      <c r="B482" t="s">
        <v>37</v>
      </c>
      <c r="C482" t="s">
        <v>37</v>
      </c>
      <c r="D482" t="s">
        <v>38</v>
      </c>
      <c r="E482" s="4">
        <v>5</v>
      </c>
      <c r="F482" s="5">
        <v>1052.5999999999999</v>
      </c>
      <c r="G482" s="5" t="s">
        <v>39</v>
      </c>
      <c r="H482" s="5">
        <v>1676.25</v>
      </c>
      <c r="I482" s="5" t="s">
        <v>39</v>
      </c>
      <c r="J482" s="5">
        <v>35.788400000000003</v>
      </c>
      <c r="K482" s="5">
        <f t="shared" si="21"/>
        <v>7.1576800000000009</v>
      </c>
      <c r="L482" s="5">
        <f t="shared" si="22"/>
        <v>210.51999999999998</v>
      </c>
      <c r="M482" s="5" t="s">
        <v>39</v>
      </c>
      <c r="N482" s="5">
        <v>35.788400000000003</v>
      </c>
      <c r="O482" s="5" t="s">
        <v>39</v>
      </c>
      <c r="P482" t="s">
        <v>401</v>
      </c>
      <c r="Q482" t="s">
        <v>86</v>
      </c>
      <c r="R482" t="s">
        <v>37</v>
      </c>
      <c r="S482" t="s">
        <v>87</v>
      </c>
      <c r="T482" t="s">
        <v>43</v>
      </c>
      <c r="U482" t="s">
        <v>44</v>
      </c>
      <c r="V482">
        <v>147</v>
      </c>
      <c r="W482" t="s">
        <v>45</v>
      </c>
      <c r="X482" t="s">
        <v>46</v>
      </c>
      <c r="Y482" t="s">
        <v>88</v>
      </c>
      <c r="Z482" t="s">
        <v>37</v>
      </c>
      <c r="AA482" t="s">
        <v>61</v>
      </c>
      <c r="AB482" t="s">
        <v>37</v>
      </c>
      <c r="AC482" s="6" t="s">
        <v>37</v>
      </c>
      <c r="AD482" s="6" t="s">
        <v>37</v>
      </c>
      <c r="AE482" t="s">
        <v>37</v>
      </c>
      <c r="AF482" t="s">
        <v>37</v>
      </c>
      <c r="AG482" s="6" t="s">
        <v>37</v>
      </c>
      <c r="AH482" t="s">
        <v>37</v>
      </c>
      <c r="AI482" t="s">
        <v>37</v>
      </c>
      <c r="AJ482" t="str">
        <f t="shared" si="23"/>
        <v>7PFJO9VPB011N78DMA</v>
      </c>
    </row>
    <row r="483" spans="1:36" ht="15" customHeight="1" x14ac:dyDescent="0.25">
      <c r="A483" t="s">
        <v>133</v>
      </c>
      <c r="B483" t="s">
        <v>37</v>
      </c>
      <c r="C483" t="s">
        <v>37</v>
      </c>
      <c r="D483" t="s">
        <v>38</v>
      </c>
      <c r="E483" s="4">
        <v>16</v>
      </c>
      <c r="F483" s="5">
        <v>759.68</v>
      </c>
      <c r="G483" s="5" t="s">
        <v>39</v>
      </c>
      <c r="H483" s="5">
        <v>1219.52</v>
      </c>
      <c r="I483" s="5" t="s">
        <v>39</v>
      </c>
      <c r="J483" s="5">
        <v>25.82912</v>
      </c>
      <c r="K483" s="5">
        <f t="shared" si="21"/>
        <v>1.61432</v>
      </c>
      <c r="L483" s="5">
        <f t="shared" si="22"/>
        <v>47.48</v>
      </c>
      <c r="M483" s="5" t="s">
        <v>39</v>
      </c>
      <c r="N483" s="5">
        <v>25.82912</v>
      </c>
      <c r="O483" s="5" t="s">
        <v>39</v>
      </c>
      <c r="P483" t="s">
        <v>116</v>
      </c>
      <c r="Q483" t="s">
        <v>574</v>
      </c>
      <c r="R483" t="s">
        <v>37</v>
      </c>
      <c r="S483" t="s">
        <v>575</v>
      </c>
      <c r="T483" t="s">
        <v>43</v>
      </c>
      <c r="U483" t="s">
        <v>44</v>
      </c>
      <c r="V483">
        <v>147</v>
      </c>
      <c r="W483" t="s">
        <v>45</v>
      </c>
      <c r="X483" t="s">
        <v>46</v>
      </c>
      <c r="Y483" t="s">
        <v>338</v>
      </c>
      <c r="Z483" t="s">
        <v>37</v>
      </c>
      <c r="AA483" t="s">
        <v>61</v>
      </c>
      <c r="AB483" t="s">
        <v>37</v>
      </c>
      <c r="AC483" s="6" t="s">
        <v>37</v>
      </c>
      <c r="AD483" s="6" t="s">
        <v>37</v>
      </c>
      <c r="AE483" t="s">
        <v>37</v>
      </c>
      <c r="AF483" t="s">
        <v>37</v>
      </c>
      <c r="AG483" s="6" t="s">
        <v>37</v>
      </c>
      <c r="AH483" t="s">
        <v>37</v>
      </c>
      <c r="AI483" t="s">
        <v>37</v>
      </c>
      <c r="AJ483" t="str">
        <f t="shared" si="23"/>
        <v>3S7Y1OIVB07GS6ZB7T</v>
      </c>
    </row>
    <row r="484" spans="1:36" ht="15" customHeight="1" x14ac:dyDescent="0.25">
      <c r="A484" t="s">
        <v>36</v>
      </c>
      <c r="B484" t="s">
        <v>37</v>
      </c>
      <c r="C484" t="s">
        <v>37</v>
      </c>
      <c r="D484" t="s">
        <v>38</v>
      </c>
      <c r="E484" s="4">
        <v>4</v>
      </c>
      <c r="F484" s="5">
        <v>82</v>
      </c>
      <c r="G484" s="5" t="s">
        <v>39</v>
      </c>
      <c r="H484" s="5">
        <v>114.08</v>
      </c>
      <c r="I484" s="5" t="s">
        <v>39</v>
      </c>
      <c r="J484" s="5">
        <v>2.7879999999999998</v>
      </c>
      <c r="K484" s="5">
        <f t="shared" si="21"/>
        <v>0.69699999999999995</v>
      </c>
      <c r="L484" s="5">
        <f t="shared" si="22"/>
        <v>20.5</v>
      </c>
      <c r="M484" s="5" t="s">
        <v>39</v>
      </c>
      <c r="N484" s="5">
        <v>2.7879999999999998</v>
      </c>
      <c r="O484" s="5" t="s">
        <v>39</v>
      </c>
      <c r="P484" t="s">
        <v>167</v>
      </c>
      <c r="Q484" t="s">
        <v>858</v>
      </c>
      <c r="R484" t="s">
        <v>37</v>
      </c>
      <c r="S484" t="s">
        <v>859</v>
      </c>
      <c r="T484" t="s">
        <v>43</v>
      </c>
      <c r="U484" t="s">
        <v>44</v>
      </c>
      <c r="V484">
        <v>147</v>
      </c>
      <c r="W484" t="s">
        <v>45</v>
      </c>
      <c r="X484" t="s">
        <v>75</v>
      </c>
      <c r="Y484" t="s">
        <v>860</v>
      </c>
      <c r="Z484" t="s">
        <v>37</v>
      </c>
      <c r="AA484" t="s">
        <v>61</v>
      </c>
      <c r="AB484" t="s">
        <v>37</v>
      </c>
      <c r="AC484" s="6" t="s">
        <v>37</v>
      </c>
      <c r="AD484" s="6" t="s">
        <v>37</v>
      </c>
      <c r="AE484" t="s">
        <v>37</v>
      </c>
      <c r="AF484" t="s">
        <v>37</v>
      </c>
      <c r="AG484" s="6" t="s">
        <v>37</v>
      </c>
      <c r="AH484" t="s">
        <v>37</v>
      </c>
      <c r="AI484" t="s">
        <v>37</v>
      </c>
      <c r="AJ484" t="str">
        <f t="shared" si="23"/>
        <v>4FFLHW5MB009L1UV94</v>
      </c>
    </row>
    <row r="485" spans="1:36" ht="15" customHeight="1" x14ac:dyDescent="0.25">
      <c r="A485" t="s">
        <v>115</v>
      </c>
      <c r="B485" t="s">
        <v>37</v>
      </c>
      <c r="C485" t="s">
        <v>37</v>
      </c>
      <c r="D485" t="s">
        <v>38</v>
      </c>
      <c r="E485" s="4">
        <v>4</v>
      </c>
      <c r="F485" s="5">
        <v>425.96</v>
      </c>
      <c r="G485" s="5" t="s">
        <v>39</v>
      </c>
      <c r="H485" s="5">
        <v>573.72</v>
      </c>
      <c r="I485" s="5" t="s">
        <v>39</v>
      </c>
      <c r="J485" s="5">
        <v>14.48264</v>
      </c>
      <c r="K485" s="5">
        <f t="shared" si="21"/>
        <v>3.62066</v>
      </c>
      <c r="L485" s="5">
        <f t="shared" si="22"/>
        <v>106.49</v>
      </c>
      <c r="M485" s="5" t="s">
        <v>39</v>
      </c>
      <c r="N485" s="5">
        <v>14.48264</v>
      </c>
      <c r="O485" s="5" t="s">
        <v>39</v>
      </c>
      <c r="P485" t="s">
        <v>189</v>
      </c>
      <c r="Q485" t="s">
        <v>606</v>
      </c>
      <c r="R485" t="s">
        <v>37</v>
      </c>
      <c r="S485" t="s">
        <v>607</v>
      </c>
      <c r="T485" t="s">
        <v>43</v>
      </c>
      <c r="U485" t="s">
        <v>44</v>
      </c>
      <c r="V485">
        <v>23</v>
      </c>
      <c r="W485" t="s">
        <v>58</v>
      </c>
      <c r="X485" t="s">
        <v>59</v>
      </c>
      <c r="Y485" t="s">
        <v>608</v>
      </c>
      <c r="Z485" t="s">
        <v>37</v>
      </c>
      <c r="AA485" t="s">
        <v>145</v>
      </c>
      <c r="AB485" t="s">
        <v>37</v>
      </c>
      <c r="AC485" s="6" t="s">
        <v>37</v>
      </c>
      <c r="AD485" s="6" t="s">
        <v>37</v>
      </c>
      <c r="AE485" t="s">
        <v>37</v>
      </c>
      <c r="AF485" t="s">
        <v>37</v>
      </c>
      <c r="AG485" s="6" t="s">
        <v>37</v>
      </c>
      <c r="AH485" t="s">
        <v>37</v>
      </c>
      <c r="AI485" t="s">
        <v>37</v>
      </c>
      <c r="AJ485" t="str">
        <f t="shared" si="23"/>
        <v>6DPU2MKPB07G6DL332</v>
      </c>
    </row>
    <row r="486" spans="1:36" ht="15" customHeight="1" x14ac:dyDescent="0.25">
      <c r="A486" t="s">
        <v>133</v>
      </c>
      <c r="B486" t="s">
        <v>37</v>
      </c>
      <c r="C486" t="s">
        <v>37</v>
      </c>
      <c r="D486" t="s">
        <v>38</v>
      </c>
      <c r="E486" s="4">
        <v>4</v>
      </c>
      <c r="F486" s="5">
        <v>189.92</v>
      </c>
      <c r="G486" s="5" t="s">
        <v>39</v>
      </c>
      <c r="H486" s="5">
        <v>304.88</v>
      </c>
      <c r="I486" s="5" t="s">
        <v>39</v>
      </c>
      <c r="J486" s="5">
        <v>6.4572799999999999</v>
      </c>
      <c r="K486" s="5">
        <f t="shared" si="21"/>
        <v>1.61432</v>
      </c>
      <c r="L486" s="5">
        <f t="shared" si="22"/>
        <v>47.48</v>
      </c>
      <c r="M486" s="5" t="s">
        <v>39</v>
      </c>
      <c r="N486" s="5">
        <v>6.4572799999999999</v>
      </c>
      <c r="O486" s="5" t="s">
        <v>39</v>
      </c>
      <c r="P486" t="s">
        <v>189</v>
      </c>
      <c r="Q486" t="s">
        <v>665</v>
      </c>
      <c r="R486" t="s">
        <v>37</v>
      </c>
      <c r="S486" t="s">
        <v>666</v>
      </c>
      <c r="T486" t="s">
        <v>43</v>
      </c>
      <c r="U486" t="s">
        <v>44</v>
      </c>
      <c r="V486">
        <v>147</v>
      </c>
      <c r="W486" t="s">
        <v>45</v>
      </c>
      <c r="X486" t="s">
        <v>53</v>
      </c>
      <c r="Y486" t="s">
        <v>667</v>
      </c>
      <c r="Z486" t="s">
        <v>37</v>
      </c>
      <c r="AA486" t="s">
        <v>61</v>
      </c>
      <c r="AB486" t="s">
        <v>37</v>
      </c>
      <c r="AC486" s="6" t="s">
        <v>37</v>
      </c>
      <c r="AD486" s="6" t="s">
        <v>37</v>
      </c>
      <c r="AE486" t="s">
        <v>37</v>
      </c>
      <c r="AF486" t="s">
        <v>37</v>
      </c>
      <c r="AG486" s="6" t="s">
        <v>37</v>
      </c>
      <c r="AH486" t="s">
        <v>37</v>
      </c>
      <c r="AI486" t="s">
        <v>37</v>
      </c>
      <c r="AJ486" t="str">
        <f t="shared" si="23"/>
        <v>6DPU2MKPB07W5JK8TR</v>
      </c>
    </row>
    <row r="487" spans="1:36" ht="15" customHeight="1" x14ac:dyDescent="0.25">
      <c r="A487" t="s">
        <v>115</v>
      </c>
      <c r="B487" t="s">
        <v>37</v>
      </c>
      <c r="C487" t="s">
        <v>37</v>
      </c>
      <c r="D487" t="s">
        <v>38</v>
      </c>
      <c r="E487" s="4">
        <v>30</v>
      </c>
      <c r="F487" s="5">
        <v>870</v>
      </c>
      <c r="G487" s="5" t="s">
        <v>39</v>
      </c>
      <c r="H487" s="5">
        <v>1278.3</v>
      </c>
      <c r="I487" s="5" t="s">
        <v>39</v>
      </c>
      <c r="J487" s="5">
        <v>29.58</v>
      </c>
      <c r="K487" s="5">
        <f t="shared" si="21"/>
        <v>0.98599999999999999</v>
      </c>
      <c r="L487" s="5">
        <f t="shared" si="22"/>
        <v>29</v>
      </c>
      <c r="M487" s="5" t="s">
        <v>39</v>
      </c>
      <c r="N487" s="5">
        <v>29.58</v>
      </c>
      <c r="O487" s="5" t="s">
        <v>39</v>
      </c>
      <c r="P487" t="s">
        <v>189</v>
      </c>
      <c r="Q487" t="s">
        <v>861</v>
      </c>
      <c r="R487" t="s">
        <v>37</v>
      </c>
      <c r="S487" t="s">
        <v>862</v>
      </c>
      <c r="T487" t="s">
        <v>43</v>
      </c>
      <c r="U487" t="s">
        <v>44</v>
      </c>
      <c r="V487">
        <v>147</v>
      </c>
      <c r="W487" t="s">
        <v>45</v>
      </c>
      <c r="X487" t="s">
        <v>53</v>
      </c>
      <c r="Y487" t="s">
        <v>863</v>
      </c>
      <c r="Z487" t="s">
        <v>37</v>
      </c>
      <c r="AA487" t="s">
        <v>61</v>
      </c>
      <c r="AB487" t="s">
        <v>37</v>
      </c>
      <c r="AC487" s="6" t="s">
        <v>37</v>
      </c>
      <c r="AD487" s="6" t="s">
        <v>37</v>
      </c>
      <c r="AE487" t="s">
        <v>37</v>
      </c>
      <c r="AF487" t="s">
        <v>37</v>
      </c>
      <c r="AG487" s="6" t="s">
        <v>37</v>
      </c>
      <c r="AH487" t="s">
        <v>37</v>
      </c>
      <c r="AI487" t="s">
        <v>37</v>
      </c>
      <c r="AJ487" t="str">
        <f t="shared" si="23"/>
        <v>6DPU2MKPB07W4DHQJ9</v>
      </c>
    </row>
    <row r="488" spans="1:36" ht="15" customHeight="1" x14ac:dyDescent="0.25">
      <c r="A488" t="s">
        <v>36</v>
      </c>
      <c r="B488" t="s">
        <v>37</v>
      </c>
      <c r="C488" t="s">
        <v>37</v>
      </c>
      <c r="D488" t="s">
        <v>38</v>
      </c>
      <c r="E488" s="4">
        <v>550</v>
      </c>
      <c r="F488" s="5">
        <v>12881</v>
      </c>
      <c r="G488" s="5" t="s">
        <v>39</v>
      </c>
      <c r="H488" s="5">
        <v>18480</v>
      </c>
      <c r="I488" s="5" t="s">
        <v>39</v>
      </c>
      <c r="J488" s="5">
        <v>437.95400000000001</v>
      </c>
      <c r="K488" s="5">
        <f t="shared" si="21"/>
        <v>0.79627999999999999</v>
      </c>
      <c r="L488" s="5">
        <f t="shared" si="22"/>
        <v>23.42</v>
      </c>
      <c r="M488" s="5" t="s">
        <v>39</v>
      </c>
      <c r="N488" s="5">
        <v>437.95400000000001</v>
      </c>
      <c r="O488" s="5" t="s">
        <v>39</v>
      </c>
      <c r="P488" t="s">
        <v>123</v>
      </c>
      <c r="Q488" t="s">
        <v>596</v>
      </c>
      <c r="R488" t="s">
        <v>37</v>
      </c>
      <c r="S488" t="s">
        <v>597</v>
      </c>
      <c r="T488" t="s">
        <v>43</v>
      </c>
      <c r="U488" t="s">
        <v>44</v>
      </c>
      <c r="V488">
        <v>147</v>
      </c>
      <c r="W488" t="s">
        <v>45</v>
      </c>
      <c r="X488" t="s">
        <v>53</v>
      </c>
      <c r="Y488" t="s">
        <v>598</v>
      </c>
      <c r="Z488" t="s">
        <v>37</v>
      </c>
      <c r="AA488" t="s">
        <v>61</v>
      </c>
      <c r="AB488" t="s">
        <v>37</v>
      </c>
      <c r="AC488" s="6" t="s">
        <v>37</v>
      </c>
      <c r="AD488" s="6" t="s">
        <v>37</v>
      </c>
      <c r="AE488" t="s">
        <v>37</v>
      </c>
      <c r="AF488" t="s">
        <v>37</v>
      </c>
      <c r="AG488" s="6" t="s">
        <v>37</v>
      </c>
      <c r="AH488" t="s">
        <v>37</v>
      </c>
      <c r="AI488" t="s">
        <v>37</v>
      </c>
      <c r="AJ488" t="str">
        <f t="shared" si="23"/>
        <v>81V4YVNTB07W6J829F</v>
      </c>
    </row>
    <row r="489" spans="1:36" ht="15" customHeight="1" x14ac:dyDescent="0.25">
      <c r="A489" t="s">
        <v>372</v>
      </c>
      <c r="B489" t="s">
        <v>37</v>
      </c>
      <c r="C489" t="s">
        <v>37</v>
      </c>
      <c r="D489" t="s">
        <v>38</v>
      </c>
      <c r="E489" s="4">
        <v>8</v>
      </c>
      <c r="F489" s="5">
        <v>234.24</v>
      </c>
      <c r="G489" s="5" t="s">
        <v>39</v>
      </c>
      <c r="H489" s="5">
        <v>340.88</v>
      </c>
      <c r="I489" s="5" t="s">
        <v>39</v>
      </c>
      <c r="J489" s="5">
        <v>7.9641599999999997</v>
      </c>
      <c r="K489" s="5">
        <f t="shared" si="21"/>
        <v>0.99551999999999996</v>
      </c>
      <c r="L489" s="5">
        <f t="shared" si="22"/>
        <v>29.28</v>
      </c>
      <c r="M489" s="5" t="s">
        <v>39</v>
      </c>
      <c r="N489" s="5">
        <v>7.9641599999999997</v>
      </c>
      <c r="O489" s="5" t="s">
        <v>39</v>
      </c>
      <c r="P489" t="s">
        <v>638</v>
      </c>
      <c r="Q489" t="s">
        <v>458</v>
      </c>
      <c r="R489" t="s">
        <v>37</v>
      </c>
      <c r="S489" t="s">
        <v>459</v>
      </c>
      <c r="T489" t="s">
        <v>43</v>
      </c>
      <c r="U489" t="s">
        <v>44</v>
      </c>
      <c r="V489">
        <v>147</v>
      </c>
      <c r="W489" t="s">
        <v>45</v>
      </c>
      <c r="X489" t="s">
        <v>248</v>
      </c>
      <c r="Y489" t="s">
        <v>460</v>
      </c>
      <c r="Z489" t="s">
        <v>37</v>
      </c>
      <c r="AA489" t="s">
        <v>145</v>
      </c>
      <c r="AB489" t="s">
        <v>37</v>
      </c>
      <c r="AC489" s="6" t="s">
        <v>37</v>
      </c>
      <c r="AD489" s="6" t="s">
        <v>37</v>
      </c>
      <c r="AE489" t="s">
        <v>37</v>
      </c>
      <c r="AF489" t="s">
        <v>37</v>
      </c>
      <c r="AG489" s="6" t="s">
        <v>37</v>
      </c>
      <c r="AH489" t="s">
        <v>37</v>
      </c>
      <c r="AI489" t="s">
        <v>37</v>
      </c>
      <c r="AJ489" t="str">
        <f t="shared" si="23"/>
        <v>8TBCZ9EDB00EUUX59O</v>
      </c>
    </row>
    <row r="490" spans="1:36" ht="15" customHeight="1" x14ac:dyDescent="0.25">
      <c r="A490" t="s">
        <v>67</v>
      </c>
      <c r="B490" t="s">
        <v>37</v>
      </c>
      <c r="C490" t="s">
        <v>37</v>
      </c>
      <c r="D490" t="s">
        <v>38</v>
      </c>
      <c r="E490" s="4">
        <v>64</v>
      </c>
      <c r="F490" s="5">
        <v>1687.68</v>
      </c>
      <c r="G490" s="5" t="s">
        <v>39</v>
      </c>
      <c r="H490" s="5">
        <v>2727.04</v>
      </c>
      <c r="I490" s="5" t="s">
        <v>39</v>
      </c>
      <c r="J490" s="5">
        <v>57.381120000000003</v>
      </c>
      <c r="K490" s="5">
        <f t="shared" si="21"/>
        <v>0.89658000000000004</v>
      </c>
      <c r="L490" s="5">
        <f t="shared" si="22"/>
        <v>26.37</v>
      </c>
      <c r="M490" s="5" t="s">
        <v>39</v>
      </c>
      <c r="N490" s="5">
        <v>57.381120000000003</v>
      </c>
      <c r="O490" s="5" t="s">
        <v>39</v>
      </c>
      <c r="P490" t="s">
        <v>63</v>
      </c>
      <c r="Q490" t="s">
        <v>255</v>
      </c>
      <c r="R490" t="s">
        <v>37</v>
      </c>
      <c r="S490" t="s">
        <v>256</v>
      </c>
      <c r="T490" t="s">
        <v>43</v>
      </c>
      <c r="U490" t="s">
        <v>44</v>
      </c>
      <c r="V490">
        <v>147</v>
      </c>
      <c r="W490" t="s">
        <v>45</v>
      </c>
      <c r="X490" t="s">
        <v>53</v>
      </c>
      <c r="Y490" t="s">
        <v>257</v>
      </c>
      <c r="Z490" t="s">
        <v>37</v>
      </c>
      <c r="AA490" t="s">
        <v>61</v>
      </c>
      <c r="AB490" t="s">
        <v>37</v>
      </c>
      <c r="AC490" s="6" t="s">
        <v>37</v>
      </c>
      <c r="AD490" s="6" t="s">
        <v>37</v>
      </c>
      <c r="AE490" t="s">
        <v>37</v>
      </c>
      <c r="AF490" t="s">
        <v>37</v>
      </c>
      <c r="AG490" s="6" t="s">
        <v>37</v>
      </c>
      <c r="AH490" t="s">
        <v>37</v>
      </c>
      <c r="AI490" t="s">
        <v>37</v>
      </c>
      <c r="AJ490" t="str">
        <f t="shared" si="23"/>
        <v>3AWPOPBJB0766JZ8Q3</v>
      </c>
    </row>
    <row r="491" spans="1:36" ht="15" customHeight="1" x14ac:dyDescent="0.25">
      <c r="A491" t="s">
        <v>36</v>
      </c>
      <c r="B491" t="s">
        <v>37</v>
      </c>
      <c r="C491" t="s">
        <v>37</v>
      </c>
      <c r="D491" t="s">
        <v>38</v>
      </c>
      <c r="E491" s="4">
        <v>4</v>
      </c>
      <c r="F491" s="5">
        <v>251.16</v>
      </c>
      <c r="G491" s="5" t="s">
        <v>39</v>
      </c>
      <c r="H491" s="5">
        <v>409.8</v>
      </c>
      <c r="I491" s="5" t="s">
        <v>39</v>
      </c>
      <c r="J491" s="5">
        <v>8.5394400000000008</v>
      </c>
      <c r="K491" s="5">
        <f t="shared" si="21"/>
        <v>2.1348600000000002</v>
      </c>
      <c r="L491" s="5">
        <f t="shared" si="22"/>
        <v>62.79</v>
      </c>
      <c r="M491" s="5" t="s">
        <v>39</v>
      </c>
      <c r="N491" s="5">
        <v>8.5394400000000008</v>
      </c>
      <c r="O491" s="5" t="s">
        <v>39</v>
      </c>
      <c r="P491" t="s">
        <v>167</v>
      </c>
      <c r="Q491" t="s">
        <v>748</v>
      </c>
      <c r="R491" t="s">
        <v>37</v>
      </c>
      <c r="S491" t="s">
        <v>749</v>
      </c>
      <c r="T491" t="s">
        <v>43</v>
      </c>
      <c r="U491" t="s">
        <v>44</v>
      </c>
      <c r="V491">
        <v>147</v>
      </c>
      <c r="W491" t="s">
        <v>45</v>
      </c>
      <c r="X491" t="s">
        <v>75</v>
      </c>
      <c r="Y491" t="s">
        <v>750</v>
      </c>
      <c r="Z491" t="s">
        <v>37</v>
      </c>
      <c r="AA491" t="s">
        <v>61</v>
      </c>
      <c r="AB491" t="s">
        <v>37</v>
      </c>
      <c r="AC491" s="6" t="s">
        <v>37</v>
      </c>
      <c r="AD491" s="6" t="s">
        <v>37</v>
      </c>
      <c r="AE491" t="s">
        <v>37</v>
      </c>
      <c r="AF491" t="s">
        <v>37</v>
      </c>
      <c r="AG491" s="6" t="s">
        <v>37</v>
      </c>
      <c r="AH491" t="s">
        <v>37</v>
      </c>
      <c r="AI491" t="s">
        <v>37</v>
      </c>
      <c r="AJ491" t="str">
        <f t="shared" si="23"/>
        <v>4FFLHW5MB07W5JJP7D</v>
      </c>
    </row>
    <row r="492" spans="1:36" ht="15" customHeight="1" x14ac:dyDescent="0.25">
      <c r="A492" t="s">
        <v>67</v>
      </c>
      <c r="B492" t="s">
        <v>37</v>
      </c>
      <c r="C492" t="s">
        <v>37</v>
      </c>
      <c r="D492" t="s">
        <v>38</v>
      </c>
      <c r="E492" s="4">
        <v>148</v>
      </c>
      <c r="F492" s="5">
        <v>5465.64</v>
      </c>
      <c r="G492" s="5" t="s">
        <v>39</v>
      </c>
      <c r="H492" s="5">
        <v>8733.48</v>
      </c>
      <c r="I492" s="5" t="s">
        <v>39</v>
      </c>
      <c r="J492" s="5">
        <v>185.83176</v>
      </c>
      <c r="K492" s="5">
        <f t="shared" si="21"/>
        <v>1.25562</v>
      </c>
      <c r="L492" s="5">
        <f t="shared" si="22"/>
        <v>36.93</v>
      </c>
      <c r="M492" s="5" t="s">
        <v>39</v>
      </c>
      <c r="N492" s="5">
        <v>185.83176</v>
      </c>
      <c r="O492" s="5" t="s">
        <v>39</v>
      </c>
      <c r="P492" t="s">
        <v>63</v>
      </c>
      <c r="Q492" t="s">
        <v>374</v>
      </c>
      <c r="R492" t="s">
        <v>37</v>
      </c>
      <c r="S492" t="s">
        <v>375</v>
      </c>
      <c r="T492" t="s">
        <v>43</v>
      </c>
      <c r="U492" t="s">
        <v>44</v>
      </c>
      <c r="V492">
        <v>147</v>
      </c>
      <c r="W492" t="s">
        <v>45</v>
      </c>
      <c r="X492" t="s">
        <v>46</v>
      </c>
      <c r="Y492" t="s">
        <v>376</v>
      </c>
      <c r="Z492" t="s">
        <v>37</v>
      </c>
      <c r="AA492" t="s">
        <v>145</v>
      </c>
      <c r="AB492" t="s">
        <v>37</v>
      </c>
      <c r="AC492" s="6" t="s">
        <v>37</v>
      </c>
      <c r="AD492" s="6" t="s">
        <v>37</v>
      </c>
      <c r="AE492" t="s">
        <v>37</v>
      </c>
      <c r="AF492" t="s">
        <v>37</v>
      </c>
      <c r="AG492" s="6" t="s">
        <v>37</v>
      </c>
      <c r="AH492" t="s">
        <v>37</v>
      </c>
      <c r="AI492" t="s">
        <v>37</v>
      </c>
      <c r="AJ492" t="str">
        <f t="shared" si="23"/>
        <v>3AWPOPBJB07W6J6TG5</v>
      </c>
    </row>
    <row r="493" spans="1:36" ht="15" customHeight="1" x14ac:dyDescent="0.25">
      <c r="A493" t="s">
        <v>62</v>
      </c>
      <c r="B493" t="s">
        <v>37</v>
      </c>
      <c r="C493" t="s">
        <v>37</v>
      </c>
      <c r="D493" t="s">
        <v>38</v>
      </c>
      <c r="E493" s="4">
        <v>4</v>
      </c>
      <c r="F493" s="5">
        <v>301.64</v>
      </c>
      <c r="G493" s="5" t="s">
        <v>39</v>
      </c>
      <c r="H493" s="5">
        <v>377</v>
      </c>
      <c r="I493" s="5" t="s">
        <v>39</v>
      </c>
      <c r="J493" s="5">
        <v>10.25576</v>
      </c>
      <c r="K493" s="5">
        <f t="shared" si="21"/>
        <v>2.5639400000000001</v>
      </c>
      <c r="L493" s="5">
        <f t="shared" si="22"/>
        <v>75.41</v>
      </c>
      <c r="M493" s="5" t="s">
        <v>39</v>
      </c>
      <c r="N493" s="5">
        <v>10.25576</v>
      </c>
      <c r="O493" s="5" t="s">
        <v>39</v>
      </c>
      <c r="P493" t="s">
        <v>63</v>
      </c>
      <c r="Q493" t="s">
        <v>124</v>
      </c>
      <c r="R493" t="s">
        <v>37</v>
      </c>
      <c r="S493" t="s">
        <v>125</v>
      </c>
      <c r="T493" t="s">
        <v>43</v>
      </c>
      <c r="U493" t="s">
        <v>44</v>
      </c>
      <c r="V493">
        <v>147</v>
      </c>
      <c r="W493" t="s">
        <v>45</v>
      </c>
      <c r="X493" t="s">
        <v>53</v>
      </c>
      <c r="Y493" t="s">
        <v>126</v>
      </c>
      <c r="Z493" t="s">
        <v>37</v>
      </c>
      <c r="AA493" t="s">
        <v>48</v>
      </c>
      <c r="AB493" t="s">
        <v>37</v>
      </c>
      <c r="AC493" s="6" t="s">
        <v>37</v>
      </c>
      <c r="AD493" s="6" t="s">
        <v>37</v>
      </c>
      <c r="AE493" t="s">
        <v>37</v>
      </c>
      <c r="AF493" t="s">
        <v>37</v>
      </c>
      <c r="AG493" s="6" t="s">
        <v>37</v>
      </c>
      <c r="AH493" t="s">
        <v>37</v>
      </c>
      <c r="AI493" t="s">
        <v>37</v>
      </c>
      <c r="AJ493" t="str">
        <f t="shared" si="23"/>
        <v>3AWPOPBJB07W6JG6Z7</v>
      </c>
    </row>
    <row r="494" spans="1:36" ht="15" customHeight="1" x14ac:dyDescent="0.25">
      <c r="A494" t="s">
        <v>115</v>
      </c>
      <c r="B494" t="s">
        <v>37</v>
      </c>
      <c r="C494" t="s">
        <v>37</v>
      </c>
      <c r="D494" t="s">
        <v>38</v>
      </c>
      <c r="E494" s="4">
        <v>0</v>
      </c>
      <c r="F494" s="5">
        <v>0</v>
      </c>
      <c r="G494" s="5" t="s">
        <v>39</v>
      </c>
      <c r="H494" s="5">
        <v>0</v>
      </c>
      <c r="I494" s="5" t="s">
        <v>39</v>
      </c>
      <c r="J494" s="5">
        <v>0</v>
      </c>
      <c r="K494" s="5" t="e">
        <f t="shared" si="21"/>
        <v>#DIV/0!</v>
      </c>
      <c r="L494" s="5" t="e">
        <f t="shared" si="22"/>
        <v>#DIV/0!</v>
      </c>
      <c r="M494" s="5" t="s">
        <v>39</v>
      </c>
      <c r="N494" s="5">
        <v>0</v>
      </c>
      <c r="O494" s="5" t="s">
        <v>39</v>
      </c>
      <c r="P494" t="s">
        <v>63</v>
      </c>
      <c r="Q494" t="s">
        <v>374</v>
      </c>
      <c r="R494" t="s">
        <v>37</v>
      </c>
      <c r="S494" t="s">
        <v>375</v>
      </c>
      <c r="T494" t="s">
        <v>43</v>
      </c>
      <c r="U494" t="s">
        <v>44</v>
      </c>
      <c r="V494">
        <v>147</v>
      </c>
      <c r="W494" t="s">
        <v>45</v>
      </c>
      <c r="X494" t="s">
        <v>46</v>
      </c>
      <c r="Y494" t="s">
        <v>376</v>
      </c>
      <c r="Z494" t="s">
        <v>37</v>
      </c>
      <c r="AA494" t="s">
        <v>145</v>
      </c>
      <c r="AB494" t="s">
        <v>37</v>
      </c>
      <c r="AC494" s="6" t="s">
        <v>37</v>
      </c>
      <c r="AD494" s="6" t="s">
        <v>37</v>
      </c>
      <c r="AE494" t="s">
        <v>37</v>
      </c>
      <c r="AF494" t="s">
        <v>37</v>
      </c>
      <c r="AG494" s="6" t="s">
        <v>37</v>
      </c>
      <c r="AH494" t="s">
        <v>37</v>
      </c>
      <c r="AI494" t="s">
        <v>37</v>
      </c>
      <c r="AJ494" t="str">
        <f t="shared" si="23"/>
        <v>3AWPOPBJB07W6J6TG5</v>
      </c>
    </row>
    <row r="495" spans="1:36" ht="15" customHeight="1" x14ac:dyDescent="0.25">
      <c r="A495" t="s">
        <v>67</v>
      </c>
      <c r="B495" t="s">
        <v>37</v>
      </c>
      <c r="C495" t="s">
        <v>37</v>
      </c>
      <c r="D495" t="s">
        <v>38</v>
      </c>
      <c r="E495" s="4">
        <v>432</v>
      </c>
      <c r="F495" s="5">
        <v>32577.119999999999</v>
      </c>
      <c r="G495" s="5" t="s">
        <v>39</v>
      </c>
      <c r="H495" s="5">
        <v>40716</v>
      </c>
      <c r="I495" s="5" t="s">
        <v>39</v>
      </c>
      <c r="J495" s="5">
        <v>1107.6220800000001</v>
      </c>
      <c r="K495" s="5">
        <f t="shared" si="21"/>
        <v>2.5639400000000001</v>
      </c>
      <c r="L495" s="5">
        <f t="shared" si="22"/>
        <v>75.41</v>
      </c>
      <c r="M495" s="5" t="s">
        <v>39</v>
      </c>
      <c r="N495" s="5">
        <v>1107.6220800000001</v>
      </c>
      <c r="O495" s="5" t="s">
        <v>39</v>
      </c>
      <c r="P495" t="s">
        <v>63</v>
      </c>
      <c r="Q495" t="s">
        <v>124</v>
      </c>
      <c r="R495" t="s">
        <v>37</v>
      </c>
      <c r="S495" t="s">
        <v>125</v>
      </c>
      <c r="T495" t="s">
        <v>43</v>
      </c>
      <c r="U495" t="s">
        <v>44</v>
      </c>
      <c r="V495">
        <v>147</v>
      </c>
      <c r="W495" t="s">
        <v>45</v>
      </c>
      <c r="X495" t="s">
        <v>53</v>
      </c>
      <c r="Y495" t="s">
        <v>126</v>
      </c>
      <c r="Z495" t="s">
        <v>37</v>
      </c>
      <c r="AA495" t="s">
        <v>48</v>
      </c>
      <c r="AB495" t="s">
        <v>37</v>
      </c>
      <c r="AC495" s="6" t="s">
        <v>37</v>
      </c>
      <c r="AD495" s="6" t="s">
        <v>37</v>
      </c>
      <c r="AE495" t="s">
        <v>37</v>
      </c>
      <c r="AF495" t="s">
        <v>37</v>
      </c>
      <c r="AG495" s="6" t="s">
        <v>37</v>
      </c>
      <c r="AH495" t="s">
        <v>37</v>
      </c>
      <c r="AI495" t="s">
        <v>37</v>
      </c>
      <c r="AJ495" t="str">
        <f t="shared" si="23"/>
        <v>3AWPOPBJB07W6JG6Z7</v>
      </c>
    </row>
    <row r="496" spans="1:36" ht="15" customHeight="1" x14ac:dyDescent="0.25">
      <c r="A496" t="s">
        <v>36</v>
      </c>
      <c r="B496" t="s">
        <v>37</v>
      </c>
      <c r="C496" t="s">
        <v>37</v>
      </c>
      <c r="D496" t="s">
        <v>38</v>
      </c>
      <c r="E496" s="4">
        <v>4</v>
      </c>
      <c r="F496" s="5">
        <v>314.48</v>
      </c>
      <c r="G496" s="5" t="s">
        <v>39</v>
      </c>
      <c r="H496" s="5">
        <v>508.16</v>
      </c>
      <c r="I496" s="5" t="s">
        <v>39</v>
      </c>
      <c r="J496" s="5">
        <v>10.69232</v>
      </c>
      <c r="K496" s="5">
        <f t="shared" si="21"/>
        <v>2.6730800000000001</v>
      </c>
      <c r="L496" s="5">
        <f t="shared" si="22"/>
        <v>78.62</v>
      </c>
      <c r="M496" s="5" t="s">
        <v>39</v>
      </c>
      <c r="N496" s="5">
        <v>10.69232</v>
      </c>
      <c r="O496" s="5" t="s">
        <v>39</v>
      </c>
      <c r="P496" t="s">
        <v>89</v>
      </c>
      <c r="Q496" t="s">
        <v>864</v>
      </c>
      <c r="R496" t="s">
        <v>37</v>
      </c>
      <c r="S496" t="s">
        <v>865</v>
      </c>
      <c r="T496" t="s">
        <v>43</v>
      </c>
      <c r="U496" t="s">
        <v>44</v>
      </c>
      <c r="V496">
        <v>147</v>
      </c>
      <c r="W496" t="s">
        <v>45</v>
      </c>
      <c r="X496" t="s">
        <v>177</v>
      </c>
      <c r="Y496" t="s">
        <v>866</v>
      </c>
      <c r="Z496" t="s">
        <v>37</v>
      </c>
      <c r="AA496" t="s">
        <v>145</v>
      </c>
      <c r="AB496" t="s">
        <v>37</v>
      </c>
      <c r="AC496" s="6" t="s">
        <v>37</v>
      </c>
      <c r="AD496" s="6" t="s">
        <v>37</v>
      </c>
      <c r="AE496" t="s">
        <v>37</v>
      </c>
      <c r="AF496" t="s">
        <v>37</v>
      </c>
      <c r="AG496" s="6" t="s">
        <v>37</v>
      </c>
      <c r="AH496" t="s">
        <v>37</v>
      </c>
      <c r="AI496" t="s">
        <v>37</v>
      </c>
      <c r="AJ496" t="str">
        <f t="shared" si="23"/>
        <v>6D1HFTMSB07W4DH9CY</v>
      </c>
    </row>
    <row r="497" spans="1:36" ht="15" customHeight="1" x14ac:dyDescent="0.25">
      <c r="A497" t="s">
        <v>77</v>
      </c>
      <c r="B497" t="s">
        <v>37</v>
      </c>
      <c r="C497" t="s">
        <v>37</v>
      </c>
      <c r="D497" t="s">
        <v>38</v>
      </c>
      <c r="E497" s="4">
        <v>0</v>
      </c>
      <c r="F497" s="5">
        <v>0</v>
      </c>
      <c r="G497" s="5" t="s">
        <v>39</v>
      </c>
      <c r="H497" s="5">
        <v>0</v>
      </c>
      <c r="I497" s="5" t="s">
        <v>39</v>
      </c>
      <c r="J497" s="5">
        <v>0</v>
      </c>
      <c r="K497" s="5" t="e">
        <f t="shared" si="21"/>
        <v>#DIV/0!</v>
      </c>
      <c r="L497" s="5" t="e">
        <f t="shared" si="22"/>
        <v>#DIV/0!</v>
      </c>
      <c r="M497" s="5" t="s">
        <v>39</v>
      </c>
      <c r="N497" s="5">
        <v>0</v>
      </c>
      <c r="O497" s="5" t="s">
        <v>39</v>
      </c>
      <c r="P497" t="s">
        <v>867</v>
      </c>
      <c r="Q497" t="s">
        <v>336</v>
      </c>
      <c r="R497" t="s">
        <v>37</v>
      </c>
      <c r="S497" t="s">
        <v>337</v>
      </c>
      <c r="T497" t="s">
        <v>43</v>
      </c>
      <c r="U497" t="s">
        <v>44</v>
      </c>
      <c r="V497">
        <v>147</v>
      </c>
      <c r="W497" t="s">
        <v>45</v>
      </c>
      <c r="X497" t="s">
        <v>53</v>
      </c>
      <c r="Y497" t="s">
        <v>338</v>
      </c>
      <c r="Z497" t="s">
        <v>37</v>
      </c>
      <c r="AA497" t="s">
        <v>61</v>
      </c>
      <c r="AB497" t="s">
        <v>37</v>
      </c>
      <c r="AC497" s="6" t="s">
        <v>37</v>
      </c>
      <c r="AD497" s="6" t="s">
        <v>37</v>
      </c>
      <c r="AE497" t="s">
        <v>37</v>
      </c>
      <c r="AF497" t="s">
        <v>37</v>
      </c>
      <c r="AG497" s="6" t="s">
        <v>37</v>
      </c>
      <c r="AH497" t="s">
        <v>37</v>
      </c>
      <c r="AI497" t="s">
        <v>37</v>
      </c>
      <c r="AJ497" t="str">
        <f t="shared" si="23"/>
        <v>61WQ77QSB07GS6ZS8J</v>
      </c>
    </row>
    <row r="498" spans="1:36" ht="15" customHeight="1" x14ac:dyDescent="0.25">
      <c r="A498" t="s">
        <v>36</v>
      </c>
      <c r="B498" t="s">
        <v>37</v>
      </c>
      <c r="C498" t="s">
        <v>37</v>
      </c>
      <c r="D498" t="s">
        <v>38</v>
      </c>
      <c r="E498" s="4">
        <v>8</v>
      </c>
      <c r="F498" s="5">
        <v>84.4</v>
      </c>
      <c r="G498" s="5" t="s">
        <v>39</v>
      </c>
      <c r="H498" s="5">
        <v>137.6</v>
      </c>
      <c r="I498" s="5" t="s">
        <v>39</v>
      </c>
      <c r="J498" s="5">
        <v>2.8696000000000002</v>
      </c>
      <c r="K498" s="5">
        <f t="shared" si="21"/>
        <v>0.35870000000000002</v>
      </c>
      <c r="L498" s="5">
        <f t="shared" si="22"/>
        <v>10.55</v>
      </c>
      <c r="M498" s="5" t="s">
        <v>39</v>
      </c>
      <c r="N498" s="5">
        <v>2.8696000000000002</v>
      </c>
      <c r="O498" s="5" t="s">
        <v>39</v>
      </c>
      <c r="P498" t="s">
        <v>868</v>
      </c>
      <c r="Q498" t="s">
        <v>869</v>
      </c>
      <c r="R498" t="s">
        <v>37</v>
      </c>
      <c r="S498" t="s">
        <v>870</v>
      </c>
      <c r="T498" t="s">
        <v>43</v>
      </c>
      <c r="U498" t="s">
        <v>44</v>
      </c>
      <c r="V498">
        <v>147</v>
      </c>
      <c r="W498" t="s">
        <v>45</v>
      </c>
      <c r="X498" t="s">
        <v>46</v>
      </c>
      <c r="Y498" t="s">
        <v>871</v>
      </c>
      <c r="Z498" t="s">
        <v>37</v>
      </c>
      <c r="AA498" t="s">
        <v>48</v>
      </c>
      <c r="AB498" t="s">
        <v>37</v>
      </c>
      <c r="AC498" s="6" t="s">
        <v>37</v>
      </c>
      <c r="AD498" s="6" t="s">
        <v>37</v>
      </c>
      <c r="AE498" t="s">
        <v>37</v>
      </c>
      <c r="AF498" t="s">
        <v>37</v>
      </c>
      <c r="AG498" s="6" t="s">
        <v>37</v>
      </c>
      <c r="AH498" t="s">
        <v>37</v>
      </c>
      <c r="AI498" t="s">
        <v>37</v>
      </c>
      <c r="AJ498" t="str">
        <f t="shared" si="23"/>
        <v>41N1XRBDB01DIJIDKI</v>
      </c>
    </row>
    <row r="499" spans="1:36" ht="15" customHeight="1" x14ac:dyDescent="0.25">
      <c r="A499" t="s">
        <v>36</v>
      </c>
      <c r="B499" t="s">
        <v>37</v>
      </c>
      <c r="C499" t="s">
        <v>37</v>
      </c>
      <c r="D499" t="s">
        <v>38</v>
      </c>
      <c r="E499" s="4">
        <v>12</v>
      </c>
      <c r="F499" s="5">
        <v>765.72</v>
      </c>
      <c r="G499" s="5" t="s">
        <v>39</v>
      </c>
      <c r="H499" s="5">
        <v>1131</v>
      </c>
      <c r="I499" s="5" t="s">
        <v>39</v>
      </c>
      <c r="J499" s="5">
        <v>26.034479999999999</v>
      </c>
      <c r="K499" s="5">
        <f t="shared" si="21"/>
        <v>2.16954</v>
      </c>
      <c r="L499" s="5">
        <f t="shared" si="22"/>
        <v>63.81</v>
      </c>
      <c r="M499" s="5" t="s">
        <v>39</v>
      </c>
      <c r="N499" s="5">
        <v>26.034479999999999</v>
      </c>
      <c r="O499" s="5" t="s">
        <v>39</v>
      </c>
      <c r="P499" t="s">
        <v>89</v>
      </c>
      <c r="Q499" t="s">
        <v>646</v>
      </c>
      <c r="R499" t="s">
        <v>37</v>
      </c>
      <c r="S499" t="s">
        <v>647</v>
      </c>
      <c r="T499" t="s">
        <v>43</v>
      </c>
      <c r="U499" t="s">
        <v>44</v>
      </c>
      <c r="V499">
        <v>147</v>
      </c>
      <c r="W499" t="s">
        <v>45</v>
      </c>
      <c r="X499" t="s">
        <v>75</v>
      </c>
      <c r="Y499" t="s">
        <v>648</v>
      </c>
      <c r="Z499" t="s">
        <v>37</v>
      </c>
      <c r="AA499" t="s">
        <v>61</v>
      </c>
      <c r="AB499" t="s">
        <v>37</v>
      </c>
      <c r="AC499" s="6" t="s">
        <v>37</v>
      </c>
      <c r="AD499" s="6" t="s">
        <v>37</v>
      </c>
      <c r="AE499" t="s">
        <v>37</v>
      </c>
      <c r="AF499" t="s">
        <v>37</v>
      </c>
      <c r="AG499" s="6" t="s">
        <v>37</v>
      </c>
      <c r="AH499" t="s">
        <v>37</v>
      </c>
      <c r="AI499" t="s">
        <v>37</v>
      </c>
      <c r="AJ499" t="str">
        <f t="shared" si="23"/>
        <v>6D1HFTMSB07W7KMK4Y</v>
      </c>
    </row>
    <row r="500" spans="1:36" ht="15" customHeight="1" x14ac:dyDescent="0.25">
      <c r="A500" t="s">
        <v>67</v>
      </c>
      <c r="B500" t="s">
        <v>37</v>
      </c>
      <c r="C500" t="s">
        <v>37</v>
      </c>
      <c r="D500" t="s">
        <v>38</v>
      </c>
      <c r="E500" s="4">
        <v>22</v>
      </c>
      <c r="F500" s="5">
        <v>16118.74</v>
      </c>
      <c r="G500" s="5" t="s">
        <v>39</v>
      </c>
      <c r="H500" s="5">
        <v>16118.74</v>
      </c>
      <c r="I500" s="5" t="s">
        <v>39</v>
      </c>
      <c r="J500" s="5">
        <v>548.03715999999997</v>
      </c>
      <c r="K500" s="5">
        <f t="shared" si="21"/>
        <v>24.910779999999999</v>
      </c>
      <c r="L500" s="5">
        <f t="shared" si="22"/>
        <v>732.67</v>
      </c>
      <c r="M500" s="5" t="s">
        <v>39</v>
      </c>
      <c r="N500" s="5">
        <v>548.03715999999997</v>
      </c>
      <c r="O500" s="5" t="s">
        <v>39</v>
      </c>
      <c r="P500" t="s">
        <v>245</v>
      </c>
      <c r="Q500" t="s">
        <v>872</v>
      </c>
      <c r="R500" t="s">
        <v>37</v>
      </c>
      <c r="S500" t="s">
        <v>873</v>
      </c>
      <c r="T500" t="s">
        <v>43</v>
      </c>
      <c r="U500" t="s">
        <v>44</v>
      </c>
      <c r="V500">
        <v>147</v>
      </c>
      <c r="W500" t="s">
        <v>45</v>
      </c>
      <c r="X500" t="s">
        <v>177</v>
      </c>
      <c r="Y500" t="s">
        <v>874</v>
      </c>
      <c r="Z500" t="s">
        <v>37</v>
      </c>
      <c r="AA500" t="s">
        <v>48</v>
      </c>
      <c r="AB500" t="s">
        <v>37</v>
      </c>
      <c r="AC500" s="6" t="s">
        <v>37</v>
      </c>
      <c r="AD500" s="6" t="s">
        <v>37</v>
      </c>
      <c r="AE500" t="s">
        <v>37</v>
      </c>
      <c r="AF500" t="s">
        <v>37</v>
      </c>
      <c r="AG500" s="6" t="s">
        <v>37</v>
      </c>
      <c r="AH500" t="s">
        <v>37</v>
      </c>
      <c r="AI500" t="s">
        <v>37</v>
      </c>
      <c r="AJ500" t="str">
        <f t="shared" si="23"/>
        <v>6ZGQP34KB071KBDVV5</v>
      </c>
    </row>
    <row r="501" spans="1:36" ht="15" customHeight="1" x14ac:dyDescent="0.25">
      <c r="A501" t="s">
        <v>36</v>
      </c>
      <c r="B501" t="s">
        <v>37</v>
      </c>
      <c r="C501" t="s">
        <v>37</v>
      </c>
      <c r="D501" t="s">
        <v>38</v>
      </c>
      <c r="E501" s="4">
        <v>8</v>
      </c>
      <c r="F501" s="5">
        <v>140.47999999999999</v>
      </c>
      <c r="G501" s="5" t="s">
        <v>39</v>
      </c>
      <c r="H501" s="5">
        <v>203.2</v>
      </c>
      <c r="I501" s="5" t="s">
        <v>39</v>
      </c>
      <c r="J501" s="5">
        <v>4.7763200000000001</v>
      </c>
      <c r="K501" s="5">
        <f t="shared" si="21"/>
        <v>0.59704000000000002</v>
      </c>
      <c r="L501" s="5">
        <f t="shared" si="22"/>
        <v>17.559999999999999</v>
      </c>
      <c r="M501" s="5" t="s">
        <v>39</v>
      </c>
      <c r="N501" s="5">
        <v>4.7763200000000001</v>
      </c>
      <c r="O501" s="5" t="s">
        <v>39</v>
      </c>
      <c r="P501" t="s">
        <v>875</v>
      </c>
      <c r="Q501" t="s">
        <v>345</v>
      </c>
      <c r="R501" t="s">
        <v>37</v>
      </c>
      <c r="S501" t="s">
        <v>346</v>
      </c>
      <c r="T501" t="s">
        <v>43</v>
      </c>
      <c r="U501" t="s">
        <v>44</v>
      </c>
      <c r="V501">
        <v>23</v>
      </c>
      <c r="W501" t="s">
        <v>347</v>
      </c>
      <c r="X501" t="s">
        <v>348</v>
      </c>
      <c r="Y501" t="s">
        <v>349</v>
      </c>
      <c r="Z501" t="s">
        <v>37</v>
      </c>
      <c r="AA501" t="s">
        <v>48</v>
      </c>
      <c r="AB501" t="s">
        <v>37</v>
      </c>
      <c r="AC501" s="6" t="s">
        <v>37</v>
      </c>
      <c r="AD501" s="6" t="s">
        <v>37</v>
      </c>
      <c r="AE501" t="s">
        <v>37</v>
      </c>
      <c r="AF501" t="s">
        <v>37</v>
      </c>
      <c r="AG501" s="6" t="s">
        <v>37</v>
      </c>
      <c r="AH501" t="s">
        <v>37</v>
      </c>
      <c r="AI501" t="s">
        <v>37</v>
      </c>
      <c r="AJ501" t="str">
        <f t="shared" si="23"/>
        <v>3QU2KQFPB06W547XN2</v>
      </c>
    </row>
    <row r="502" spans="1:36" ht="15" customHeight="1" x14ac:dyDescent="0.25">
      <c r="A502" t="s">
        <v>36</v>
      </c>
      <c r="B502" t="s">
        <v>37</v>
      </c>
      <c r="C502" t="s">
        <v>37</v>
      </c>
      <c r="D502" t="s">
        <v>38</v>
      </c>
      <c r="E502" s="4">
        <v>290</v>
      </c>
      <c r="F502" s="5">
        <v>2378</v>
      </c>
      <c r="G502" s="5" t="s">
        <v>39</v>
      </c>
      <c r="H502" s="5">
        <v>3540.9</v>
      </c>
      <c r="I502" s="5" t="s">
        <v>39</v>
      </c>
      <c r="J502" s="5">
        <v>80.852000000000004</v>
      </c>
      <c r="K502" s="5">
        <f t="shared" si="21"/>
        <v>0.27879999999999999</v>
      </c>
      <c r="L502" s="5">
        <f t="shared" si="22"/>
        <v>8.1999999999999993</v>
      </c>
      <c r="M502" s="5" t="s">
        <v>39</v>
      </c>
      <c r="N502" s="5">
        <v>80.852000000000004</v>
      </c>
      <c r="O502" s="5" t="s">
        <v>39</v>
      </c>
      <c r="P502" t="s">
        <v>377</v>
      </c>
      <c r="Q502" t="s">
        <v>146</v>
      </c>
      <c r="R502" t="s">
        <v>37</v>
      </c>
      <c r="S502" t="s">
        <v>147</v>
      </c>
      <c r="T502" t="s">
        <v>43</v>
      </c>
      <c r="U502" t="s">
        <v>44</v>
      </c>
      <c r="V502">
        <v>147</v>
      </c>
      <c r="W502" t="s">
        <v>45</v>
      </c>
      <c r="X502" t="s">
        <v>75</v>
      </c>
      <c r="Y502" t="s">
        <v>148</v>
      </c>
      <c r="Z502" t="s">
        <v>37</v>
      </c>
      <c r="AA502" t="s">
        <v>61</v>
      </c>
      <c r="AB502" t="s">
        <v>37</v>
      </c>
      <c r="AC502" s="6" t="s">
        <v>37</v>
      </c>
      <c r="AD502" s="6" t="s">
        <v>37</v>
      </c>
      <c r="AE502" t="s">
        <v>37</v>
      </c>
      <c r="AF502" t="s">
        <v>37</v>
      </c>
      <c r="AG502" s="6" t="s">
        <v>37</v>
      </c>
      <c r="AH502" t="s">
        <v>37</v>
      </c>
      <c r="AI502" t="s">
        <v>37</v>
      </c>
      <c r="AJ502" t="str">
        <f t="shared" si="23"/>
        <v>5IZH76JAB0056C69DO</v>
      </c>
    </row>
    <row r="503" spans="1:36" ht="15" customHeight="1" x14ac:dyDescent="0.25">
      <c r="A503" t="s">
        <v>36</v>
      </c>
      <c r="B503" t="s">
        <v>37</v>
      </c>
      <c r="C503" t="s">
        <v>37</v>
      </c>
      <c r="D503" t="s">
        <v>38</v>
      </c>
      <c r="E503" s="4">
        <v>90</v>
      </c>
      <c r="F503" s="5">
        <v>1317.6</v>
      </c>
      <c r="G503" s="5" t="s">
        <v>39</v>
      </c>
      <c r="H503" s="5">
        <v>1917</v>
      </c>
      <c r="I503" s="5" t="s">
        <v>39</v>
      </c>
      <c r="J503" s="5">
        <v>44.798400000000001</v>
      </c>
      <c r="K503" s="5">
        <f t="shared" si="21"/>
        <v>0.49776000000000004</v>
      </c>
      <c r="L503" s="5">
        <f t="shared" si="22"/>
        <v>14.639999999999999</v>
      </c>
      <c r="M503" s="5" t="s">
        <v>39</v>
      </c>
      <c r="N503" s="5">
        <v>44.798400000000001</v>
      </c>
      <c r="O503" s="5" t="s">
        <v>39</v>
      </c>
      <c r="P503" t="s">
        <v>377</v>
      </c>
      <c r="Q503" t="s">
        <v>369</v>
      </c>
      <c r="R503" t="s">
        <v>37</v>
      </c>
      <c r="S503" t="s">
        <v>370</v>
      </c>
      <c r="T503" t="s">
        <v>43</v>
      </c>
      <c r="U503" t="s">
        <v>44</v>
      </c>
      <c r="V503">
        <v>147</v>
      </c>
      <c r="W503" t="s">
        <v>45</v>
      </c>
      <c r="X503" t="s">
        <v>75</v>
      </c>
      <c r="Y503" t="s">
        <v>371</v>
      </c>
      <c r="Z503" t="s">
        <v>37</v>
      </c>
      <c r="AA503" t="s">
        <v>61</v>
      </c>
      <c r="AB503" t="s">
        <v>37</v>
      </c>
      <c r="AC503" s="6" t="s">
        <v>37</v>
      </c>
      <c r="AD503" s="6" t="s">
        <v>37</v>
      </c>
      <c r="AE503" t="s">
        <v>37</v>
      </c>
      <c r="AF503" t="s">
        <v>37</v>
      </c>
      <c r="AG503" s="6" t="s">
        <v>37</v>
      </c>
      <c r="AH503" t="s">
        <v>37</v>
      </c>
      <c r="AI503" t="s">
        <v>37</v>
      </c>
      <c r="AJ503" t="str">
        <f t="shared" si="23"/>
        <v>5IZH76JAB004CM47VU</v>
      </c>
    </row>
    <row r="504" spans="1:36" ht="15" customHeight="1" x14ac:dyDescent="0.25">
      <c r="A504" t="s">
        <v>127</v>
      </c>
      <c r="B504" t="s">
        <v>37</v>
      </c>
      <c r="C504" t="s">
        <v>37</v>
      </c>
      <c r="D504" t="s">
        <v>38</v>
      </c>
      <c r="E504" s="4">
        <v>10</v>
      </c>
      <c r="F504" s="5">
        <v>146.4</v>
      </c>
      <c r="G504" s="5" t="s">
        <v>39</v>
      </c>
      <c r="H504" s="5">
        <v>213</v>
      </c>
      <c r="I504" s="5" t="s">
        <v>39</v>
      </c>
      <c r="J504" s="5">
        <v>4.9775999999999998</v>
      </c>
      <c r="K504" s="5">
        <f t="shared" si="21"/>
        <v>0.49775999999999998</v>
      </c>
      <c r="L504" s="5">
        <f t="shared" si="22"/>
        <v>14.64</v>
      </c>
      <c r="M504" s="5" t="s">
        <v>39</v>
      </c>
      <c r="N504" s="5">
        <v>4.9775999999999998</v>
      </c>
      <c r="O504" s="5" t="s">
        <v>39</v>
      </c>
      <c r="P504" t="s">
        <v>208</v>
      </c>
      <c r="Q504" t="s">
        <v>495</v>
      </c>
      <c r="R504" t="s">
        <v>37</v>
      </c>
      <c r="S504" t="s">
        <v>496</v>
      </c>
      <c r="T504" t="s">
        <v>43</v>
      </c>
      <c r="U504" t="s">
        <v>44</v>
      </c>
      <c r="V504">
        <v>147</v>
      </c>
      <c r="W504" t="s">
        <v>45</v>
      </c>
      <c r="X504" t="s">
        <v>75</v>
      </c>
      <c r="Y504" t="s">
        <v>497</v>
      </c>
      <c r="Z504" t="s">
        <v>37</v>
      </c>
      <c r="AA504" t="s">
        <v>61</v>
      </c>
      <c r="AB504" t="s">
        <v>37</v>
      </c>
      <c r="AC504" s="6" t="s">
        <v>37</v>
      </c>
      <c r="AD504" s="6" t="s">
        <v>37</v>
      </c>
      <c r="AE504" t="s">
        <v>37</v>
      </c>
      <c r="AF504" t="s">
        <v>37</v>
      </c>
      <c r="AG504" s="6" t="s">
        <v>37</v>
      </c>
      <c r="AH504" t="s">
        <v>37</v>
      </c>
      <c r="AI504" t="s">
        <v>37</v>
      </c>
      <c r="AJ504" t="str">
        <f t="shared" si="23"/>
        <v>2WFUPSOGB007C0YQLA</v>
      </c>
    </row>
    <row r="505" spans="1:36" ht="15" customHeight="1" x14ac:dyDescent="0.25">
      <c r="A505" t="s">
        <v>133</v>
      </c>
      <c r="B505" t="s">
        <v>37</v>
      </c>
      <c r="C505" t="s">
        <v>37</v>
      </c>
      <c r="D505" t="s">
        <v>38</v>
      </c>
      <c r="E505" s="4">
        <v>20</v>
      </c>
      <c r="F505" s="5">
        <v>1255.8</v>
      </c>
      <c r="G505" s="5" t="s">
        <v>39</v>
      </c>
      <c r="H505" s="5">
        <v>2049</v>
      </c>
      <c r="I505" s="5" t="s">
        <v>39</v>
      </c>
      <c r="J505" s="5">
        <v>42.697200000000002</v>
      </c>
      <c r="K505" s="5">
        <f t="shared" si="21"/>
        <v>2.1348600000000002</v>
      </c>
      <c r="L505" s="5">
        <f t="shared" si="22"/>
        <v>62.79</v>
      </c>
      <c r="M505" s="5" t="s">
        <v>39</v>
      </c>
      <c r="N505" s="5">
        <v>42.697200000000002</v>
      </c>
      <c r="O505" s="5" t="s">
        <v>39</v>
      </c>
      <c r="P505" t="s">
        <v>219</v>
      </c>
      <c r="Q505" t="s">
        <v>748</v>
      </c>
      <c r="R505" t="s">
        <v>37</v>
      </c>
      <c r="S505" t="s">
        <v>749</v>
      </c>
      <c r="T505" t="s">
        <v>43</v>
      </c>
      <c r="U505" t="s">
        <v>44</v>
      </c>
      <c r="V505">
        <v>147</v>
      </c>
      <c r="W505" t="s">
        <v>45</v>
      </c>
      <c r="X505" t="s">
        <v>75</v>
      </c>
      <c r="Y505" t="s">
        <v>750</v>
      </c>
      <c r="Z505" t="s">
        <v>37</v>
      </c>
      <c r="AA505" t="s">
        <v>61</v>
      </c>
      <c r="AB505" t="s">
        <v>37</v>
      </c>
      <c r="AC505" s="6" t="s">
        <v>37</v>
      </c>
      <c r="AD505" s="6" t="s">
        <v>37</v>
      </c>
      <c r="AE505" t="s">
        <v>37</v>
      </c>
      <c r="AF505" t="s">
        <v>37</v>
      </c>
      <c r="AG505" s="6" t="s">
        <v>37</v>
      </c>
      <c r="AH505" t="s">
        <v>37</v>
      </c>
      <c r="AI505" t="s">
        <v>37</v>
      </c>
      <c r="AJ505" t="str">
        <f t="shared" si="23"/>
        <v>5EPWKXSHB07W5JJP7D</v>
      </c>
    </row>
    <row r="506" spans="1:36" ht="15" customHeight="1" x14ac:dyDescent="0.25">
      <c r="A506" t="s">
        <v>36</v>
      </c>
      <c r="B506" t="s">
        <v>37</v>
      </c>
      <c r="C506" t="s">
        <v>37</v>
      </c>
      <c r="D506" t="s">
        <v>38</v>
      </c>
      <c r="E506" s="4">
        <v>8</v>
      </c>
      <c r="F506" s="5">
        <v>422.08</v>
      </c>
      <c r="G506" s="5" t="s">
        <v>39</v>
      </c>
      <c r="H506" s="5">
        <v>422.08</v>
      </c>
      <c r="I506" s="5" t="s">
        <v>39</v>
      </c>
      <c r="J506" s="5">
        <v>14.350720000000001</v>
      </c>
      <c r="K506" s="5">
        <f t="shared" si="21"/>
        <v>1.7938400000000001</v>
      </c>
      <c r="L506" s="5">
        <f t="shared" si="22"/>
        <v>52.76</v>
      </c>
      <c r="M506" s="5" t="s">
        <v>39</v>
      </c>
      <c r="N506" s="5">
        <v>14.350720000000001</v>
      </c>
      <c r="O506" s="5" t="s">
        <v>39</v>
      </c>
      <c r="P506" t="s">
        <v>377</v>
      </c>
      <c r="Q506" t="s">
        <v>477</v>
      </c>
      <c r="R506" t="s">
        <v>37</v>
      </c>
      <c r="S506" t="s">
        <v>478</v>
      </c>
      <c r="T506" t="s">
        <v>479</v>
      </c>
      <c r="U506" t="s">
        <v>44</v>
      </c>
      <c r="V506">
        <v>107</v>
      </c>
      <c r="W506" t="s">
        <v>45</v>
      </c>
      <c r="X506" t="s">
        <v>46</v>
      </c>
      <c r="Y506" t="s">
        <v>480</v>
      </c>
      <c r="Z506" t="s">
        <v>37</v>
      </c>
      <c r="AA506" t="s">
        <v>48</v>
      </c>
      <c r="AB506" t="s">
        <v>37</v>
      </c>
      <c r="AC506" s="6" t="s">
        <v>37</v>
      </c>
      <c r="AD506" s="6" t="s">
        <v>37</v>
      </c>
      <c r="AE506" t="s">
        <v>37</v>
      </c>
      <c r="AF506" t="s">
        <v>37</v>
      </c>
      <c r="AG506" s="6" t="s">
        <v>37</v>
      </c>
      <c r="AH506" t="s">
        <v>37</v>
      </c>
      <c r="AI506" t="s">
        <v>37</v>
      </c>
      <c r="AJ506" t="str">
        <f t="shared" si="23"/>
        <v>5IZH76JAB06XPXRN4K</v>
      </c>
    </row>
    <row r="507" spans="1:36" ht="15" customHeight="1" x14ac:dyDescent="0.25">
      <c r="A507" t="s">
        <v>472</v>
      </c>
      <c r="B507" t="s">
        <v>37</v>
      </c>
      <c r="C507" t="s">
        <v>37</v>
      </c>
      <c r="D507" t="s">
        <v>38</v>
      </c>
      <c r="E507" s="4">
        <v>0</v>
      </c>
      <c r="F507" s="5">
        <v>0</v>
      </c>
      <c r="G507" s="5" t="s">
        <v>39</v>
      </c>
      <c r="H507" s="5">
        <v>0</v>
      </c>
      <c r="I507" s="5" t="s">
        <v>39</v>
      </c>
      <c r="J507" s="5">
        <v>0</v>
      </c>
      <c r="K507" s="5" t="e">
        <f t="shared" si="21"/>
        <v>#DIV/0!</v>
      </c>
      <c r="L507" s="5" t="e">
        <f t="shared" si="22"/>
        <v>#DIV/0!</v>
      </c>
      <c r="M507" s="5" t="s">
        <v>39</v>
      </c>
      <c r="N507" s="5">
        <v>0</v>
      </c>
      <c r="O507" s="5" t="s">
        <v>39</v>
      </c>
      <c r="P507" t="s">
        <v>50</v>
      </c>
      <c r="Q507" t="s">
        <v>541</v>
      </c>
      <c r="R507" t="s">
        <v>37</v>
      </c>
      <c r="S507" t="s">
        <v>542</v>
      </c>
      <c r="T507" t="s">
        <v>43</v>
      </c>
      <c r="U507" t="s">
        <v>44</v>
      </c>
      <c r="V507">
        <v>147</v>
      </c>
      <c r="W507" t="s">
        <v>45</v>
      </c>
      <c r="X507" t="s">
        <v>53</v>
      </c>
      <c r="Y507" t="s">
        <v>543</v>
      </c>
      <c r="Z507" t="s">
        <v>37</v>
      </c>
      <c r="AA507" t="s">
        <v>61</v>
      </c>
      <c r="AB507" t="s">
        <v>37</v>
      </c>
      <c r="AC507" s="6" t="s">
        <v>37</v>
      </c>
      <c r="AD507" s="6" t="s">
        <v>37</v>
      </c>
      <c r="AE507" t="s">
        <v>37</v>
      </c>
      <c r="AF507" t="s">
        <v>37</v>
      </c>
      <c r="AG507" s="6" t="s">
        <v>37</v>
      </c>
      <c r="AH507" t="s">
        <v>37</v>
      </c>
      <c r="AI507" t="s">
        <v>37</v>
      </c>
      <c r="AJ507" t="str">
        <f t="shared" si="23"/>
        <v>54U7COBYB07W6JKL78</v>
      </c>
    </row>
    <row r="508" spans="1:36" ht="15" customHeight="1" x14ac:dyDescent="0.25">
      <c r="A508" t="s">
        <v>36</v>
      </c>
      <c r="B508" t="s">
        <v>37</v>
      </c>
      <c r="C508" t="s">
        <v>37</v>
      </c>
      <c r="D508" t="s">
        <v>38</v>
      </c>
      <c r="E508" s="4">
        <v>4</v>
      </c>
      <c r="F508" s="5">
        <v>301.64</v>
      </c>
      <c r="G508" s="5" t="s">
        <v>39</v>
      </c>
      <c r="H508" s="5">
        <v>442.6</v>
      </c>
      <c r="I508" s="5" t="s">
        <v>39</v>
      </c>
      <c r="J508" s="5">
        <v>10.25576</v>
      </c>
      <c r="K508" s="5">
        <f t="shared" si="21"/>
        <v>2.5639400000000001</v>
      </c>
      <c r="L508" s="5">
        <f t="shared" si="22"/>
        <v>75.41</v>
      </c>
      <c r="M508" s="5" t="s">
        <v>39</v>
      </c>
      <c r="N508" s="5">
        <v>10.25576</v>
      </c>
      <c r="O508" s="5" t="s">
        <v>39</v>
      </c>
      <c r="P508" t="s">
        <v>377</v>
      </c>
      <c r="Q508" t="s">
        <v>876</v>
      </c>
      <c r="R508" t="s">
        <v>37</v>
      </c>
      <c r="S508" t="s">
        <v>877</v>
      </c>
      <c r="T508" t="s">
        <v>43</v>
      </c>
      <c r="U508" t="s">
        <v>44</v>
      </c>
      <c r="V508">
        <v>147</v>
      </c>
      <c r="W508" t="s">
        <v>45</v>
      </c>
      <c r="X508" t="s">
        <v>75</v>
      </c>
      <c r="Y508" t="s">
        <v>878</v>
      </c>
      <c r="Z508" t="s">
        <v>37</v>
      </c>
      <c r="AA508" t="s">
        <v>61</v>
      </c>
      <c r="AB508" t="s">
        <v>37</v>
      </c>
      <c r="AC508" s="6" t="s">
        <v>37</v>
      </c>
      <c r="AD508" s="6" t="s">
        <v>37</v>
      </c>
      <c r="AE508" t="s">
        <v>37</v>
      </c>
      <c r="AF508" t="s">
        <v>37</v>
      </c>
      <c r="AG508" s="6" t="s">
        <v>37</v>
      </c>
      <c r="AH508" t="s">
        <v>37</v>
      </c>
      <c r="AI508" t="s">
        <v>37</v>
      </c>
      <c r="AJ508" t="str">
        <f t="shared" si="23"/>
        <v>5IZH76JAB01MTG898O</v>
      </c>
    </row>
    <row r="509" spans="1:36" ht="15" customHeight="1" x14ac:dyDescent="0.25">
      <c r="A509" t="s">
        <v>36</v>
      </c>
      <c r="B509" t="s">
        <v>37</v>
      </c>
      <c r="C509" t="s">
        <v>37</v>
      </c>
      <c r="D509" t="s">
        <v>38</v>
      </c>
      <c r="E509" s="4">
        <v>30</v>
      </c>
      <c r="F509" s="5">
        <v>298.5</v>
      </c>
      <c r="G509" s="5" t="s">
        <v>39</v>
      </c>
      <c r="H509" s="5">
        <v>415.5</v>
      </c>
      <c r="I509" s="5" t="s">
        <v>39</v>
      </c>
      <c r="J509" s="5">
        <v>10.148999999999999</v>
      </c>
      <c r="K509" s="5">
        <f t="shared" si="21"/>
        <v>0.33829999999999999</v>
      </c>
      <c r="L509" s="5">
        <f t="shared" si="22"/>
        <v>9.9499999999999993</v>
      </c>
      <c r="M509" s="5" t="s">
        <v>39</v>
      </c>
      <c r="N509" s="5">
        <v>10.148999999999999</v>
      </c>
      <c r="O509" s="5" t="s">
        <v>39</v>
      </c>
      <c r="P509" t="s">
        <v>377</v>
      </c>
      <c r="Q509" t="s">
        <v>164</v>
      </c>
      <c r="R509" t="s">
        <v>37</v>
      </c>
      <c r="S509" t="s">
        <v>165</v>
      </c>
      <c r="T509" t="s">
        <v>43</v>
      </c>
      <c r="U509" t="s">
        <v>44</v>
      </c>
      <c r="V509">
        <v>147</v>
      </c>
      <c r="W509" t="s">
        <v>45</v>
      </c>
      <c r="X509" t="s">
        <v>75</v>
      </c>
      <c r="Y509" t="s">
        <v>166</v>
      </c>
      <c r="Z509" t="s">
        <v>37</v>
      </c>
      <c r="AA509" t="s">
        <v>61</v>
      </c>
      <c r="AB509" t="s">
        <v>37</v>
      </c>
      <c r="AC509" s="6" t="s">
        <v>37</v>
      </c>
      <c r="AD509" s="6" t="s">
        <v>37</v>
      </c>
      <c r="AE509" t="s">
        <v>37</v>
      </c>
      <c r="AF509" t="s">
        <v>37</v>
      </c>
      <c r="AG509" s="6" t="s">
        <v>37</v>
      </c>
      <c r="AH509" t="s">
        <v>37</v>
      </c>
      <c r="AI509" t="s">
        <v>37</v>
      </c>
      <c r="AJ509" t="str">
        <f t="shared" si="23"/>
        <v>5IZH76JAB003V4A5VG</v>
      </c>
    </row>
    <row r="510" spans="1:36" ht="15" customHeight="1" x14ac:dyDescent="0.25">
      <c r="A510" t="s">
        <v>133</v>
      </c>
      <c r="B510" t="s">
        <v>37</v>
      </c>
      <c r="C510" t="s">
        <v>37</v>
      </c>
      <c r="D510" t="s">
        <v>38</v>
      </c>
      <c r="E510" s="4">
        <v>22</v>
      </c>
      <c r="F510" s="5">
        <v>772.86</v>
      </c>
      <c r="G510" s="5" t="s">
        <v>39</v>
      </c>
      <c r="H510" s="5">
        <v>1099.78</v>
      </c>
      <c r="I510" s="5" t="s">
        <v>39</v>
      </c>
      <c r="J510" s="5">
        <v>26.277239999999999</v>
      </c>
      <c r="K510" s="5">
        <f t="shared" si="21"/>
        <v>1.19442</v>
      </c>
      <c r="L510" s="5">
        <f t="shared" si="22"/>
        <v>35.130000000000003</v>
      </c>
      <c r="M510" s="5" t="s">
        <v>39</v>
      </c>
      <c r="N510" s="5">
        <v>26.277239999999999</v>
      </c>
      <c r="O510" s="5" t="s">
        <v>39</v>
      </c>
      <c r="P510" t="s">
        <v>189</v>
      </c>
      <c r="Q510" t="s">
        <v>353</v>
      </c>
      <c r="R510" t="s">
        <v>37</v>
      </c>
      <c r="S510" t="s">
        <v>354</v>
      </c>
      <c r="T510" t="s">
        <v>43</v>
      </c>
      <c r="U510" t="s">
        <v>44</v>
      </c>
      <c r="V510">
        <v>147</v>
      </c>
      <c r="W510" t="s">
        <v>45</v>
      </c>
      <c r="X510" t="s">
        <v>248</v>
      </c>
      <c r="Y510" t="s">
        <v>355</v>
      </c>
      <c r="Z510" t="s">
        <v>37</v>
      </c>
      <c r="AA510" t="s">
        <v>61</v>
      </c>
      <c r="AB510" t="s">
        <v>37</v>
      </c>
      <c r="AC510" s="6" t="s">
        <v>37</v>
      </c>
      <c r="AD510" s="6" t="s">
        <v>37</v>
      </c>
      <c r="AE510" t="s">
        <v>37</v>
      </c>
      <c r="AF510" t="s">
        <v>37</v>
      </c>
      <c r="AG510" s="6" t="s">
        <v>37</v>
      </c>
      <c r="AH510" t="s">
        <v>37</v>
      </c>
      <c r="AI510" t="s">
        <v>37</v>
      </c>
      <c r="AJ510" t="str">
        <f t="shared" si="23"/>
        <v>6DPU2MKPB003LNXT7Y</v>
      </c>
    </row>
    <row r="511" spans="1:36" ht="15" customHeight="1" x14ac:dyDescent="0.25">
      <c r="A511" t="s">
        <v>36</v>
      </c>
      <c r="B511" t="s">
        <v>37</v>
      </c>
      <c r="C511" t="s">
        <v>37</v>
      </c>
      <c r="D511" t="s">
        <v>38</v>
      </c>
      <c r="E511" s="4">
        <v>112</v>
      </c>
      <c r="F511" s="5">
        <v>2951.2</v>
      </c>
      <c r="G511" s="5" t="s">
        <v>39</v>
      </c>
      <c r="H511" s="5">
        <v>9462.8799999999992</v>
      </c>
      <c r="I511" s="5" t="s">
        <v>39</v>
      </c>
      <c r="J511" s="5">
        <v>100.3408</v>
      </c>
      <c r="K511" s="5">
        <f t="shared" si="21"/>
        <v>0.89590000000000003</v>
      </c>
      <c r="L511" s="5">
        <f t="shared" si="22"/>
        <v>26.349999999999998</v>
      </c>
      <c r="M511" s="5" t="s">
        <v>39</v>
      </c>
      <c r="N511" s="5">
        <v>100.3408</v>
      </c>
      <c r="O511" s="5" t="s">
        <v>39</v>
      </c>
      <c r="P511" t="s">
        <v>40</v>
      </c>
      <c r="Q511" t="s">
        <v>436</v>
      </c>
      <c r="R511" t="s">
        <v>37</v>
      </c>
      <c r="S511" t="s">
        <v>437</v>
      </c>
      <c r="T511" t="s">
        <v>43</v>
      </c>
      <c r="U511" t="s">
        <v>44</v>
      </c>
      <c r="V511">
        <v>147</v>
      </c>
      <c r="W511" t="s">
        <v>45</v>
      </c>
      <c r="X511" t="s">
        <v>177</v>
      </c>
      <c r="Y511" t="s">
        <v>438</v>
      </c>
      <c r="Z511" t="s">
        <v>37</v>
      </c>
      <c r="AA511" t="s">
        <v>48</v>
      </c>
      <c r="AB511" t="s">
        <v>37</v>
      </c>
      <c r="AC511" s="6" t="s">
        <v>37</v>
      </c>
      <c r="AD511" s="6" t="s">
        <v>37</v>
      </c>
      <c r="AE511" t="s">
        <v>37</v>
      </c>
      <c r="AF511" t="s">
        <v>37</v>
      </c>
      <c r="AG511" s="6" t="s">
        <v>37</v>
      </c>
      <c r="AH511" t="s">
        <v>37</v>
      </c>
      <c r="AI511" t="s">
        <v>37</v>
      </c>
      <c r="AJ511" t="str">
        <f t="shared" si="23"/>
        <v>8IC45Q9KB005BFCNYU</v>
      </c>
    </row>
    <row r="512" spans="1:36" ht="15" customHeight="1" x14ac:dyDescent="0.25">
      <c r="A512" t="s">
        <v>67</v>
      </c>
      <c r="B512" t="s">
        <v>37</v>
      </c>
      <c r="C512" t="s">
        <v>37</v>
      </c>
      <c r="D512" t="s">
        <v>38</v>
      </c>
      <c r="E512" s="4">
        <v>8</v>
      </c>
      <c r="F512" s="5">
        <v>234.24</v>
      </c>
      <c r="G512" s="5" t="s">
        <v>39</v>
      </c>
      <c r="H512" s="5">
        <v>340.88</v>
      </c>
      <c r="I512" s="5" t="s">
        <v>39</v>
      </c>
      <c r="J512" s="5">
        <v>7.9641599999999997</v>
      </c>
      <c r="K512" s="5">
        <f t="shared" si="21"/>
        <v>0.99551999999999996</v>
      </c>
      <c r="L512" s="5">
        <f t="shared" si="22"/>
        <v>29.28</v>
      </c>
      <c r="M512" s="5" t="s">
        <v>39</v>
      </c>
      <c r="N512" s="5">
        <v>7.9641599999999997</v>
      </c>
      <c r="O512" s="5" t="s">
        <v>39</v>
      </c>
      <c r="P512" t="s">
        <v>108</v>
      </c>
      <c r="Q512" t="s">
        <v>879</v>
      </c>
      <c r="R512" t="s">
        <v>37</v>
      </c>
      <c r="S512" t="s">
        <v>880</v>
      </c>
      <c r="T512" t="s">
        <v>43</v>
      </c>
      <c r="U512" t="s">
        <v>44</v>
      </c>
      <c r="V512">
        <v>147</v>
      </c>
      <c r="W512" t="s">
        <v>45</v>
      </c>
      <c r="X512" t="s">
        <v>75</v>
      </c>
      <c r="Y512" t="s">
        <v>881</v>
      </c>
      <c r="Z512" t="s">
        <v>37</v>
      </c>
      <c r="AA512" t="s">
        <v>61</v>
      </c>
      <c r="AB512" t="s">
        <v>37</v>
      </c>
      <c r="AC512" s="6" t="s">
        <v>37</v>
      </c>
      <c r="AD512" s="6" t="s">
        <v>37</v>
      </c>
      <c r="AE512" t="s">
        <v>37</v>
      </c>
      <c r="AF512" t="s">
        <v>37</v>
      </c>
      <c r="AG512" s="6" t="s">
        <v>37</v>
      </c>
      <c r="AH512" t="s">
        <v>37</v>
      </c>
      <c r="AI512" t="s">
        <v>37</v>
      </c>
      <c r="AJ512" t="str">
        <f t="shared" si="23"/>
        <v>5HGHPU5OB07W5JHF5D</v>
      </c>
    </row>
    <row r="513" spans="1:36" ht="15" customHeight="1" x14ac:dyDescent="0.25">
      <c r="A513" t="s">
        <v>372</v>
      </c>
      <c r="B513" t="s">
        <v>37</v>
      </c>
      <c r="C513" t="s">
        <v>37</v>
      </c>
      <c r="D513" t="s">
        <v>38</v>
      </c>
      <c r="E513" s="4">
        <v>104</v>
      </c>
      <c r="F513" s="5">
        <v>12566.32</v>
      </c>
      <c r="G513" s="5" t="s">
        <v>39</v>
      </c>
      <c r="H513" s="5">
        <v>20457.84</v>
      </c>
      <c r="I513" s="5" t="s">
        <v>39</v>
      </c>
      <c r="J513" s="5">
        <v>427.25488000000001</v>
      </c>
      <c r="K513" s="5">
        <f t="shared" si="21"/>
        <v>4.1082200000000002</v>
      </c>
      <c r="L513" s="5">
        <f t="shared" si="22"/>
        <v>120.83</v>
      </c>
      <c r="M513" s="5" t="s">
        <v>39</v>
      </c>
      <c r="N513" s="5">
        <v>427.25488000000001</v>
      </c>
      <c r="O513" s="5" t="s">
        <v>39</v>
      </c>
      <c r="P513" t="s">
        <v>882</v>
      </c>
      <c r="Q513" t="s">
        <v>883</v>
      </c>
      <c r="R513" t="s">
        <v>37</v>
      </c>
      <c r="S513" t="s">
        <v>884</v>
      </c>
      <c r="T513" t="s">
        <v>43</v>
      </c>
      <c r="U513" t="s">
        <v>44</v>
      </c>
      <c r="V513">
        <v>147</v>
      </c>
      <c r="W513" t="s">
        <v>45</v>
      </c>
      <c r="X513" t="s">
        <v>177</v>
      </c>
      <c r="Y513" t="s">
        <v>885</v>
      </c>
      <c r="Z513" t="s">
        <v>37</v>
      </c>
      <c r="AA513" t="s">
        <v>145</v>
      </c>
      <c r="AB513" t="s">
        <v>37</v>
      </c>
      <c r="AC513" s="6" t="s">
        <v>37</v>
      </c>
      <c r="AD513" s="6" t="s">
        <v>37</v>
      </c>
      <c r="AE513" t="s">
        <v>37</v>
      </c>
      <c r="AF513" t="s">
        <v>37</v>
      </c>
      <c r="AG513" s="6" t="s">
        <v>37</v>
      </c>
      <c r="AH513" t="s">
        <v>37</v>
      </c>
      <c r="AI513" t="s">
        <v>37</v>
      </c>
      <c r="AJ513" t="str">
        <f t="shared" si="23"/>
        <v>8CRK8PGRB07W5JKB8Z</v>
      </c>
    </row>
    <row r="514" spans="1:36" ht="15" customHeight="1" x14ac:dyDescent="0.25">
      <c r="A514" t="s">
        <v>127</v>
      </c>
      <c r="B514" t="s">
        <v>37</v>
      </c>
      <c r="C514" t="s">
        <v>37</v>
      </c>
      <c r="D514" t="s">
        <v>38</v>
      </c>
      <c r="E514" s="4">
        <v>20</v>
      </c>
      <c r="F514" s="5">
        <v>164</v>
      </c>
      <c r="G514" s="5" t="s">
        <v>39</v>
      </c>
      <c r="H514" s="5">
        <v>237.6</v>
      </c>
      <c r="I514" s="5" t="s">
        <v>39</v>
      </c>
      <c r="J514" s="5">
        <v>5.5759999999999996</v>
      </c>
      <c r="K514" s="5">
        <f t="shared" si="21"/>
        <v>0.27879999999999999</v>
      </c>
      <c r="L514" s="5">
        <f t="shared" si="22"/>
        <v>8.1999999999999993</v>
      </c>
      <c r="M514" s="5" t="s">
        <v>39</v>
      </c>
      <c r="N514" s="5">
        <v>5.5759999999999996</v>
      </c>
      <c r="O514" s="5" t="s">
        <v>39</v>
      </c>
      <c r="P514" t="s">
        <v>208</v>
      </c>
      <c r="Q514" t="s">
        <v>488</v>
      </c>
      <c r="R514" t="s">
        <v>37</v>
      </c>
      <c r="S514" t="s">
        <v>489</v>
      </c>
      <c r="T514" t="s">
        <v>43</v>
      </c>
      <c r="U514" t="s">
        <v>44</v>
      </c>
      <c r="V514">
        <v>147</v>
      </c>
      <c r="W514" t="s">
        <v>45</v>
      </c>
      <c r="X514" t="s">
        <v>75</v>
      </c>
      <c r="Y514" t="s">
        <v>490</v>
      </c>
      <c r="Z514" t="s">
        <v>37</v>
      </c>
      <c r="AA514" t="s">
        <v>61</v>
      </c>
      <c r="AB514" t="s">
        <v>37</v>
      </c>
      <c r="AC514" s="6" t="s">
        <v>37</v>
      </c>
      <c r="AD514" s="6" t="s">
        <v>37</v>
      </c>
      <c r="AE514" t="s">
        <v>37</v>
      </c>
      <c r="AF514" t="s">
        <v>37</v>
      </c>
      <c r="AG514" s="6" t="s">
        <v>37</v>
      </c>
      <c r="AH514" t="s">
        <v>37</v>
      </c>
      <c r="AI514" t="s">
        <v>37</v>
      </c>
      <c r="AJ514" t="str">
        <f t="shared" si="23"/>
        <v>2WFUPSOGB00BT8QIJ4</v>
      </c>
    </row>
    <row r="515" spans="1:36" ht="15" customHeight="1" x14ac:dyDescent="0.25">
      <c r="A515" t="s">
        <v>71</v>
      </c>
      <c r="B515" t="s">
        <v>37</v>
      </c>
      <c r="C515" t="s">
        <v>37</v>
      </c>
      <c r="D515" t="s">
        <v>38</v>
      </c>
      <c r="E515" s="4">
        <v>336</v>
      </c>
      <c r="F515" s="5">
        <v>40598.879999999997</v>
      </c>
      <c r="G515" s="5" t="s">
        <v>39</v>
      </c>
      <c r="H515" s="5">
        <v>66094.559999999998</v>
      </c>
      <c r="I515" s="5" t="s">
        <v>39</v>
      </c>
      <c r="J515" s="5">
        <v>1380.3619200000001</v>
      </c>
      <c r="K515" s="5">
        <f t="shared" ref="K515:K517" si="24">J515/E515</f>
        <v>4.1082200000000002</v>
      </c>
      <c r="L515" s="5">
        <f t="shared" ref="L515:L517" si="25">F515/E515</f>
        <v>120.83</v>
      </c>
      <c r="M515" s="5" t="s">
        <v>39</v>
      </c>
      <c r="N515" s="5">
        <v>1380.3619200000001</v>
      </c>
      <c r="O515" s="5" t="s">
        <v>39</v>
      </c>
      <c r="P515" t="s">
        <v>882</v>
      </c>
      <c r="Q515" t="s">
        <v>883</v>
      </c>
      <c r="R515" t="s">
        <v>37</v>
      </c>
      <c r="S515" t="s">
        <v>884</v>
      </c>
      <c r="T515" t="s">
        <v>43</v>
      </c>
      <c r="U515" t="s">
        <v>44</v>
      </c>
      <c r="V515">
        <v>147</v>
      </c>
      <c r="W515" t="s">
        <v>45</v>
      </c>
      <c r="X515" t="s">
        <v>177</v>
      </c>
      <c r="Y515" t="s">
        <v>885</v>
      </c>
      <c r="Z515" t="s">
        <v>37</v>
      </c>
      <c r="AA515" t="s">
        <v>145</v>
      </c>
      <c r="AB515" t="s">
        <v>37</v>
      </c>
      <c r="AC515" s="6" t="s">
        <v>37</v>
      </c>
      <c r="AD515" s="6" t="s">
        <v>37</v>
      </c>
      <c r="AE515" t="s">
        <v>37</v>
      </c>
      <c r="AF515" t="s">
        <v>37</v>
      </c>
      <c r="AG515" s="6" t="s">
        <v>37</v>
      </c>
      <c r="AH515" t="s">
        <v>37</v>
      </c>
      <c r="AI515" t="s">
        <v>37</v>
      </c>
      <c r="AJ515" t="str">
        <f t="shared" ref="AJ515:AJ517" si="26">P515&amp;Q515</f>
        <v>8CRK8PGRB07W5JKB8Z</v>
      </c>
    </row>
    <row r="516" spans="1:36" ht="15" customHeight="1" x14ac:dyDescent="0.25">
      <c r="A516" t="s">
        <v>36</v>
      </c>
      <c r="B516" t="s">
        <v>37</v>
      </c>
      <c r="C516" t="s">
        <v>37</v>
      </c>
      <c r="D516" t="s">
        <v>38</v>
      </c>
      <c r="E516" s="4">
        <v>70</v>
      </c>
      <c r="F516" s="5">
        <v>614.6</v>
      </c>
      <c r="G516" s="5" t="s">
        <v>39</v>
      </c>
      <c r="H516" s="5">
        <v>917.7</v>
      </c>
      <c r="I516" s="5" t="s">
        <v>39</v>
      </c>
      <c r="J516" s="5">
        <v>20.8964</v>
      </c>
      <c r="K516" s="5">
        <f t="shared" si="24"/>
        <v>0.29852000000000001</v>
      </c>
      <c r="L516" s="5">
        <f t="shared" si="25"/>
        <v>8.7800000000000011</v>
      </c>
      <c r="M516" s="5" t="s">
        <v>39</v>
      </c>
      <c r="N516" s="5">
        <v>20.8964</v>
      </c>
      <c r="O516" s="5" t="s">
        <v>39</v>
      </c>
      <c r="P516" t="s">
        <v>89</v>
      </c>
      <c r="Q516" t="s">
        <v>632</v>
      </c>
      <c r="R516" t="s">
        <v>37</v>
      </c>
      <c r="S516" t="s">
        <v>633</v>
      </c>
      <c r="T516" t="s">
        <v>43</v>
      </c>
      <c r="U516" t="s">
        <v>44</v>
      </c>
      <c r="V516">
        <v>147</v>
      </c>
      <c r="W516" t="s">
        <v>45</v>
      </c>
      <c r="X516" t="s">
        <v>53</v>
      </c>
      <c r="Y516" t="s">
        <v>634</v>
      </c>
      <c r="Z516" t="s">
        <v>37</v>
      </c>
      <c r="AA516" t="s">
        <v>61</v>
      </c>
      <c r="AB516" t="s">
        <v>37</v>
      </c>
      <c r="AC516" s="6" t="s">
        <v>37</v>
      </c>
      <c r="AD516" s="6" t="s">
        <v>37</v>
      </c>
      <c r="AE516" t="s">
        <v>37</v>
      </c>
      <c r="AF516" t="s">
        <v>37</v>
      </c>
      <c r="AG516" s="6" t="s">
        <v>37</v>
      </c>
      <c r="AH516" t="s">
        <v>37</v>
      </c>
      <c r="AI516" t="s">
        <v>37</v>
      </c>
      <c r="AJ516" t="str">
        <f t="shared" si="26"/>
        <v>6D1HFTMSB07W4DH9CW</v>
      </c>
    </row>
    <row r="517" spans="1:36" ht="15" customHeight="1" x14ac:dyDescent="0.25">
      <c r="A517" t="s">
        <v>422</v>
      </c>
      <c r="B517" t="s">
        <v>37</v>
      </c>
      <c r="C517" t="s">
        <v>37</v>
      </c>
      <c r="D517" t="s">
        <v>38</v>
      </c>
      <c r="E517" s="4">
        <v>4</v>
      </c>
      <c r="F517" s="5">
        <v>168.8</v>
      </c>
      <c r="G517" s="5" t="s">
        <v>39</v>
      </c>
      <c r="H517" s="5">
        <v>268.8</v>
      </c>
      <c r="I517" s="5" t="s">
        <v>39</v>
      </c>
      <c r="J517" s="5">
        <v>5.7392000000000003</v>
      </c>
      <c r="K517" s="5">
        <f t="shared" si="24"/>
        <v>1.4348000000000001</v>
      </c>
      <c r="L517" s="5">
        <f t="shared" si="25"/>
        <v>42.2</v>
      </c>
      <c r="M517" s="5" t="s">
        <v>39</v>
      </c>
      <c r="N517" s="5">
        <v>5.7392000000000003</v>
      </c>
      <c r="O517" s="5" t="s">
        <v>39</v>
      </c>
      <c r="P517" t="s">
        <v>377</v>
      </c>
      <c r="Q517" t="s">
        <v>498</v>
      </c>
      <c r="R517" t="s">
        <v>37</v>
      </c>
      <c r="S517" t="s">
        <v>499</v>
      </c>
      <c r="T517" t="s">
        <v>43</v>
      </c>
      <c r="U517" t="s">
        <v>44</v>
      </c>
      <c r="V517">
        <v>147</v>
      </c>
      <c r="W517" t="s">
        <v>45</v>
      </c>
      <c r="X517" t="s">
        <v>75</v>
      </c>
      <c r="Y517" t="s">
        <v>500</v>
      </c>
      <c r="Z517" t="s">
        <v>37</v>
      </c>
      <c r="AA517" t="s">
        <v>61</v>
      </c>
      <c r="AB517" t="s">
        <v>37</v>
      </c>
      <c r="AC517" s="6" t="s">
        <v>37</v>
      </c>
      <c r="AD517" s="6" t="s">
        <v>37</v>
      </c>
      <c r="AE517" t="s">
        <v>37</v>
      </c>
      <c r="AF517" t="s">
        <v>37</v>
      </c>
      <c r="AG517" s="6" t="s">
        <v>37</v>
      </c>
      <c r="AH517" t="s">
        <v>37</v>
      </c>
      <c r="AI517" t="s">
        <v>37</v>
      </c>
      <c r="AJ517" t="str">
        <f t="shared" si="26"/>
        <v>5IZH76JAB07W6GVS5C</v>
      </c>
    </row>
    <row r="518" spans="1:36" ht="15" customHeight="1" x14ac:dyDescent="0.25"/>
    <row r="519" spans="1:36" ht="15" customHeight="1" x14ac:dyDescent="0.25">
      <c r="A519" s="7" t="s">
        <v>886</v>
      </c>
      <c r="E519" s="8">
        <f>SUM(E2:E517)</f>
        <v>27696</v>
      </c>
      <c r="F519" s="9">
        <f>SUM(F2:F517)</f>
        <v>971694.69000000029</v>
      </c>
      <c r="G519" s="9"/>
      <c r="H519" s="9">
        <f>SUM(H2:H517)</f>
        <v>1410214.0000000002</v>
      </c>
      <c r="I519" s="9"/>
      <c r="J519" s="9">
        <f>SUM(J2:J517)</f>
        <v>33037.619459999973</v>
      </c>
      <c r="K519" s="9"/>
      <c r="L519" s="9"/>
      <c r="M519" s="9"/>
      <c r="N519" s="9"/>
      <c r="O519" s="9"/>
      <c r="AG519" s="9">
        <f>SUM(AA2:AA517)</f>
        <v>0</v>
      </c>
    </row>
    <row r="520" spans="1:36" ht="15" customHeight="1" x14ac:dyDescent="0.25">
      <c r="P520" s="7"/>
    </row>
    <row r="521" spans="1:36" ht="15" customHeight="1" x14ac:dyDescent="0.25">
      <c r="P521" s="7"/>
    </row>
    <row r="522" spans="1:36" ht="15" customHeight="1" x14ac:dyDescent="0.25">
      <c r="Z522" s="7"/>
    </row>
    <row r="523" spans="1:36" ht="15" customHeight="1" x14ac:dyDescent="0.25">
      <c r="Z523" s="7"/>
      <c r="AA523" s="6"/>
    </row>
    <row r="524" spans="1:36" ht="15" customHeight="1" x14ac:dyDescent="0.25">
      <c r="Z524" s="7"/>
      <c r="AA524" s="6"/>
    </row>
    <row r="537" ht="15" customHeight="1" x14ac:dyDescent="0.25"/>
  </sheetData>
  <pageMargins left="0.75" right="0.75" top="1" bottom="1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2B6C-6375-480B-B262-08D00EB37FB4}">
  <dimension ref="A1:K438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4.140625" bestFit="1" customWidth="1"/>
    <col min="3" max="3" width="12.28515625" bestFit="1" customWidth="1"/>
    <col min="4" max="4" width="18.5703125" bestFit="1" customWidth="1"/>
    <col min="5" max="5" width="4.140625" bestFit="1" customWidth="1"/>
    <col min="6" max="6" width="5.42578125" bestFit="1" customWidth="1"/>
    <col min="7" max="7" width="15.28515625" bestFit="1" customWidth="1"/>
    <col min="8" max="8" width="9.85546875" bestFit="1" customWidth="1"/>
    <col min="9" max="9" width="17.85546875" bestFit="1" customWidth="1"/>
    <col min="10" max="10" width="13.7109375" bestFit="1" customWidth="1"/>
  </cols>
  <sheetData>
    <row r="1" spans="1:11" x14ac:dyDescent="0.25">
      <c r="A1" s="10" t="s">
        <v>887</v>
      </c>
      <c r="B1" s="10"/>
      <c r="C1" s="10"/>
      <c r="D1" s="10"/>
      <c r="E1" s="11" t="s">
        <v>888</v>
      </c>
      <c r="F1" s="11"/>
      <c r="G1" s="12" t="s">
        <v>889</v>
      </c>
      <c r="H1" s="12"/>
      <c r="I1" s="12"/>
      <c r="J1" s="12"/>
      <c r="K1" s="13"/>
    </row>
    <row r="2" spans="1:11" x14ac:dyDescent="0.25">
      <c r="A2" s="13" t="s">
        <v>890</v>
      </c>
      <c r="B2" s="13" t="s">
        <v>891</v>
      </c>
      <c r="C2" s="13" t="s">
        <v>892</v>
      </c>
      <c r="D2" s="13" t="s">
        <v>893</v>
      </c>
      <c r="E2" s="13" t="s">
        <v>891</v>
      </c>
      <c r="F2" s="13" t="s">
        <v>894</v>
      </c>
      <c r="G2" s="13" t="s">
        <v>895</v>
      </c>
      <c r="H2" s="13" t="s">
        <v>896</v>
      </c>
      <c r="I2" s="13" t="s">
        <v>897</v>
      </c>
      <c r="J2" s="13" t="s">
        <v>898</v>
      </c>
      <c r="K2" s="13"/>
    </row>
    <row r="3" spans="1:11" x14ac:dyDescent="0.25">
      <c r="A3" t="s">
        <v>899</v>
      </c>
      <c r="B3">
        <v>10</v>
      </c>
      <c r="C3">
        <f>_xlfn.XLOOKUP(Recon!A3,[1]Backup!AJ:AJ,[1]Backup!L:L)</f>
        <v>14.64</v>
      </c>
      <c r="D3">
        <f>_xlfn.XLOOKUP(Recon!A3,[1]Backup!AJ:AJ,[1]Backup!K:K)</f>
        <v>0.49775999999999998</v>
      </c>
      <c r="E3">
        <f>SUMIF('[1]PO Report'!A:A,Recon!A3,'[1]PO Report'!P:P)</f>
        <v>10</v>
      </c>
      <c r="F3">
        <f>VLOOKUP(A3,'[1]PO Report'!$A:$Z,15,0)</f>
        <v>14.64</v>
      </c>
      <c r="H3">
        <f>B3-E3</f>
        <v>0</v>
      </c>
      <c r="J3">
        <f>C3-F3</f>
        <v>0</v>
      </c>
    </row>
    <row r="4" spans="1:11" x14ac:dyDescent="0.25">
      <c r="A4" t="s">
        <v>900</v>
      </c>
      <c r="B4">
        <v>20</v>
      </c>
      <c r="C4">
        <f>_xlfn.XLOOKUP(Recon!A4,[1]Backup!AJ:AJ,[1]Backup!L:L)</f>
        <v>8.1999999999999993</v>
      </c>
      <c r="D4">
        <f>_xlfn.XLOOKUP(Recon!A4,[1]Backup!AJ:AJ,[1]Backup!K:K)</f>
        <v>0.27879999999999999</v>
      </c>
      <c r="E4">
        <f>SUMIF('[1]PO Report'!A:A,Recon!A4,'[1]PO Report'!P:P)</f>
        <v>20</v>
      </c>
      <c r="F4">
        <f>VLOOKUP(A4,'[1]PO Report'!$A:$Z,15,0)</f>
        <v>8.1999999999999993</v>
      </c>
      <c r="H4">
        <f t="shared" ref="H4:H67" si="0">B4-E4</f>
        <v>0</v>
      </c>
      <c r="J4">
        <f t="shared" ref="J4:J67" si="1">C4-F4</f>
        <v>0</v>
      </c>
    </row>
    <row r="5" spans="1:11" x14ac:dyDescent="0.25">
      <c r="A5" t="s">
        <v>901</v>
      </c>
      <c r="B5">
        <v>2</v>
      </c>
      <c r="C5">
        <f>_xlfn.XLOOKUP(Recon!A5,[1]Backup!AJ:AJ,[1]Backup!L:L)</f>
        <v>83.89</v>
      </c>
      <c r="D5">
        <f>_xlfn.XLOOKUP(Recon!A5,[1]Backup!AJ:AJ,[1]Backup!K:K)</f>
        <v>2.8522599999999998</v>
      </c>
      <c r="E5">
        <f>SUMIF('[1]PO Report'!A:A,Recon!A5,'[1]PO Report'!P:P)</f>
        <v>2</v>
      </c>
      <c r="F5">
        <f>VLOOKUP(A5,'[1]PO Report'!$A:$Z,15,0)</f>
        <v>83.89</v>
      </c>
      <c r="H5">
        <f t="shared" si="0"/>
        <v>0</v>
      </c>
      <c r="J5">
        <f t="shared" si="1"/>
        <v>0</v>
      </c>
    </row>
    <row r="6" spans="1:11" x14ac:dyDescent="0.25">
      <c r="A6" t="s">
        <v>902</v>
      </c>
      <c r="B6">
        <v>6</v>
      </c>
      <c r="C6">
        <f>_xlfn.XLOOKUP(Recon!A6,[1]Backup!AJ:AJ,[1]Backup!L:L)</f>
        <v>78.62</v>
      </c>
      <c r="D6">
        <f>_xlfn.XLOOKUP(Recon!A6,[1]Backup!AJ:AJ,[1]Backup!K:K)</f>
        <v>2.6730800000000001</v>
      </c>
      <c r="E6">
        <f>SUMIF('[1]PO Report'!A:A,Recon!A6,'[1]PO Report'!P:P)</f>
        <v>6</v>
      </c>
      <c r="F6">
        <f>VLOOKUP(A6,'[1]PO Report'!$A:$Z,15,0)</f>
        <v>78.62</v>
      </c>
      <c r="H6">
        <f t="shared" si="0"/>
        <v>0</v>
      </c>
      <c r="J6">
        <f t="shared" si="1"/>
        <v>0</v>
      </c>
    </row>
    <row r="7" spans="1:11" x14ac:dyDescent="0.25">
      <c r="A7" t="s">
        <v>903</v>
      </c>
      <c r="B7">
        <v>40</v>
      </c>
      <c r="C7">
        <f>_xlfn.XLOOKUP(Recon!A7,[1]Backup!AJ:AJ,[1]Backup!L:L)</f>
        <v>68.06</v>
      </c>
      <c r="D7">
        <f>_xlfn.XLOOKUP(Recon!A7,[1]Backup!AJ:AJ,[1]Backup!K:K)</f>
        <v>2.3140399999999999</v>
      </c>
      <c r="E7">
        <f>SUMIF('[1]PO Report'!A:A,Recon!A7,'[1]PO Report'!P:P)</f>
        <v>40</v>
      </c>
      <c r="F7">
        <f>VLOOKUP(A7,'[1]PO Report'!$A:$Z,15,0)</f>
        <v>68.06</v>
      </c>
      <c r="H7">
        <f t="shared" si="0"/>
        <v>0</v>
      </c>
      <c r="J7">
        <f t="shared" si="1"/>
        <v>0</v>
      </c>
    </row>
    <row r="8" spans="1:11" x14ac:dyDescent="0.25">
      <c r="A8" t="s">
        <v>904</v>
      </c>
      <c r="B8">
        <v>6</v>
      </c>
      <c r="C8">
        <f>_xlfn.XLOOKUP(Recon!A8,[1]Backup!AJ:AJ,[1]Backup!L:L)</f>
        <v>63.830000000000005</v>
      </c>
      <c r="D8">
        <f>_xlfn.XLOOKUP(Recon!A8,[1]Backup!AJ:AJ,[1]Backup!K:K)</f>
        <v>2.17022</v>
      </c>
      <c r="E8">
        <f>SUMIF('[1]PO Report'!A:A,Recon!A8,'[1]PO Report'!P:P)</f>
        <v>6</v>
      </c>
      <c r="F8">
        <f>VLOOKUP(A8,'[1]PO Report'!$A:$Z,15,0)</f>
        <v>63.83</v>
      </c>
      <c r="H8">
        <f t="shared" si="0"/>
        <v>0</v>
      </c>
      <c r="J8">
        <f t="shared" si="1"/>
        <v>0</v>
      </c>
    </row>
    <row r="9" spans="1:11" x14ac:dyDescent="0.25">
      <c r="A9" t="s">
        <v>905</v>
      </c>
      <c r="B9">
        <v>8</v>
      </c>
      <c r="C9">
        <f>_xlfn.XLOOKUP(Recon!A9,[1]Backup!AJ:AJ,[1]Backup!L:L)</f>
        <v>89.92</v>
      </c>
      <c r="D9">
        <f>_xlfn.XLOOKUP(Recon!A9,[1]Backup!AJ:AJ,[1]Backup!K:K)</f>
        <v>3.05728</v>
      </c>
      <c r="E9">
        <f>SUMIF('[1]PO Report'!A:A,Recon!A9,'[1]PO Report'!P:P)</f>
        <v>8</v>
      </c>
      <c r="F9">
        <f>VLOOKUP(A9,'[1]PO Report'!$A:$Z,15,0)</f>
        <v>89.92</v>
      </c>
      <c r="H9">
        <f t="shared" si="0"/>
        <v>0</v>
      </c>
      <c r="J9">
        <f t="shared" si="1"/>
        <v>0</v>
      </c>
    </row>
    <row r="10" spans="1:11" x14ac:dyDescent="0.25">
      <c r="A10" t="s">
        <v>906</v>
      </c>
      <c r="B10">
        <v>9</v>
      </c>
      <c r="C10">
        <f>_xlfn.XLOOKUP(Recon!A10,[1]Backup!AJ:AJ,[1]Backup!L:L)</f>
        <v>147.21</v>
      </c>
      <c r="D10">
        <f>_xlfn.XLOOKUP(Recon!A10,[1]Backup!AJ:AJ,[1]Backup!K:K)</f>
        <v>5.0051399999999999</v>
      </c>
      <c r="E10">
        <f>SUMIF('[1]PO Report'!A:A,Recon!A10,'[1]PO Report'!P:P)</f>
        <v>9</v>
      </c>
      <c r="F10">
        <f>VLOOKUP(A10,'[1]PO Report'!$A:$Z,15,0)</f>
        <v>147.21</v>
      </c>
      <c r="H10">
        <f t="shared" si="0"/>
        <v>0</v>
      </c>
      <c r="J10">
        <f t="shared" si="1"/>
        <v>0</v>
      </c>
    </row>
    <row r="11" spans="1:11" x14ac:dyDescent="0.25">
      <c r="A11" t="s">
        <v>907</v>
      </c>
      <c r="B11">
        <v>16</v>
      </c>
      <c r="C11">
        <f>_xlfn.XLOOKUP(Recon!A11,[1]Backup!AJ:AJ,[1]Backup!L:L)</f>
        <v>29.28</v>
      </c>
      <c r="D11">
        <f>_xlfn.XLOOKUP(Recon!A11,[1]Backup!AJ:AJ,[1]Backup!K:K)</f>
        <v>0.99551999999999996</v>
      </c>
      <c r="E11">
        <f>SUMIF('[1]PO Report'!A:A,Recon!A11,'[1]PO Report'!P:P)</f>
        <v>16</v>
      </c>
      <c r="F11">
        <f>VLOOKUP(A11,'[1]PO Report'!$A:$Z,15,0)</f>
        <v>29.28</v>
      </c>
      <c r="H11">
        <f t="shared" si="0"/>
        <v>0</v>
      </c>
      <c r="J11">
        <f t="shared" si="1"/>
        <v>0</v>
      </c>
    </row>
    <row r="12" spans="1:11" x14ac:dyDescent="0.25">
      <c r="A12" t="s">
        <v>908</v>
      </c>
      <c r="B12">
        <v>24</v>
      </c>
      <c r="C12">
        <f>_xlfn.XLOOKUP(Recon!A12,[1]Backup!AJ:AJ,[1]Backup!L:L)</f>
        <v>76.13</v>
      </c>
      <c r="D12">
        <f>_xlfn.XLOOKUP(Recon!A12,[1]Backup!AJ:AJ,[1]Backup!K:K)</f>
        <v>2.5884199999999997</v>
      </c>
      <c r="E12">
        <f>SUMIF('[1]PO Report'!A:A,Recon!A12,'[1]PO Report'!P:P)</f>
        <v>24</v>
      </c>
      <c r="F12">
        <f>VLOOKUP(A12,'[1]PO Report'!$A:$Z,15,0)</f>
        <v>76.13</v>
      </c>
      <c r="H12">
        <f t="shared" si="0"/>
        <v>0</v>
      </c>
      <c r="J12">
        <f t="shared" si="1"/>
        <v>0</v>
      </c>
    </row>
    <row r="13" spans="1:11" x14ac:dyDescent="0.25">
      <c r="A13" t="s">
        <v>909</v>
      </c>
      <c r="B13">
        <v>8</v>
      </c>
      <c r="C13">
        <f>_xlfn.XLOOKUP(Recon!A13,[1]Backup!AJ:AJ,[1]Backup!L:L)</f>
        <v>17.559999999999999</v>
      </c>
      <c r="D13">
        <f>_xlfn.XLOOKUP(Recon!A13,[1]Backup!AJ:AJ,[1]Backup!K:K)</f>
        <v>0.59704000000000002</v>
      </c>
      <c r="E13">
        <f>SUMIF('[1]PO Report'!A:A,Recon!A13,'[1]PO Report'!P:P)</f>
        <v>8</v>
      </c>
      <c r="F13">
        <f>VLOOKUP(A13,'[1]PO Report'!$A:$Z,15,0)</f>
        <v>17.559999999999999</v>
      </c>
      <c r="H13">
        <f t="shared" si="0"/>
        <v>0</v>
      </c>
      <c r="J13">
        <f t="shared" si="1"/>
        <v>0</v>
      </c>
    </row>
    <row r="14" spans="1:11" x14ac:dyDescent="0.25">
      <c r="A14" t="s">
        <v>910</v>
      </c>
      <c r="B14">
        <v>9</v>
      </c>
      <c r="C14">
        <f>_xlfn.XLOOKUP(Recon!A14,[1]Backup!AJ:AJ,[1]Backup!L:L)</f>
        <v>240.26999999999998</v>
      </c>
      <c r="D14">
        <f>_xlfn.XLOOKUP(Recon!A14,[1]Backup!AJ:AJ,[1]Backup!K:K)</f>
        <v>8.1691800000000008</v>
      </c>
      <c r="E14">
        <f>SUMIF('[1]PO Report'!A:A,Recon!A14,'[1]PO Report'!P:P)</f>
        <v>9</v>
      </c>
      <c r="F14">
        <f>VLOOKUP(A14,'[1]PO Report'!$A:$Z,15,0)</f>
        <v>240.27</v>
      </c>
      <c r="H14">
        <f t="shared" si="0"/>
        <v>0</v>
      </c>
      <c r="J14">
        <f t="shared" si="1"/>
        <v>0</v>
      </c>
    </row>
    <row r="15" spans="1:11" x14ac:dyDescent="0.25">
      <c r="A15" t="s">
        <v>911</v>
      </c>
      <c r="B15">
        <v>13</v>
      </c>
      <c r="C15">
        <f>_xlfn.XLOOKUP(Recon!A15,[1]Backup!AJ:AJ,[1]Backup!L:L)</f>
        <v>147.21</v>
      </c>
      <c r="D15">
        <f>_xlfn.XLOOKUP(Recon!A15,[1]Backup!AJ:AJ,[1]Backup!K:K)</f>
        <v>5.0051400000000008</v>
      </c>
      <c r="E15">
        <f>SUMIF('[1]PO Report'!A:A,Recon!A15,'[1]PO Report'!P:P)</f>
        <v>13</v>
      </c>
      <c r="F15">
        <f>VLOOKUP(A15,'[1]PO Report'!$A:$Z,15,0)</f>
        <v>147.21</v>
      </c>
      <c r="H15">
        <f t="shared" si="0"/>
        <v>0</v>
      </c>
      <c r="J15">
        <f t="shared" si="1"/>
        <v>0</v>
      </c>
    </row>
    <row r="16" spans="1:11" x14ac:dyDescent="0.25">
      <c r="A16" t="s">
        <v>912</v>
      </c>
      <c r="B16">
        <v>52</v>
      </c>
      <c r="C16">
        <f>_xlfn.XLOOKUP(Recon!A16,[1]Backup!AJ:AJ,[1]Backup!L:L)</f>
        <v>26.37</v>
      </c>
      <c r="D16">
        <f>_xlfn.XLOOKUP(Recon!A16,[1]Backup!AJ:AJ,[1]Backup!K:K)</f>
        <v>0.89658000000000004</v>
      </c>
      <c r="E16">
        <f>SUMIF('[1]PO Report'!A:A,Recon!A16,'[1]PO Report'!P:P)</f>
        <v>52</v>
      </c>
      <c r="F16">
        <f>VLOOKUP(A16,'[1]PO Report'!$A:$Z,15,0)</f>
        <v>26.37</v>
      </c>
      <c r="H16">
        <f t="shared" si="0"/>
        <v>0</v>
      </c>
      <c r="J16">
        <f t="shared" si="1"/>
        <v>0</v>
      </c>
    </row>
    <row r="17" spans="1:10" x14ac:dyDescent="0.25">
      <c r="A17" t="s">
        <v>913</v>
      </c>
      <c r="B17">
        <v>36</v>
      </c>
      <c r="C17">
        <f>_xlfn.XLOOKUP(Recon!A17,[1]Backup!AJ:AJ,[1]Backup!L:L)</f>
        <v>46.66</v>
      </c>
      <c r="D17">
        <f>_xlfn.XLOOKUP(Recon!A17,[1]Backup!AJ:AJ,[1]Backup!K:K)</f>
        <v>1.5864400000000001</v>
      </c>
      <c r="E17">
        <f>SUMIF('[1]PO Report'!A:A,Recon!A17,'[1]PO Report'!P:P)</f>
        <v>36</v>
      </c>
      <c r="F17">
        <f>VLOOKUP(A17,'[1]PO Report'!$A:$Z,15,0)</f>
        <v>46.66</v>
      </c>
      <c r="H17">
        <f t="shared" si="0"/>
        <v>0</v>
      </c>
      <c r="J17">
        <f t="shared" si="1"/>
        <v>0</v>
      </c>
    </row>
    <row r="18" spans="1:10" x14ac:dyDescent="0.25">
      <c r="A18" t="s">
        <v>914</v>
      </c>
      <c r="B18">
        <v>8</v>
      </c>
      <c r="C18">
        <f>_xlfn.XLOOKUP(Recon!A18,[1]Backup!AJ:AJ,[1]Backup!L:L)</f>
        <v>69.61</v>
      </c>
      <c r="D18">
        <f>_xlfn.XLOOKUP(Recon!A18,[1]Backup!AJ:AJ,[1]Backup!K:K)</f>
        <v>2.3667400000000001</v>
      </c>
      <c r="E18">
        <f>SUMIF('[1]PO Report'!A:A,Recon!A18,'[1]PO Report'!P:P)</f>
        <v>8</v>
      </c>
      <c r="F18">
        <f>VLOOKUP(A18,'[1]PO Report'!$A:$Z,15,0)</f>
        <v>69.61</v>
      </c>
      <c r="H18">
        <f t="shared" si="0"/>
        <v>0</v>
      </c>
      <c r="J18">
        <f t="shared" si="1"/>
        <v>0</v>
      </c>
    </row>
    <row r="19" spans="1:10" x14ac:dyDescent="0.25">
      <c r="A19" t="s">
        <v>915</v>
      </c>
      <c r="B19">
        <v>10</v>
      </c>
      <c r="C19">
        <f>_xlfn.XLOOKUP(Recon!A19,[1]Backup!AJ:AJ,[1]Backup!L:L)</f>
        <v>14.64</v>
      </c>
      <c r="D19">
        <f>_xlfn.XLOOKUP(Recon!A19,[1]Backup!AJ:AJ,[1]Backup!K:K)</f>
        <v>0.49775999999999998</v>
      </c>
      <c r="E19">
        <f>SUMIF('[1]PO Report'!A:A,Recon!A19,'[1]PO Report'!P:P)</f>
        <v>10</v>
      </c>
      <c r="F19">
        <f>VLOOKUP(A19,'[1]PO Report'!$A:$Z,15,0)</f>
        <v>14.64</v>
      </c>
      <c r="H19">
        <f t="shared" si="0"/>
        <v>0</v>
      </c>
      <c r="J19">
        <f t="shared" si="1"/>
        <v>0</v>
      </c>
    </row>
    <row r="20" spans="1:10" x14ac:dyDescent="0.25">
      <c r="A20" t="s">
        <v>916</v>
      </c>
      <c r="B20">
        <v>10</v>
      </c>
      <c r="C20">
        <f>_xlfn.XLOOKUP(Recon!A20,[1]Backup!AJ:AJ,[1]Backup!L:L)</f>
        <v>9.9499999999999993</v>
      </c>
      <c r="D20">
        <f>_xlfn.XLOOKUP(Recon!A20,[1]Backup!AJ:AJ,[1]Backup!K:K)</f>
        <v>0.33829999999999999</v>
      </c>
      <c r="E20">
        <f>SUMIF('[1]PO Report'!A:A,Recon!A20,'[1]PO Report'!P:P)</f>
        <v>10</v>
      </c>
      <c r="F20">
        <f>VLOOKUP(A20,'[1]PO Report'!$A:$Z,15,0)</f>
        <v>9.9499999999999993</v>
      </c>
      <c r="H20">
        <f t="shared" si="0"/>
        <v>0</v>
      </c>
      <c r="J20">
        <f t="shared" si="1"/>
        <v>0</v>
      </c>
    </row>
    <row r="21" spans="1:10" x14ac:dyDescent="0.25">
      <c r="A21" t="s">
        <v>917</v>
      </c>
      <c r="B21">
        <v>2</v>
      </c>
      <c r="C21">
        <f>_xlfn.XLOOKUP(Recon!A21,[1]Backup!AJ:AJ,[1]Backup!L:L)</f>
        <v>83.89</v>
      </c>
      <c r="D21">
        <f>_xlfn.XLOOKUP(Recon!A21,[1]Backup!AJ:AJ,[1]Backup!K:K)</f>
        <v>2.8522599999999998</v>
      </c>
      <c r="E21">
        <f>SUMIF('[1]PO Report'!A:A,Recon!A21,'[1]PO Report'!P:P)</f>
        <v>2</v>
      </c>
      <c r="F21">
        <f>VLOOKUP(A21,'[1]PO Report'!$A:$Z,15,0)</f>
        <v>83.89</v>
      </c>
      <c r="H21">
        <f t="shared" si="0"/>
        <v>0</v>
      </c>
      <c r="J21">
        <f t="shared" si="1"/>
        <v>0</v>
      </c>
    </row>
    <row r="22" spans="1:10" x14ac:dyDescent="0.25">
      <c r="A22" t="s">
        <v>918</v>
      </c>
      <c r="B22">
        <v>4</v>
      </c>
      <c r="C22">
        <f>_xlfn.XLOOKUP(Recon!A22,[1]Backup!AJ:AJ,[1]Backup!L:L)</f>
        <v>78.62</v>
      </c>
      <c r="D22">
        <f>_xlfn.XLOOKUP(Recon!A22,[1]Backup!AJ:AJ,[1]Backup!K:K)</f>
        <v>2.6730800000000001</v>
      </c>
      <c r="E22">
        <f>SUMIF('[1]PO Report'!A:A,Recon!A22,'[1]PO Report'!P:P)</f>
        <v>4</v>
      </c>
      <c r="F22">
        <f>VLOOKUP(A22,'[1]PO Report'!$A:$Z,15,0)</f>
        <v>78.62</v>
      </c>
      <c r="H22">
        <f t="shared" si="0"/>
        <v>0</v>
      </c>
      <c r="J22">
        <f t="shared" si="1"/>
        <v>0</v>
      </c>
    </row>
    <row r="23" spans="1:10" x14ac:dyDescent="0.25">
      <c r="A23" t="s">
        <v>919</v>
      </c>
      <c r="B23">
        <v>40</v>
      </c>
      <c r="C23">
        <f>_xlfn.XLOOKUP(Recon!A23,[1]Backup!AJ:AJ,[1]Backup!L:L)</f>
        <v>68.06</v>
      </c>
      <c r="D23">
        <f>_xlfn.XLOOKUP(Recon!A23,[1]Backup!AJ:AJ,[1]Backup!K:K)</f>
        <v>2.3140399999999999</v>
      </c>
      <c r="E23">
        <f>SUMIF('[1]PO Report'!A:A,Recon!A23,'[1]PO Report'!P:P)</f>
        <v>40</v>
      </c>
      <c r="F23">
        <f>VLOOKUP(A23,'[1]PO Report'!$A:$Z,15,0)</f>
        <v>68.06</v>
      </c>
      <c r="H23">
        <f t="shared" si="0"/>
        <v>0</v>
      </c>
      <c r="J23">
        <f t="shared" si="1"/>
        <v>0</v>
      </c>
    </row>
    <row r="24" spans="1:10" x14ac:dyDescent="0.25">
      <c r="A24" t="s">
        <v>920</v>
      </c>
      <c r="B24">
        <v>5</v>
      </c>
      <c r="C24">
        <f>_xlfn.XLOOKUP(Recon!A24,[1]Backup!AJ:AJ,[1]Backup!L:L)</f>
        <v>147.20999999999998</v>
      </c>
      <c r="D24">
        <f>_xlfn.XLOOKUP(Recon!A24,[1]Backup!AJ:AJ,[1]Backup!K:K)</f>
        <v>5.0051399999999999</v>
      </c>
      <c r="E24">
        <f>SUMIF('[1]PO Report'!A:A,Recon!A24,'[1]PO Report'!P:P)</f>
        <v>5</v>
      </c>
      <c r="F24">
        <f>VLOOKUP(A24,'[1]PO Report'!$A:$Z,15,0)</f>
        <v>147.21</v>
      </c>
      <c r="H24">
        <f t="shared" si="0"/>
        <v>0</v>
      </c>
      <c r="J24">
        <f t="shared" si="1"/>
        <v>0</v>
      </c>
    </row>
    <row r="25" spans="1:10" x14ac:dyDescent="0.25">
      <c r="A25" t="s">
        <v>921</v>
      </c>
      <c r="B25">
        <v>2</v>
      </c>
      <c r="C25">
        <f>_xlfn.XLOOKUP(Recon!A25,[1]Backup!AJ:AJ,[1]Backup!L:L)</f>
        <v>210.52</v>
      </c>
      <c r="D25">
        <f>_xlfn.XLOOKUP(Recon!A25,[1]Backup!AJ:AJ,[1]Backup!K:K)</f>
        <v>7.15768</v>
      </c>
      <c r="E25">
        <f>SUMIF('[1]PO Report'!A:A,Recon!A25,'[1]PO Report'!P:P)</f>
        <v>2</v>
      </c>
      <c r="F25">
        <f>VLOOKUP(A25,'[1]PO Report'!$A:$Z,15,0)</f>
        <v>210.52</v>
      </c>
      <c r="H25">
        <f t="shared" si="0"/>
        <v>0</v>
      </c>
      <c r="J25">
        <f t="shared" si="1"/>
        <v>0</v>
      </c>
    </row>
    <row r="26" spans="1:10" x14ac:dyDescent="0.25">
      <c r="A26" t="s">
        <v>922</v>
      </c>
      <c r="B26">
        <v>576</v>
      </c>
      <c r="C26">
        <f>_xlfn.XLOOKUP(Recon!A26,[1]Backup!AJ:AJ,[1]Backup!L:L)</f>
        <v>92.24</v>
      </c>
      <c r="D26">
        <f>_xlfn.XLOOKUP(Recon!A26,[1]Backup!AJ:AJ,[1]Backup!K:K)</f>
        <v>3.1361599999999998</v>
      </c>
      <c r="E26">
        <f>SUMIF('[1]PO Report'!A:A,Recon!A26,'[1]PO Report'!P:P)</f>
        <v>576</v>
      </c>
      <c r="F26">
        <f>VLOOKUP(A26,'[1]PO Report'!$A:$Z,15,0)</f>
        <v>92.24</v>
      </c>
      <c r="H26">
        <f t="shared" si="0"/>
        <v>0</v>
      </c>
      <c r="J26">
        <f t="shared" si="1"/>
        <v>0</v>
      </c>
    </row>
    <row r="27" spans="1:10" x14ac:dyDescent="0.25">
      <c r="A27" t="s">
        <v>923</v>
      </c>
      <c r="B27">
        <v>20</v>
      </c>
      <c r="C27">
        <f>_xlfn.XLOOKUP(Recon!A27,[1]Backup!AJ:AJ,[1]Backup!L:L)</f>
        <v>9.9499999999999993</v>
      </c>
      <c r="D27">
        <f>_xlfn.XLOOKUP(Recon!A27,[1]Backup!AJ:AJ,[1]Backup!K:K)</f>
        <v>0.33829999999999999</v>
      </c>
      <c r="E27">
        <f>SUMIF('[1]PO Report'!A:A,Recon!A27,'[1]PO Report'!P:P)</f>
        <v>20</v>
      </c>
      <c r="F27">
        <f>VLOOKUP(A27,'[1]PO Report'!$A:$Z,15,0)</f>
        <v>9.9499999999999993</v>
      </c>
      <c r="H27">
        <f t="shared" si="0"/>
        <v>0</v>
      </c>
      <c r="J27">
        <f t="shared" si="1"/>
        <v>0</v>
      </c>
    </row>
    <row r="28" spans="1:10" x14ac:dyDescent="0.25">
      <c r="A28" t="s">
        <v>924</v>
      </c>
      <c r="B28">
        <v>5</v>
      </c>
      <c r="C28">
        <f>_xlfn.XLOOKUP(Recon!A28,[1]Backup!AJ:AJ,[1]Backup!L:L)</f>
        <v>115.44000000000001</v>
      </c>
      <c r="D28">
        <f>_xlfn.XLOOKUP(Recon!A28,[1]Backup!AJ:AJ,[1]Backup!K:K)</f>
        <v>3.92496</v>
      </c>
      <c r="E28">
        <f>SUMIF('[1]PO Report'!A:A,Recon!A28,'[1]PO Report'!P:P)</f>
        <v>5</v>
      </c>
      <c r="F28">
        <f>VLOOKUP(A28,'[1]PO Report'!$A:$Z,15,0)</f>
        <v>115.44</v>
      </c>
      <c r="H28">
        <f t="shared" si="0"/>
        <v>0</v>
      </c>
      <c r="J28">
        <f t="shared" si="1"/>
        <v>0</v>
      </c>
    </row>
    <row r="29" spans="1:10" x14ac:dyDescent="0.25">
      <c r="A29" t="s">
        <v>925</v>
      </c>
      <c r="B29">
        <v>10</v>
      </c>
      <c r="C29">
        <f>_xlfn.XLOOKUP(Recon!A29,[1]Backup!AJ:AJ,[1]Backup!L:L)</f>
        <v>9.9499999999999993</v>
      </c>
      <c r="D29">
        <f>_xlfn.XLOOKUP(Recon!A29,[1]Backup!AJ:AJ,[1]Backup!K:K)</f>
        <v>0.33829999999999999</v>
      </c>
      <c r="E29">
        <f>SUMIF('[1]PO Report'!A:A,Recon!A29,'[1]PO Report'!P:P)</f>
        <v>10</v>
      </c>
      <c r="F29">
        <f>VLOOKUP(A29,'[1]PO Report'!$A:$Z,15,0)</f>
        <v>9.9499999999999993</v>
      </c>
      <c r="H29">
        <f t="shared" si="0"/>
        <v>0</v>
      </c>
      <c r="J29">
        <f t="shared" si="1"/>
        <v>0</v>
      </c>
    </row>
    <row r="30" spans="1:10" x14ac:dyDescent="0.25">
      <c r="A30" t="s">
        <v>926</v>
      </c>
      <c r="B30">
        <v>70</v>
      </c>
      <c r="C30">
        <f>_xlfn.XLOOKUP(Recon!A30,[1]Backup!AJ:AJ,[1]Backup!L:L)</f>
        <v>9.9499999999999993</v>
      </c>
      <c r="D30">
        <f>_xlfn.XLOOKUP(Recon!A30,[1]Backup!AJ:AJ,[1]Backup!K:K)</f>
        <v>0.33829999999999999</v>
      </c>
      <c r="E30">
        <f>SUMIF('[1]PO Report'!A:A,Recon!A30,'[1]PO Report'!P:P)</f>
        <v>70</v>
      </c>
      <c r="F30">
        <f>VLOOKUP(A30,'[1]PO Report'!$A:$Z,15,0)</f>
        <v>9.9499999999999993</v>
      </c>
      <c r="H30">
        <f t="shared" si="0"/>
        <v>0</v>
      </c>
      <c r="J30">
        <f t="shared" si="1"/>
        <v>0</v>
      </c>
    </row>
    <row r="31" spans="1:10" x14ac:dyDescent="0.25">
      <c r="A31" t="s">
        <v>927</v>
      </c>
      <c r="B31">
        <v>100</v>
      </c>
      <c r="C31">
        <f>_xlfn.XLOOKUP(Recon!A31,[1]Backup!AJ:AJ,[1]Backup!L:L)</f>
        <v>14.64</v>
      </c>
      <c r="D31">
        <f>_xlfn.XLOOKUP(Recon!A31,[1]Backup!AJ:AJ,[1]Backup!K:K)</f>
        <v>0.49776000000000004</v>
      </c>
      <c r="E31">
        <f>SUMIF('[1]PO Report'!A:A,Recon!A31,'[1]PO Report'!P:P)</f>
        <v>100</v>
      </c>
      <c r="F31">
        <f>VLOOKUP(A31,'[1]PO Report'!$A:$Z,15,0)</f>
        <v>14.64</v>
      </c>
      <c r="H31">
        <f t="shared" si="0"/>
        <v>0</v>
      </c>
      <c r="J31">
        <f t="shared" si="1"/>
        <v>0</v>
      </c>
    </row>
    <row r="32" spans="1:10" x14ac:dyDescent="0.25">
      <c r="A32" t="s">
        <v>928</v>
      </c>
      <c r="B32">
        <v>16</v>
      </c>
      <c r="C32">
        <f>_xlfn.XLOOKUP(Recon!A32,[1]Backup!AJ:AJ,[1]Backup!L:L)</f>
        <v>64.42</v>
      </c>
      <c r="D32">
        <f>_xlfn.XLOOKUP(Recon!A32,[1]Backup!AJ:AJ,[1]Backup!K:K)</f>
        <v>2.19028</v>
      </c>
      <c r="E32">
        <f>SUMIF('[1]PO Report'!A:A,Recon!A32,'[1]PO Report'!P:P)</f>
        <v>16</v>
      </c>
      <c r="F32">
        <f>VLOOKUP(A32,'[1]PO Report'!$A:$Z,15,0)</f>
        <v>64.42</v>
      </c>
      <c r="H32">
        <f t="shared" si="0"/>
        <v>0</v>
      </c>
      <c r="J32">
        <f t="shared" si="1"/>
        <v>0</v>
      </c>
    </row>
    <row r="33" spans="1:10" x14ac:dyDescent="0.25">
      <c r="A33" t="s">
        <v>929</v>
      </c>
      <c r="B33">
        <v>10</v>
      </c>
      <c r="C33">
        <f>_xlfn.XLOOKUP(Recon!A33,[1]Backup!AJ:AJ,[1]Backup!L:L)</f>
        <v>14.64</v>
      </c>
      <c r="D33">
        <f>_xlfn.XLOOKUP(Recon!A33,[1]Backup!AJ:AJ,[1]Backup!K:K)</f>
        <v>0.49775999999999998</v>
      </c>
      <c r="E33">
        <f>SUMIF('[1]PO Report'!A:A,Recon!A33,'[1]PO Report'!P:P)</f>
        <v>10</v>
      </c>
      <c r="F33">
        <f>VLOOKUP(A33,'[1]PO Report'!$A:$Z,15,0)</f>
        <v>14.64</v>
      </c>
      <c r="H33">
        <f t="shared" si="0"/>
        <v>0</v>
      </c>
      <c r="J33">
        <f t="shared" si="1"/>
        <v>0</v>
      </c>
    </row>
    <row r="34" spans="1:10" x14ac:dyDescent="0.25">
      <c r="A34" t="s">
        <v>930</v>
      </c>
      <c r="B34">
        <v>4</v>
      </c>
      <c r="C34">
        <f>_xlfn.XLOOKUP(Recon!A34,[1]Backup!AJ:AJ,[1]Backup!L:L)</f>
        <v>20.5</v>
      </c>
      <c r="D34">
        <f>_xlfn.XLOOKUP(Recon!A34,[1]Backup!AJ:AJ,[1]Backup!K:K)</f>
        <v>0.69699999999999995</v>
      </c>
      <c r="E34">
        <f>SUMIF('[1]PO Report'!A:A,Recon!A34,'[1]PO Report'!P:P)</f>
        <v>4</v>
      </c>
      <c r="F34">
        <f>VLOOKUP(A34,'[1]PO Report'!$A:$Z,15,0)</f>
        <v>20.5</v>
      </c>
      <c r="H34">
        <f t="shared" si="0"/>
        <v>0</v>
      </c>
      <c r="J34">
        <f t="shared" si="1"/>
        <v>0</v>
      </c>
    </row>
    <row r="35" spans="1:10" x14ac:dyDescent="0.25">
      <c r="A35" t="s">
        <v>931</v>
      </c>
      <c r="B35">
        <v>60</v>
      </c>
      <c r="C35">
        <f>_xlfn.XLOOKUP(Recon!A35,[1]Backup!AJ:AJ,[1]Backup!L:L)</f>
        <v>23.42</v>
      </c>
      <c r="D35">
        <f>_xlfn.XLOOKUP(Recon!A35,[1]Backup!AJ:AJ,[1]Backup!K:K)</f>
        <v>0.79627999999999999</v>
      </c>
      <c r="E35">
        <f>SUMIF('[1]PO Report'!A:A,Recon!A35,'[1]PO Report'!P:P)</f>
        <v>60</v>
      </c>
      <c r="F35">
        <f>VLOOKUP(A35,'[1]PO Report'!$A:$Z,15,0)</f>
        <v>23.42</v>
      </c>
      <c r="H35">
        <f t="shared" si="0"/>
        <v>0</v>
      </c>
      <c r="J35">
        <f t="shared" si="1"/>
        <v>0</v>
      </c>
    </row>
    <row r="36" spans="1:10" x14ac:dyDescent="0.25">
      <c r="A36" t="s">
        <v>932</v>
      </c>
      <c r="B36">
        <v>20</v>
      </c>
      <c r="C36">
        <f>_xlfn.XLOOKUP(Recon!A36,[1]Backup!AJ:AJ,[1]Backup!L:L)</f>
        <v>8.1999999999999993</v>
      </c>
      <c r="D36">
        <f>_xlfn.XLOOKUP(Recon!A36,[1]Backup!AJ:AJ,[1]Backup!K:K)</f>
        <v>0.27879999999999999</v>
      </c>
      <c r="E36">
        <f>SUMIF('[1]PO Report'!A:A,Recon!A36,'[1]PO Report'!P:P)</f>
        <v>20</v>
      </c>
      <c r="F36">
        <f>VLOOKUP(A36,'[1]PO Report'!$A:$Z,15,0)</f>
        <v>8.1999999999999993</v>
      </c>
      <c r="H36">
        <f t="shared" si="0"/>
        <v>0</v>
      </c>
      <c r="J36">
        <f t="shared" si="1"/>
        <v>0</v>
      </c>
    </row>
    <row r="37" spans="1:10" x14ac:dyDescent="0.25">
      <c r="A37" t="s">
        <v>933</v>
      </c>
      <c r="B37">
        <v>10</v>
      </c>
      <c r="C37">
        <f>_xlfn.XLOOKUP(Recon!A37,[1]Backup!AJ:AJ,[1]Backup!L:L)</f>
        <v>14.64</v>
      </c>
      <c r="D37">
        <f>_xlfn.XLOOKUP(Recon!A37,[1]Backup!AJ:AJ,[1]Backup!K:K)</f>
        <v>0.49775999999999998</v>
      </c>
      <c r="E37">
        <f>SUMIF('[1]PO Report'!A:A,Recon!A37,'[1]PO Report'!P:P)</f>
        <v>10</v>
      </c>
      <c r="F37">
        <f>VLOOKUP(A37,'[1]PO Report'!$A:$Z,15,0)</f>
        <v>14.64</v>
      </c>
      <c r="H37">
        <f t="shared" si="0"/>
        <v>0</v>
      </c>
      <c r="J37">
        <f t="shared" si="1"/>
        <v>0</v>
      </c>
    </row>
    <row r="38" spans="1:10" x14ac:dyDescent="0.25">
      <c r="A38" t="s">
        <v>934</v>
      </c>
      <c r="B38">
        <v>83</v>
      </c>
      <c r="C38">
        <f>_xlfn.XLOOKUP(Recon!A38,[1]Backup!AJ:AJ,[1]Backup!L:L)</f>
        <v>210.52</v>
      </c>
      <c r="D38">
        <f>_xlfn.XLOOKUP(Recon!A38,[1]Backup!AJ:AJ,[1]Backup!K:K)</f>
        <v>7.15768</v>
      </c>
      <c r="E38">
        <f>SUMIF('[1]PO Report'!A:A,Recon!A38,'[1]PO Report'!P:P)</f>
        <v>83</v>
      </c>
      <c r="F38">
        <f>VLOOKUP(A38,'[1]PO Report'!$A:$Z,15,0)</f>
        <v>210.52</v>
      </c>
      <c r="H38">
        <f t="shared" si="0"/>
        <v>0</v>
      </c>
      <c r="J38">
        <f t="shared" si="1"/>
        <v>0</v>
      </c>
    </row>
    <row r="39" spans="1:10" x14ac:dyDescent="0.25">
      <c r="A39" t="s">
        <v>935</v>
      </c>
      <c r="B39">
        <v>24</v>
      </c>
      <c r="C39">
        <f>_xlfn.XLOOKUP(Recon!A39,[1]Backup!AJ:AJ,[1]Backup!L:L)</f>
        <v>20.5</v>
      </c>
      <c r="D39">
        <f>_xlfn.XLOOKUP(Recon!A39,[1]Backup!AJ:AJ,[1]Backup!K:K)</f>
        <v>0.69700000000000006</v>
      </c>
      <c r="E39">
        <f>SUMIF('[1]PO Report'!A:A,Recon!A39,'[1]PO Report'!P:P)</f>
        <v>24</v>
      </c>
      <c r="F39">
        <f>VLOOKUP(A39,'[1]PO Report'!$A:$Z,15,0)</f>
        <v>20.5</v>
      </c>
      <c r="H39">
        <f t="shared" si="0"/>
        <v>0</v>
      </c>
      <c r="J39">
        <f t="shared" si="1"/>
        <v>0</v>
      </c>
    </row>
    <row r="40" spans="1:10" x14ac:dyDescent="0.25">
      <c r="A40" t="s">
        <v>936</v>
      </c>
      <c r="B40">
        <v>20</v>
      </c>
      <c r="C40">
        <f>_xlfn.XLOOKUP(Recon!A40,[1]Backup!AJ:AJ,[1]Backup!L:L)</f>
        <v>14.64</v>
      </c>
      <c r="D40">
        <f>_xlfn.XLOOKUP(Recon!A40,[1]Backup!AJ:AJ,[1]Backup!K:K)</f>
        <v>0.49775999999999998</v>
      </c>
      <c r="E40">
        <f>SUMIF('[1]PO Report'!A:A,Recon!A40,'[1]PO Report'!P:P)</f>
        <v>20</v>
      </c>
      <c r="F40">
        <f>VLOOKUP(A40,'[1]PO Report'!$A:$Z,15,0)</f>
        <v>14.64</v>
      </c>
      <c r="H40">
        <f t="shared" si="0"/>
        <v>0</v>
      </c>
      <c r="J40">
        <f t="shared" si="1"/>
        <v>0</v>
      </c>
    </row>
    <row r="41" spans="1:10" x14ac:dyDescent="0.25">
      <c r="A41" t="s">
        <v>937</v>
      </c>
      <c r="B41">
        <v>4</v>
      </c>
      <c r="C41">
        <f>_xlfn.XLOOKUP(Recon!A41,[1]Backup!AJ:AJ,[1]Backup!L:L)</f>
        <v>42.2</v>
      </c>
      <c r="D41">
        <f>_xlfn.XLOOKUP(Recon!A41,[1]Backup!AJ:AJ,[1]Backup!K:K)</f>
        <v>1.4348000000000001</v>
      </c>
      <c r="E41">
        <f>SUMIF('[1]PO Report'!A:A,Recon!A41,'[1]PO Report'!P:P)</f>
        <v>4</v>
      </c>
      <c r="F41">
        <f>VLOOKUP(A41,'[1]PO Report'!$A:$Z,15,0)</f>
        <v>42.2</v>
      </c>
      <c r="H41">
        <f t="shared" si="0"/>
        <v>0</v>
      </c>
      <c r="J41">
        <f t="shared" si="1"/>
        <v>0</v>
      </c>
    </row>
    <row r="42" spans="1:10" x14ac:dyDescent="0.25">
      <c r="A42" t="s">
        <v>938</v>
      </c>
      <c r="B42">
        <v>36</v>
      </c>
      <c r="C42">
        <f>_xlfn.XLOOKUP(Recon!A42,[1]Backup!AJ:AJ,[1]Backup!L:L)</f>
        <v>75.410000000000011</v>
      </c>
      <c r="D42">
        <f>_xlfn.XLOOKUP(Recon!A42,[1]Backup!AJ:AJ,[1]Backup!K:K)</f>
        <v>2.5639400000000001</v>
      </c>
      <c r="E42">
        <f>SUMIF('[1]PO Report'!A:A,Recon!A42,'[1]PO Report'!P:P)</f>
        <v>36</v>
      </c>
      <c r="F42">
        <f>VLOOKUP(A42,'[1]PO Report'!$A:$Z,15,0)</f>
        <v>75.41</v>
      </c>
      <c r="H42">
        <f t="shared" si="0"/>
        <v>0</v>
      </c>
      <c r="J42">
        <f t="shared" si="1"/>
        <v>0</v>
      </c>
    </row>
    <row r="43" spans="1:10" x14ac:dyDescent="0.25">
      <c r="A43" t="s">
        <v>939</v>
      </c>
      <c r="B43">
        <v>4</v>
      </c>
      <c r="C43">
        <f>_xlfn.XLOOKUP(Recon!A43,[1]Backup!AJ:AJ,[1]Backup!L:L)</f>
        <v>131.38</v>
      </c>
      <c r="D43">
        <f>_xlfn.XLOOKUP(Recon!A43,[1]Backup!AJ:AJ,[1]Backup!K:K)</f>
        <v>4.46692</v>
      </c>
      <c r="E43">
        <f>SUMIF('[1]PO Report'!A:A,Recon!A43,'[1]PO Report'!P:P)</f>
        <v>4</v>
      </c>
      <c r="F43">
        <f>VLOOKUP(A43,'[1]PO Report'!$A:$Z,15,0)</f>
        <v>131.38</v>
      </c>
      <c r="H43">
        <f t="shared" si="0"/>
        <v>0</v>
      </c>
      <c r="J43">
        <f t="shared" si="1"/>
        <v>0</v>
      </c>
    </row>
    <row r="44" spans="1:10" x14ac:dyDescent="0.25">
      <c r="A44" t="s">
        <v>940</v>
      </c>
      <c r="B44">
        <v>80</v>
      </c>
      <c r="C44">
        <f>_xlfn.XLOOKUP(Recon!A44,[1]Backup!AJ:AJ,[1]Backup!L:L)</f>
        <v>42.199999999999996</v>
      </c>
      <c r="D44">
        <f>_xlfn.XLOOKUP(Recon!A44,[1]Backup!AJ:AJ,[1]Backup!K:K)</f>
        <v>1.4348000000000001</v>
      </c>
      <c r="E44">
        <f>SUMIF('[1]PO Report'!A:A,Recon!A44,'[1]PO Report'!P:P)</f>
        <v>80</v>
      </c>
      <c r="F44">
        <f>VLOOKUP(A44,'[1]PO Report'!$A:$Z,15,0)</f>
        <v>42.2</v>
      </c>
      <c r="H44">
        <f t="shared" si="0"/>
        <v>0</v>
      </c>
      <c r="J44">
        <f t="shared" si="1"/>
        <v>0</v>
      </c>
    </row>
    <row r="45" spans="1:10" x14ac:dyDescent="0.25">
      <c r="A45" t="s">
        <v>941</v>
      </c>
      <c r="B45">
        <v>380</v>
      </c>
      <c r="C45">
        <f>_xlfn.XLOOKUP(Recon!A45,[1]Backup!AJ:AJ,[1]Backup!L:L)</f>
        <v>29.28</v>
      </c>
      <c r="D45">
        <f>_xlfn.XLOOKUP(Recon!A45,[1]Backup!AJ:AJ,[1]Backup!K:K)</f>
        <v>0.99551999999999996</v>
      </c>
      <c r="E45">
        <f>SUMIF('[1]PO Report'!A:A,Recon!A45,'[1]PO Report'!P:P)</f>
        <v>388</v>
      </c>
      <c r="F45">
        <f>VLOOKUP(A45,'[1]PO Report'!$A:$Z,15,0)</f>
        <v>29.28</v>
      </c>
      <c r="H45">
        <f t="shared" si="0"/>
        <v>-8</v>
      </c>
      <c r="J45">
        <f t="shared" si="1"/>
        <v>0</v>
      </c>
    </row>
    <row r="46" spans="1:10" x14ac:dyDescent="0.25">
      <c r="A46" t="s">
        <v>942</v>
      </c>
      <c r="B46">
        <v>4</v>
      </c>
      <c r="C46">
        <f>_xlfn.XLOOKUP(Recon!A46,[1]Backup!AJ:AJ,[1]Backup!L:L)</f>
        <v>87.84</v>
      </c>
      <c r="D46">
        <f>_xlfn.XLOOKUP(Recon!A46,[1]Backup!AJ:AJ,[1]Backup!K:K)</f>
        <v>2.9865599999999999</v>
      </c>
      <c r="E46">
        <f>SUMIF('[1]PO Report'!A:A,Recon!A46,'[1]PO Report'!P:P)</f>
        <v>4</v>
      </c>
      <c r="F46">
        <f>VLOOKUP(A46,'[1]PO Report'!$A:$Z,15,0)</f>
        <v>87.84</v>
      </c>
      <c r="H46">
        <f t="shared" si="0"/>
        <v>0</v>
      </c>
      <c r="J46">
        <f t="shared" si="1"/>
        <v>0</v>
      </c>
    </row>
    <row r="47" spans="1:10" x14ac:dyDescent="0.25">
      <c r="A47" t="s">
        <v>943</v>
      </c>
      <c r="B47">
        <v>8</v>
      </c>
      <c r="C47">
        <f>_xlfn.XLOOKUP(Recon!A47,[1]Backup!AJ:AJ,[1]Backup!L:L)</f>
        <v>53.51</v>
      </c>
      <c r="D47">
        <f>_xlfn.XLOOKUP(Recon!A47,[1]Backup!AJ:AJ,[1]Backup!K:K)</f>
        <v>1.81934</v>
      </c>
      <c r="E47">
        <f>SUMIF('[1]PO Report'!A:A,Recon!A47,'[1]PO Report'!P:P)</f>
        <v>8</v>
      </c>
      <c r="F47">
        <f>VLOOKUP(A47,'[1]PO Report'!$A:$Z,15,0)</f>
        <v>53.51</v>
      </c>
      <c r="H47">
        <f t="shared" si="0"/>
        <v>0</v>
      </c>
      <c r="J47">
        <f t="shared" si="1"/>
        <v>0</v>
      </c>
    </row>
    <row r="48" spans="1:10" x14ac:dyDescent="0.25">
      <c r="A48" t="s">
        <v>944</v>
      </c>
      <c r="B48">
        <v>4</v>
      </c>
      <c r="C48">
        <f>_xlfn.XLOOKUP(Recon!A48,[1]Backup!AJ:AJ,[1]Backup!L:L)</f>
        <v>31.65</v>
      </c>
      <c r="D48">
        <f>_xlfn.XLOOKUP(Recon!A48,[1]Backup!AJ:AJ,[1]Backup!K:K)</f>
        <v>1.0761000000000001</v>
      </c>
      <c r="E48">
        <f>SUMIF('[1]PO Report'!A:A,Recon!A48,'[1]PO Report'!P:P)</f>
        <v>4</v>
      </c>
      <c r="F48">
        <f>VLOOKUP(A48,'[1]PO Report'!$A:$Z,15,0)</f>
        <v>31.65</v>
      </c>
      <c r="H48">
        <f t="shared" si="0"/>
        <v>0</v>
      </c>
      <c r="J48">
        <f t="shared" si="1"/>
        <v>0</v>
      </c>
    </row>
    <row r="49" spans="1:10" x14ac:dyDescent="0.25">
      <c r="A49" t="s">
        <v>945</v>
      </c>
      <c r="B49">
        <v>36</v>
      </c>
      <c r="C49">
        <f>_xlfn.XLOOKUP(Recon!A49,[1]Backup!AJ:AJ,[1]Backup!L:L)</f>
        <v>36.93</v>
      </c>
      <c r="D49">
        <f>_xlfn.XLOOKUP(Recon!A49,[1]Backup!AJ:AJ,[1]Backup!K:K)</f>
        <v>1.25562</v>
      </c>
      <c r="E49">
        <f>SUMIF('[1]PO Report'!A:A,Recon!A49,'[1]PO Report'!P:P)</f>
        <v>36</v>
      </c>
      <c r="F49">
        <f>VLOOKUP(A49,'[1]PO Report'!$A:$Z,15,0)</f>
        <v>36.93</v>
      </c>
      <c r="H49">
        <f t="shared" si="0"/>
        <v>0</v>
      </c>
      <c r="J49">
        <f t="shared" si="1"/>
        <v>0</v>
      </c>
    </row>
    <row r="50" spans="1:10" x14ac:dyDescent="0.25">
      <c r="A50" t="s">
        <v>946</v>
      </c>
      <c r="B50">
        <v>20</v>
      </c>
      <c r="C50">
        <f>_xlfn.XLOOKUP(Recon!A50,[1]Backup!AJ:AJ,[1]Backup!L:L)</f>
        <v>11.709999999999999</v>
      </c>
      <c r="D50">
        <f>_xlfn.XLOOKUP(Recon!A50,[1]Backup!AJ:AJ,[1]Backup!K:K)</f>
        <v>0.39813999999999999</v>
      </c>
      <c r="E50">
        <f>SUMIF('[1]PO Report'!A:A,Recon!A50,'[1]PO Report'!P:P)</f>
        <v>20</v>
      </c>
      <c r="F50">
        <f>VLOOKUP(A50,'[1]PO Report'!$A:$Z,15,0)</f>
        <v>11.71</v>
      </c>
      <c r="H50">
        <f t="shared" si="0"/>
        <v>0</v>
      </c>
      <c r="J50">
        <f t="shared" si="1"/>
        <v>0</v>
      </c>
    </row>
    <row r="51" spans="1:10" x14ac:dyDescent="0.25">
      <c r="A51" t="s">
        <v>947</v>
      </c>
      <c r="B51">
        <v>164</v>
      </c>
      <c r="C51">
        <f>_xlfn.XLOOKUP(Recon!A51,[1]Backup!AJ:AJ,[1]Backup!L:L)</f>
        <v>26.349999999999998</v>
      </c>
      <c r="D51">
        <f>_xlfn.XLOOKUP(Recon!A51,[1]Backup!AJ:AJ,[1]Backup!K:K)</f>
        <v>0.89590000000000003</v>
      </c>
      <c r="E51">
        <f>SUMIF('[1]PO Report'!A:A,Recon!A51,'[1]PO Report'!P:P)</f>
        <v>160</v>
      </c>
      <c r="F51">
        <f>VLOOKUP(A51,'[1]PO Report'!$A:$Z,15,0)</f>
        <v>26.35</v>
      </c>
      <c r="H51">
        <f t="shared" si="0"/>
        <v>4</v>
      </c>
      <c r="I51">
        <f>H51*D51</f>
        <v>3.5836000000000001</v>
      </c>
      <c r="J51">
        <f t="shared" si="1"/>
        <v>0</v>
      </c>
    </row>
    <row r="52" spans="1:10" x14ac:dyDescent="0.25">
      <c r="A52" t="s">
        <v>948</v>
      </c>
      <c r="B52">
        <v>16</v>
      </c>
      <c r="C52">
        <f>_xlfn.XLOOKUP(Recon!A52,[1]Backup!AJ:AJ,[1]Backup!L:L)</f>
        <v>35.130000000000003</v>
      </c>
      <c r="D52">
        <f>_xlfn.XLOOKUP(Recon!A52,[1]Backup!AJ:AJ,[1]Backup!K:K)</f>
        <v>1.19442</v>
      </c>
      <c r="E52">
        <f>SUMIF('[1]PO Report'!A:A,Recon!A52,'[1]PO Report'!P:P)</f>
        <v>16</v>
      </c>
      <c r="F52">
        <f>VLOOKUP(A52,'[1]PO Report'!$A:$Z,15,0)</f>
        <v>35.130000000000003</v>
      </c>
      <c r="H52">
        <f t="shared" si="0"/>
        <v>0</v>
      </c>
      <c r="J52">
        <f t="shared" si="1"/>
        <v>0</v>
      </c>
    </row>
    <row r="53" spans="1:10" x14ac:dyDescent="0.25">
      <c r="A53" t="s">
        <v>949</v>
      </c>
      <c r="B53">
        <v>8</v>
      </c>
      <c r="C53">
        <f>_xlfn.XLOOKUP(Recon!A53,[1]Backup!AJ:AJ,[1]Backup!L:L)</f>
        <v>18.46</v>
      </c>
      <c r="D53">
        <f>_xlfn.XLOOKUP(Recon!A53,[1]Backup!AJ:AJ,[1]Backup!K:K)</f>
        <v>0.62763999999999998</v>
      </c>
      <c r="E53">
        <f>SUMIF('[1]PO Report'!A:A,Recon!A53,'[1]PO Report'!P:P)</f>
        <v>8</v>
      </c>
      <c r="F53">
        <f>VLOOKUP(A53,'[1]PO Report'!$A:$Z,15,0)</f>
        <v>18.46</v>
      </c>
      <c r="H53">
        <f t="shared" si="0"/>
        <v>0</v>
      </c>
      <c r="J53">
        <f t="shared" si="1"/>
        <v>0</v>
      </c>
    </row>
    <row r="54" spans="1:10" x14ac:dyDescent="0.25">
      <c r="A54" t="s">
        <v>950</v>
      </c>
      <c r="B54">
        <v>28</v>
      </c>
      <c r="C54">
        <f>_xlfn.XLOOKUP(Recon!A54,[1]Backup!AJ:AJ,[1]Backup!L:L)</f>
        <v>14.64</v>
      </c>
      <c r="D54">
        <f>_xlfn.XLOOKUP(Recon!A54,[1]Backup!AJ:AJ,[1]Backup!K:K)</f>
        <v>0.49775999999999998</v>
      </c>
      <c r="E54">
        <f>SUMIF('[1]PO Report'!A:A,Recon!A54,'[1]PO Report'!P:P)</f>
        <v>28</v>
      </c>
      <c r="F54">
        <f>VLOOKUP(A54,'[1]PO Report'!$A:$Z,15,0)</f>
        <v>14.64</v>
      </c>
      <c r="H54">
        <f t="shared" si="0"/>
        <v>0</v>
      </c>
      <c r="J54">
        <f t="shared" si="1"/>
        <v>0</v>
      </c>
    </row>
    <row r="55" spans="1:10" x14ac:dyDescent="0.25">
      <c r="A55" t="s">
        <v>951</v>
      </c>
      <c r="B55">
        <v>16</v>
      </c>
      <c r="C55">
        <f>_xlfn.XLOOKUP(Recon!A55,[1]Backup!AJ:AJ,[1]Backup!L:L)</f>
        <v>11.71</v>
      </c>
      <c r="D55">
        <f>_xlfn.XLOOKUP(Recon!A55,[1]Backup!AJ:AJ,[1]Backup!K:K)</f>
        <v>0.39813999999999999</v>
      </c>
      <c r="E55">
        <f>SUMIF('[1]PO Report'!A:A,Recon!A55,'[1]PO Report'!P:P)</f>
        <v>16</v>
      </c>
      <c r="F55">
        <f>VLOOKUP(A55,'[1]PO Report'!$A:$Z,15,0)</f>
        <v>11.71</v>
      </c>
      <c r="H55">
        <f t="shared" si="0"/>
        <v>0</v>
      </c>
      <c r="J55">
        <f t="shared" si="1"/>
        <v>0</v>
      </c>
    </row>
    <row r="56" spans="1:10" x14ac:dyDescent="0.25">
      <c r="A56" t="s">
        <v>952</v>
      </c>
      <c r="B56">
        <v>300</v>
      </c>
      <c r="C56">
        <f>_xlfn.XLOOKUP(Recon!A56,[1]Backup!AJ:AJ,[1]Backup!L:L)</f>
        <v>8.7799999999999994</v>
      </c>
      <c r="D56">
        <f>_xlfn.XLOOKUP(Recon!A56,[1]Backup!AJ:AJ,[1]Backup!K:K)</f>
        <v>0.29852000000000001</v>
      </c>
      <c r="E56">
        <f>SUMIF('[1]PO Report'!A:A,Recon!A56,'[1]PO Report'!P:P)</f>
        <v>300</v>
      </c>
      <c r="F56">
        <f>VLOOKUP(A56,'[1]PO Report'!$A:$Z,15,0)</f>
        <v>8.7799999999999994</v>
      </c>
      <c r="H56">
        <f t="shared" si="0"/>
        <v>0</v>
      </c>
      <c r="J56">
        <f t="shared" si="1"/>
        <v>0</v>
      </c>
    </row>
    <row r="57" spans="1:10" x14ac:dyDescent="0.25">
      <c r="A57" t="s">
        <v>953</v>
      </c>
      <c r="B57">
        <v>12</v>
      </c>
      <c r="C57">
        <f>_xlfn.XLOOKUP(Recon!A57,[1]Backup!AJ:AJ,[1]Backup!L:L)</f>
        <v>21.099999999999998</v>
      </c>
      <c r="D57">
        <f>_xlfn.XLOOKUP(Recon!A57,[1]Backup!AJ:AJ,[1]Backup!K:K)</f>
        <v>0.71740000000000004</v>
      </c>
      <c r="E57">
        <f>SUMIF('[1]PO Report'!A:A,Recon!A57,'[1]PO Report'!P:P)</f>
        <v>12</v>
      </c>
      <c r="F57">
        <f>VLOOKUP(A57,'[1]PO Report'!$A:$Z,15,0)</f>
        <v>21.1</v>
      </c>
      <c r="H57">
        <f t="shared" si="0"/>
        <v>0</v>
      </c>
      <c r="J57">
        <f t="shared" si="1"/>
        <v>0</v>
      </c>
    </row>
    <row r="58" spans="1:10" x14ac:dyDescent="0.25">
      <c r="A58" t="s">
        <v>954</v>
      </c>
      <c r="B58">
        <v>12</v>
      </c>
      <c r="C58">
        <f>_xlfn.XLOOKUP(Recon!A58,[1]Backup!AJ:AJ,[1]Backup!L:L)</f>
        <v>10.549999999999999</v>
      </c>
      <c r="D58">
        <f>_xlfn.XLOOKUP(Recon!A58,[1]Backup!AJ:AJ,[1]Backup!K:K)</f>
        <v>0.35870000000000002</v>
      </c>
      <c r="E58">
        <f>SUMIF('[1]PO Report'!A:A,Recon!A58,'[1]PO Report'!P:P)</f>
        <v>12</v>
      </c>
      <c r="F58">
        <f>VLOOKUP(A58,'[1]PO Report'!$A:$Z,15,0)</f>
        <v>10.55</v>
      </c>
      <c r="H58">
        <f t="shared" si="0"/>
        <v>0</v>
      </c>
      <c r="J58">
        <f t="shared" si="1"/>
        <v>0</v>
      </c>
    </row>
    <row r="59" spans="1:10" x14ac:dyDescent="0.25">
      <c r="A59" t="s">
        <v>955</v>
      </c>
      <c r="B59">
        <v>16</v>
      </c>
      <c r="C59">
        <f>_xlfn.XLOOKUP(Recon!A59,[1]Backup!AJ:AJ,[1]Backup!L:L)</f>
        <v>78.62</v>
      </c>
      <c r="D59">
        <f>_xlfn.XLOOKUP(Recon!A59,[1]Backup!AJ:AJ,[1]Backup!K:K)</f>
        <v>2.6730800000000001</v>
      </c>
      <c r="E59">
        <f>SUMIF('[1]PO Report'!A:A,Recon!A59,'[1]PO Report'!P:P)</f>
        <v>16</v>
      </c>
      <c r="F59">
        <f>VLOOKUP(A59,'[1]PO Report'!$A:$Z,15,0)</f>
        <v>78.62</v>
      </c>
      <c r="H59">
        <f t="shared" si="0"/>
        <v>0</v>
      </c>
      <c r="J59">
        <f t="shared" si="1"/>
        <v>0</v>
      </c>
    </row>
    <row r="60" spans="1:10" x14ac:dyDescent="0.25">
      <c r="A60" t="s">
        <v>956</v>
      </c>
      <c r="B60">
        <v>64</v>
      </c>
      <c r="C60">
        <f>_xlfn.XLOOKUP(Recon!A60,[1]Backup!AJ:AJ,[1]Backup!L:L)</f>
        <v>26.37</v>
      </c>
      <c r="D60">
        <f>_xlfn.XLOOKUP(Recon!A60,[1]Backup!AJ:AJ,[1]Backup!K:K)</f>
        <v>0.89658000000000004</v>
      </c>
      <c r="E60">
        <f>SUMIF('[1]PO Report'!A:A,Recon!A60,'[1]PO Report'!P:P)</f>
        <v>64</v>
      </c>
      <c r="F60">
        <f>VLOOKUP(A60,'[1]PO Report'!$A:$Z,15,0)</f>
        <v>26.37</v>
      </c>
      <c r="H60">
        <f t="shared" si="0"/>
        <v>0</v>
      </c>
      <c r="J60">
        <f t="shared" si="1"/>
        <v>0</v>
      </c>
    </row>
    <row r="61" spans="1:10" x14ac:dyDescent="0.25">
      <c r="A61" t="s">
        <v>957</v>
      </c>
      <c r="B61">
        <v>36</v>
      </c>
      <c r="C61">
        <f>_xlfn.XLOOKUP(Recon!A61,[1]Backup!AJ:AJ,[1]Backup!L:L)</f>
        <v>26.37</v>
      </c>
      <c r="D61">
        <f>_xlfn.XLOOKUP(Recon!A61,[1]Backup!AJ:AJ,[1]Backup!K:K)</f>
        <v>0.89657999999999993</v>
      </c>
      <c r="E61">
        <f>SUMIF('[1]PO Report'!A:A,Recon!A61,'[1]PO Report'!P:P)</f>
        <v>36</v>
      </c>
      <c r="F61">
        <f>VLOOKUP(A61,'[1]PO Report'!$A:$Z,15,0)</f>
        <v>26.37</v>
      </c>
      <c r="H61">
        <f t="shared" si="0"/>
        <v>0</v>
      </c>
      <c r="J61">
        <f t="shared" si="1"/>
        <v>0</v>
      </c>
    </row>
    <row r="62" spans="1:10" x14ac:dyDescent="0.25">
      <c r="A62" t="s">
        <v>958</v>
      </c>
      <c r="B62">
        <v>12</v>
      </c>
      <c r="C62">
        <f>_xlfn.XLOOKUP(Recon!A62,[1]Backup!AJ:AJ,[1]Backup!L:L)</f>
        <v>69.61</v>
      </c>
      <c r="D62">
        <f>_xlfn.XLOOKUP(Recon!A62,[1]Backup!AJ:AJ,[1]Backup!K:K)</f>
        <v>2.3667400000000001</v>
      </c>
      <c r="E62">
        <f>SUMIF('[1]PO Report'!A:A,Recon!A62,'[1]PO Report'!P:P)</f>
        <v>12</v>
      </c>
      <c r="F62">
        <f>VLOOKUP(A62,'[1]PO Report'!$A:$Z,15,0)</f>
        <v>69.61</v>
      </c>
      <c r="H62">
        <f t="shared" si="0"/>
        <v>0</v>
      </c>
      <c r="J62">
        <f t="shared" si="1"/>
        <v>0</v>
      </c>
    </row>
    <row r="63" spans="1:10" x14ac:dyDescent="0.25">
      <c r="A63" t="s">
        <v>959</v>
      </c>
      <c r="B63">
        <v>544</v>
      </c>
      <c r="C63">
        <f>_xlfn.XLOOKUP(Recon!A63,[1]Backup!AJ:AJ,[1]Backup!L:L)</f>
        <v>58</v>
      </c>
      <c r="D63">
        <f>_xlfn.XLOOKUP(Recon!A63,[1]Backup!AJ:AJ,[1]Backup!K:K)</f>
        <v>1.972</v>
      </c>
      <c r="E63">
        <f>SUMIF('[1]PO Report'!A:A,Recon!A63,'[1]PO Report'!P:P)</f>
        <v>544</v>
      </c>
      <c r="F63">
        <f>VLOOKUP(A63,'[1]PO Report'!$A:$Z,15,0)</f>
        <v>58</v>
      </c>
      <c r="H63">
        <f t="shared" si="0"/>
        <v>0</v>
      </c>
      <c r="J63">
        <f t="shared" si="1"/>
        <v>0</v>
      </c>
    </row>
    <row r="64" spans="1:10" x14ac:dyDescent="0.25">
      <c r="A64" t="s">
        <v>960</v>
      </c>
      <c r="B64">
        <v>12</v>
      </c>
      <c r="C64">
        <f>_xlfn.XLOOKUP(Recon!A64,[1]Backup!AJ:AJ,[1]Backup!L:L)</f>
        <v>31.65</v>
      </c>
      <c r="D64">
        <f>_xlfn.XLOOKUP(Recon!A64,[1]Backup!AJ:AJ,[1]Backup!K:K)</f>
        <v>1.0761000000000001</v>
      </c>
      <c r="E64">
        <f>SUMIF('[1]PO Report'!A:A,Recon!A64,'[1]PO Report'!P:P)</f>
        <v>8</v>
      </c>
      <c r="F64">
        <f>VLOOKUP(A64,'[1]PO Report'!$A:$Z,15,0)</f>
        <v>31.65</v>
      </c>
      <c r="H64">
        <f t="shared" si="0"/>
        <v>4</v>
      </c>
      <c r="I64">
        <f>H64*D64</f>
        <v>4.3044000000000002</v>
      </c>
      <c r="J64">
        <f t="shared" si="1"/>
        <v>0</v>
      </c>
    </row>
    <row r="65" spans="1:10" x14ac:dyDescent="0.25">
      <c r="A65" t="s">
        <v>961</v>
      </c>
      <c r="B65">
        <v>8</v>
      </c>
      <c r="C65">
        <f>_xlfn.XLOOKUP(Recon!A65,[1]Backup!AJ:AJ,[1]Backup!L:L)</f>
        <v>78.62</v>
      </c>
      <c r="D65">
        <f>_xlfn.XLOOKUP(Recon!A65,[1]Backup!AJ:AJ,[1]Backup!K:K)</f>
        <v>2.6730800000000001</v>
      </c>
      <c r="E65">
        <f>SUMIF('[1]PO Report'!A:A,Recon!A65,'[1]PO Report'!P:P)</f>
        <v>8</v>
      </c>
      <c r="F65">
        <f>VLOOKUP(A65,'[1]PO Report'!$A:$Z,15,0)</f>
        <v>78.62</v>
      </c>
      <c r="H65">
        <f t="shared" si="0"/>
        <v>0</v>
      </c>
      <c r="J65">
        <f t="shared" si="1"/>
        <v>0</v>
      </c>
    </row>
    <row r="66" spans="1:10" x14ac:dyDescent="0.25">
      <c r="A66" t="s">
        <v>962</v>
      </c>
      <c r="B66">
        <v>88</v>
      </c>
      <c r="C66">
        <f>_xlfn.XLOOKUP(Recon!A66,[1]Backup!AJ:AJ,[1]Backup!L:L)</f>
        <v>92.24</v>
      </c>
      <c r="D66">
        <f>_xlfn.XLOOKUP(Recon!A66,[1]Backup!AJ:AJ,[1]Backup!K:K)</f>
        <v>3.1361599999999998</v>
      </c>
      <c r="E66">
        <f>SUMIF('[1]PO Report'!A:A,Recon!A66,'[1]PO Report'!P:P)</f>
        <v>88</v>
      </c>
      <c r="F66">
        <f>VLOOKUP(A66,'[1]PO Report'!$A:$Z,15,0)</f>
        <v>92.24</v>
      </c>
      <c r="H66">
        <f t="shared" si="0"/>
        <v>0</v>
      </c>
      <c r="J66">
        <f t="shared" si="1"/>
        <v>0</v>
      </c>
    </row>
    <row r="67" spans="1:10" x14ac:dyDescent="0.25">
      <c r="A67" t="s">
        <v>963</v>
      </c>
      <c r="B67">
        <v>24</v>
      </c>
      <c r="C67">
        <f>_xlfn.XLOOKUP(Recon!A67,[1]Backup!AJ:AJ,[1]Backup!L:L)</f>
        <v>92.240000000000009</v>
      </c>
      <c r="D67">
        <f>_xlfn.XLOOKUP(Recon!A67,[1]Backup!AJ:AJ,[1]Backup!K:K)</f>
        <v>3.1361600000000003</v>
      </c>
      <c r="E67">
        <f>SUMIF('[1]PO Report'!A:A,Recon!A67,'[1]PO Report'!P:P)</f>
        <v>24</v>
      </c>
      <c r="F67">
        <f>VLOOKUP(A67,'[1]PO Report'!$A:$Z,15,0)</f>
        <v>92.24</v>
      </c>
      <c r="H67">
        <f t="shared" si="0"/>
        <v>0</v>
      </c>
      <c r="J67">
        <f t="shared" si="1"/>
        <v>0</v>
      </c>
    </row>
    <row r="68" spans="1:10" x14ac:dyDescent="0.25">
      <c r="A68" t="s">
        <v>964</v>
      </c>
      <c r="B68">
        <v>8</v>
      </c>
      <c r="C68">
        <f>_xlfn.XLOOKUP(Recon!A68,[1]Backup!AJ:AJ,[1]Backup!L:L)</f>
        <v>41.49</v>
      </c>
      <c r="D68">
        <f>_xlfn.XLOOKUP(Recon!A68,[1]Backup!AJ:AJ,[1]Backup!K:K)</f>
        <v>1.41066</v>
      </c>
      <c r="E68">
        <f>SUMIF('[1]PO Report'!A:A,Recon!A68,'[1]PO Report'!P:P)</f>
        <v>8</v>
      </c>
      <c r="F68">
        <f>VLOOKUP(A68,'[1]PO Report'!$A:$Z,15,0)</f>
        <v>41.49</v>
      </c>
      <c r="H68">
        <f t="shared" ref="H68:H131" si="2">B68-E68</f>
        <v>0</v>
      </c>
      <c r="J68">
        <f t="shared" ref="J68:J131" si="3">C68-F68</f>
        <v>0</v>
      </c>
    </row>
    <row r="69" spans="1:10" x14ac:dyDescent="0.25">
      <c r="A69" t="s">
        <v>965</v>
      </c>
      <c r="B69">
        <v>12</v>
      </c>
      <c r="C69">
        <f>_xlfn.XLOOKUP(Recon!A69,[1]Backup!AJ:AJ,[1]Backup!L:L)</f>
        <v>41.49</v>
      </c>
      <c r="D69">
        <f>_xlfn.XLOOKUP(Recon!A69,[1]Backup!AJ:AJ,[1]Backup!K:K)</f>
        <v>1.41066</v>
      </c>
      <c r="E69">
        <f>SUMIF('[1]PO Report'!A:A,Recon!A69,'[1]PO Report'!P:P)</f>
        <v>12</v>
      </c>
      <c r="F69">
        <f>VLOOKUP(A69,'[1]PO Report'!$A:$Z,15,0)</f>
        <v>41.49</v>
      </c>
      <c r="H69">
        <f t="shared" si="2"/>
        <v>0</v>
      </c>
      <c r="J69">
        <f t="shared" si="3"/>
        <v>0</v>
      </c>
    </row>
    <row r="70" spans="1:10" x14ac:dyDescent="0.25">
      <c r="A70" t="s">
        <v>966</v>
      </c>
      <c r="B70">
        <v>8</v>
      </c>
      <c r="C70">
        <f>_xlfn.XLOOKUP(Recon!A70,[1]Backup!AJ:AJ,[1]Backup!L:L)</f>
        <v>26.37</v>
      </c>
      <c r="D70">
        <f>_xlfn.XLOOKUP(Recon!A70,[1]Backup!AJ:AJ,[1]Backup!K:K)</f>
        <v>0.89658000000000004</v>
      </c>
      <c r="E70">
        <f>SUMIF('[1]PO Report'!A:A,Recon!A70,'[1]PO Report'!P:P)</f>
        <v>8</v>
      </c>
      <c r="F70">
        <f>VLOOKUP(A70,'[1]PO Report'!$A:$Z,15,0)</f>
        <v>26.37</v>
      </c>
      <c r="H70">
        <f t="shared" si="2"/>
        <v>0</v>
      </c>
      <c r="J70">
        <f t="shared" si="3"/>
        <v>0</v>
      </c>
    </row>
    <row r="71" spans="1:10" x14ac:dyDescent="0.25">
      <c r="A71" t="s">
        <v>967</v>
      </c>
      <c r="B71">
        <v>4</v>
      </c>
      <c r="C71">
        <f>_xlfn.XLOOKUP(Recon!A71,[1]Backup!AJ:AJ,[1]Backup!L:L)</f>
        <v>41.49</v>
      </c>
      <c r="D71">
        <f>_xlfn.XLOOKUP(Recon!A71,[1]Backup!AJ:AJ,[1]Backup!K:K)</f>
        <v>1.41066</v>
      </c>
      <c r="E71">
        <f>SUMIF('[1]PO Report'!A:A,Recon!A71,'[1]PO Report'!P:P)</f>
        <v>4</v>
      </c>
      <c r="F71">
        <f>VLOOKUP(A71,'[1]PO Report'!$A:$Z,15,0)</f>
        <v>41.49</v>
      </c>
      <c r="H71">
        <f t="shared" si="2"/>
        <v>0</v>
      </c>
      <c r="J71">
        <f t="shared" si="3"/>
        <v>0</v>
      </c>
    </row>
    <row r="72" spans="1:10" x14ac:dyDescent="0.25">
      <c r="A72" t="s">
        <v>968</v>
      </c>
      <c r="B72">
        <v>148</v>
      </c>
      <c r="C72">
        <f>_xlfn.XLOOKUP(Recon!A72,[1]Backup!AJ:AJ,[1]Backup!L:L)</f>
        <v>36.93</v>
      </c>
      <c r="D72">
        <f>_xlfn.XLOOKUP(Recon!A72,[1]Backup!AJ:AJ,[1]Backup!K:K)</f>
        <v>1.25562</v>
      </c>
      <c r="E72">
        <f>SUMIF('[1]PO Report'!A:A,Recon!A72,'[1]PO Report'!P:P)</f>
        <v>148</v>
      </c>
      <c r="F72">
        <f>VLOOKUP(A72,'[1]PO Report'!$A:$Z,15,0)</f>
        <v>36.93</v>
      </c>
      <c r="H72">
        <f t="shared" si="2"/>
        <v>0</v>
      </c>
      <c r="J72">
        <f t="shared" si="3"/>
        <v>0</v>
      </c>
    </row>
    <row r="73" spans="1:10" x14ac:dyDescent="0.25">
      <c r="A73" t="s">
        <v>969</v>
      </c>
      <c r="B73">
        <v>436</v>
      </c>
      <c r="C73">
        <f>_xlfn.XLOOKUP(Recon!A73,[1]Backup!AJ:AJ,[1]Backup!L:L)</f>
        <v>75.41</v>
      </c>
      <c r="D73">
        <f>_xlfn.XLOOKUP(Recon!A73,[1]Backup!AJ:AJ,[1]Backup!K:K)</f>
        <v>2.5639400000000001</v>
      </c>
      <c r="E73">
        <f>SUMIF('[1]PO Report'!A:A,Recon!A73,'[1]PO Report'!P:P)</f>
        <v>432</v>
      </c>
      <c r="F73">
        <f>VLOOKUP(A73,'[1]PO Report'!$A:$Z,15,0)</f>
        <v>75.41</v>
      </c>
      <c r="H73">
        <f t="shared" si="2"/>
        <v>4</v>
      </c>
      <c r="I73">
        <f>H73*D73</f>
        <v>10.25576</v>
      </c>
      <c r="J73">
        <f t="shared" si="3"/>
        <v>0</v>
      </c>
    </row>
    <row r="74" spans="1:10" x14ac:dyDescent="0.25">
      <c r="A74" t="s">
        <v>970</v>
      </c>
      <c r="B74">
        <v>4</v>
      </c>
      <c r="C74">
        <f>_xlfn.XLOOKUP(Recon!A74,[1]Backup!AJ:AJ,[1]Backup!L:L)</f>
        <v>36.93</v>
      </c>
      <c r="D74">
        <f>_xlfn.XLOOKUP(Recon!A74,[1]Backup!AJ:AJ,[1]Backup!K:K)</f>
        <v>1.25562</v>
      </c>
      <c r="E74">
        <f>SUMIF('[1]PO Report'!A:A,Recon!A74,'[1]PO Report'!P:P)</f>
        <v>4</v>
      </c>
      <c r="F74">
        <f>VLOOKUP(A74,'[1]PO Report'!$A:$Z,15,0)</f>
        <v>36.93</v>
      </c>
      <c r="H74">
        <f t="shared" si="2"/>
        <v>0</v>
      </c>
      <c r="J74">
        <f t="shared" si="3"/>
        <v>0</v>
      </c>
    </row>
    <row r="75" spans="1:10" x14ac:dyDescent="0.25">
      <c r="A75" t="s">
        <v>971</v>
      </c>
      <c r="B75">
        <v>141</v>
      </c>
      <c r="C75">
        <f>_xlfn.XLOOKUP(Recon!A75,[1]Backup!AJ:AJ,[1]Backup!L:L)</f>
        <v>210.52</v>
      </c>
      <c r="D75">
        <f>_xlfn.XLOOKUP(Recon!A75,[1]Backup!AJ:AJ,[1]Backup!K:K)</f>
        <v>7.15768</v>
      </c>
      <c r="E75">
        <f>SUMIF('[1]PO Report'!A:A,Recon!A75,'[1]PO Report'!P:P)</f>
        <v>141</v>
      </c>
      <c r="F75">
        <f>VLOOKUP(A75,'[1]PO Report'!$A:$Z,15,0)</f>
        <v>210.52</v>
      </c>
      <c r="H75">
        <f t="shared" si="2"/>
        <v>0</v>
      </c>
      <c r="J75">
        <f t="shared" si="3"/>
        <v>0</v>
      </c>
    </row>
    <row r="76" spans="1:10" x14ac:dyDescent="0.25">
      <c r="A76" t="s">
        <v>972</v>
      </c>
      <c r="B76">
        <v>43</v>
      </c>
      <c r="C76">
        <f>_xlfn.XLOOKUP(Recon!A76,[1]Backup!AJ:AJ,[1]Backup!L:L)</f>
        <v>210.52</v>
      </c>
      <c r="D76">
        <f>_xlfn.XLOOKUP(Recon!A76,[1]Backup!AJ:AJ,[1]Backup!K:K)</f>
        <v>7.15768</v>
      </c>
      <c r="E76">
        <f>SUMIF('[1]PO Report'!A:A,Recon!A76,'[1]PO Report'!P:P)</f>
        <v>43</v>
      </c>
      <c r="F76">
        <f>VLOOKUP(A76,'[1]PO Report'!$A:$Z,15,0)</f>
        <v>210.52</v>
      </c>
      <c r="H76">
        <f t="shared" si="2"/>
        <v>0</v>
      </c>
      <c r="J76">
        <f t="shared" si="3"/>
        <v>0</v>
      </c>
    </row>
    <row r="77" spans="1:10" x14ac:dyDescent="0.25">
      <c r="A77" t="s">
        <v>973</v>
      </c>
      <c r="B77">
        <v>16</v>
      </c>
      <c r="C77">
        <f>_xlfn.XLOOKUP(Recon!A77,[1]Backup!AJ:AJ,[1]Backup!L:L)</f>
        <v>20.5</v>
      </c>
      <c r="D77">
        <f>_xlfn.XLOOKUP(Recon!A77,[1]Backup!AJ:AJ,[1]Backup!K:K)</f>
        <v>0.69699999999999995</v>
      </c>
      <c r="E77">
        <f>SUMIF('[1]PO Report'!A:A,Recon!A77,'[1]PO Report'!P:P)</f>
        <v>16</v>
      </c>
      <c r="F77">
        <f>VLOOKUP(A77,'[1]PO Report'!$A:$Z,15,0)</f>
        <v>20.5</v>
      </c>
      <c r="H77">
        <f t="shared" si="2"/>
        <v>0</v>
      </c>
      <c r="J77">
        <f t="shared" si="3"/>
        <v>0</v>
      </c>
    </row>
    <row r="78" spans="1:10" x14ac:dyDescent="0.25">
      <c r="A78" t="s">
        <v>974</v>
      </c>
      <c r="B78">
        <v>4</v>
      </c>
      <c r="C78">
        <f>_xlfn.XLOOKUP(Recon!A78,[1]Backup!AJ:AJ,[1]Backup!L:L)</f>
        <v>75.41</v>
      </c>
      <c r="D78">
        <f>_xlfn.XLOOKUP(Recon!A78,[1]Backup!AJ:AJ,[1]Backup!K:K)</f>
        <v>2.5639400000000001</v>
      </c>
      <c r="E78">
        <f>SUMIF('[1]PO Report'!A:A,Recon!A78,'[1]PO Report'!P:P)</f>
        <v>4</v>
      </c>
      <c r="F78">
        <f>VLOOKUP(A78,'[1]PO Report'!$A:$Z,15,0)</f>
        <v>75.41</v>
      </c>
      <c r="H78">
        <f t="shared" si="2"/>
        <v>0</v>
      </c>
      <c r="J78">
        <f t="shared" si="3"/>
        <v>0</v>
      </c>
    </row>
    <row r="79" spans="1:10" x14ac:dyDescent="0.25">
      <c r="A79" t="s">
        <v>975</v>
      </c>
      <c r="B79">
        <v>4</v>
      </c>
      <c r="C79">
        <f>_xlfn.XLOOKUP(Recon!A79,[1]Backup!AJ:AJ,[1]Backup!L:L)</f>
        <v>52.76</v>
      </c>
      <c r="D79">
        <f>_xlfn.XLOOKUP(Recon!A79,[1]Backup!AJ:AJ,[1]Backup!K:K)</f>
        <v>1.7938400000000001</v>
      </c>
      <c r="E79">
        <f>SUMIF('[1]PO Report'!A:A,Recon!A79,'[1]PO Report'!P:P)</f>
        <v>4</v>
      </c>
      <c r="F79">
        <f>VLOOKUP(A79,'[1]PO Report'!$A:$Z,15,0)</f>
        <v>52.76</v>
      </c>
      <c r="H79">
        <f t="shared" si="2"/>
        <v>0</v>
      </c>
      <c r="J79">
        <f t="shared" si="3"/>
        <v>0</v>
      </c>
    </row>
    <row r="80" spans="1:10" x14ac:dyDescent="0.25">
      <c r="A80" t="s">
        <v>976</v>
      </c>
      <c r="B80">
        <v>816</v>
      </c>
      <c r="C80">
        <f>_xlfn.XLOOKUP(Recon!A80,[1]Backup!AJ:AJ,[1]Backup!L:L)</f>
        <v>20.3</v>
      </c>
      <c r="D80">
        <f>_xlfn.XLOOKUP(Recon!A80,[1]Backup!AJ:AJ,[1]Backup!K:K)</f>
        <v>0.69020000000000004</v>
      </c>
      <c r="E80">
        <f>SUMIF('[1]PO Report'!A:A,Recon!A80,'[1]PO Report'!P:P)</f>
        <v>816</v>
      </c>
      <c r="F80">
        <f>VLOOKUP(A80,'[1]PO Report'!$A:$Z,15,0)</f>
        <v>20.3</v>
      </c>
      <c r="H80">
        <f t="shared" si="2"/>
        <v>0</v>
      </c>
      <c r="J80">
        <f t="shared" si="3"/>
        <v>0</v>
      </c>
    </row>
    <row r="81" spans="1:10" x14ac:dyDescent="0.25">
      <c r="A81" t="s">
        <v>977</v>
      </c>
      <c r="B81">
        <v>560</v>
      </c>
      <c r="C81">
        <f>_xlfn.XLOOKUP(Recon!A81,[1]Backup!AJ:AJ,[1]Backup!L:L)</f>
        <v>21.1</v>
      </c>
      <c r="D81">
        <f>_xlfn.XLOOKUP(Recon!A81,[1]Backup!AJ:AJ,[1]Backup!K:K)</f>
        <v>0.71740000000000004</v>
      </c>
      <c r="E81">
        <f>SUMIF('[1]PO Report'!A:A,Recon!A81,'[1]PO Report'!P:P)</f>
        <v>560</v>
      </c>
      <c r="F81">
        <f>VLOOKUP(A81,'[1]PO Report'!$A:$Z,15,0)</f>
        <v>21.1</v>
      </c>
      <c r="H81">
        <f t="shared" si="2"/>
        <v>0</v>
      </c>
      <c r="J81">
        <f t="shared" si="3"/>
        <v>0</v>
      </c>
    </row>
    <row r="82" spans="1:10" x14ac:dyDescent="0.25">
      <c r="A82" t="s">
        <v>978</v>
      </c>
      <c r="B82">
        <v>152</v>
      </c>
      <c r="C82">
        <f>_xlfn.XLOOKUP(Recon!A82,[1]Backup!AJ:AJ,[1]Backup!L:L)</f>
        <v>68.06</v>
      </c>
      <c r="D82">
        <f>_xlfn.XLOOKUP(Recon!A82,[1]Backup!AJ:AJ,[1]Backup!K:K)</f>
        <v>2.3140399999999999</v>
      </c>
      <c r="E82">
        <f>SUMIF('[1]PO Report'!A:A,Recon!A82,'[1]PO Report'!P:P)</f>
        <v>152</v>
      </c>
      <c r="F82">
        <f>VLOOKUP(A82,'[1]PO Report'!$A:$Z,15,0)</f>
        <v>68.06</v>
      </c>
      <c r="H82">
        <f t="shared" si="2"/>
        <v>0</v>
      </c>
      <c r="J82">
        <f t="shared" si="3"/>
        <v>0</v>
      </c>
    </row>
    <row r="83" spans="1:10" x14ac:dyDescent="0.25">
      <c r="A83" t="s">
        <v>979</v>
      </c>
      <c r="B83">
        <v>12</v>
      </c>
      <c r="C83">
        <f>_xlfn.XLOOKUP(Recon!A83,[1]Backup!AJ:AJ,[1]Backup!L:L)</f>
        <v>20.5</v>
      </c>
      <c r="D83">
        <f>_xlfn.XLOOKUP(Recon!A83,[1]Backup!AJ:AJ,[1]Backup!K:K)</f>
        <v>0.69700000000000006</v>
      </c>
      <c r="E83">
        <f>SUMIF('[1]PO Report'!A:A,Recon!A83,'[1]PO Report'!P:P)</f>
        <v>36</v>
      </c>
      <c r="F83">
        <f>VLOOKUP(A83,'[1]PO Report'!$A:$Z,15,0)</f>
        <v>20.5</v>
      </c>
      <c r="H83">
        <f t="shared" si="2"/>
        <v>-24</v>
      </c>
      <c r="J83">
        <f t="shared" si="3"/>
        <v>0</v>
      </c>
    </row>
    <row r="84" spans="1:10" x14ac:dyDescent="0.25">
      <c r="A84" t="s">
        <v>980</v>
      </c>
      <c r="B84">
        <v>10</v>
      </c>
      <c r="C84">
        <f>_xlfn.XLOOKUP(Recon!A84,[1]Backup!AJ:AJ,[1]Backup!L:L)</f>
        <v>76.13</v>
      </c>
      <c r="D84">
        <f>_xlfn.XLOOKUP(Recon!A84,[1]Backup!AJ:AJ,[1]Backup!K:K)</f>
        <v>2.5884200000000002</v>
      </c>
      <c r="E84">
        <f>SUMIF('[1]PO Report'!A:A,Recon!A84,'[1]PO Report'!P:P)</f>
        <v>10</v>
      </c>
      <c r="F84">
        <f>VLOOKUP(A84,'[1]PO Report'!$A:$Z,15,0)</f>
        <v>76.13</v>
      </c>
      <c r="H84">
        <f t="shared" si="2"/>
        <v>0</v>
      </c>
      <c r="J84">
        <f t="shared" si="3"/>
        <v>0</v>
      </c>
    </row>
    <row r="85" spans="1:10" x14ac:dyDescent="0.25">
      <c r="A85" t="s">
        <v>981</v>
      </c>
      <c r="B85">
        <v>880</v>
      </c>
      <c r="C85">
        <f>_xlfn.XLOOKUP(Recon!A85,[1]Backup!AJ:AJ,[1]Backup!L:L)</f>
        <v>5.26</v>
      </c>
      <c r="D85">
        <f>_xlfn.XLOOKUP(Recon!A85,[1]Backup!AJ:AJ,[1]Backup!K:K)</f>
        <v>0.17884</v>
      </c>
      <c r="E85">
        <f>SUMIF('[1]PO Report'!A:A,Recon!A85,'[1]PO Report'!P:P)</f>
        <v>880</v>
      </c>
      <c r="F85">
        <f>VLOOKUP(A85,'[1]PO Report'!$A:$Z,15,0)</f>
        <v>5.26</v>
      </c>
      <c r="H85">
        <f t="shared" si="2"/>
        <v>0</v>
      </c>
      <c r="J85">
        <f t="shared" si="3"/>
        <v>0</v>
      </c>
    </row>
    <row r="86" spans="1:10" x14ac:dyDescent="0.25">
      <c r="A86" t="s">
        <v>982</v>
      </c>
      <c r="B86">
        <v>10</v>
      </c>
      <c r="C86">
        <f>_xlfn.XLOOKUP(Recon!A86,[1]Backup!AJ:AJ,[1]Backup!L:L)</f>
        <v>8.1999999999999993</v>
      </c>
      <c r="D86">
        <f>_xlfn.XLOOKUP(Recon!A86,[1]Backup!AJ:AJ,[1]Backup!K:K)</f>
        <v>0.27879999999999999</v>
      </c>
      <c r="E86">
        <f>SUMIF('[1]PO Report'!A:A,Recon!A86,'[1]PO Report'!P:P)</f>
        <v>10</v>
      </c>
      <c r="F86">
        <f>VLOOKUP(A86,'[1]PO Report'!$A:$Z,15,0)</f>
        <v>8.1999999999999993</v>
      </c>
      <c r="H86">
        <f t="shared" si="2"/>
        <v>0</v>
      </c>
      <c r="J86">
        <f t="shared" si="3"/>
        <v>0</v>
      </c>
    </row>
    <row r="87" spans="1:10" x14ac:dyDescent="0.25">
      <c r="A87" t="s">
        <v>983</v>
      </c>
      <c r="B87">
        <v>18</v>
      </c>
      <c r="C87">
        <f>_xlfn.XLOOKUP(Recon!A87,[1]Backup!AJ:AJ,[1]Backup!L:L)</f>
        <v>78.62</v>
      </c>
      <c r="D87">
        <f>_xlfn.XLOOKUP(Recon!A87,[1]Backup!AJ:AJ,[1]Backup!K:K)</f>
        <v>2.6730800000000001</v>
      </c>
      <c r="E87">
        <f>SUMIF('[1]PO Report'!A:A,Recon!A87,'[1]PO Report'!P:P)</f>
        <v>18</v>
      </c>
      <c r="F87">
        <f>VLOOKUP(A87,'[1]PO Report'!$A:$Z,15,0)</f>
        <v>78.62</v>
      </c>
      <c r="H87">
        <f t="shared" si="2"/>
        <v>0</v>
      </c>
      <c r="J87">
        <f t="shared" si="3"/>
        <v>0</v>
      </c>
    </row>
    <row r="88" spans="1:10" x14ac:dyDescent="0.25">
      <c r="A88" t="s">
        <v>984</v>
      </c>
      <c r="B88">
        <v>16</v>
      </c>
      <c r="C88">
        <f>_xlfn.XLOOKUP(Recon!A88,[1]Backup!AJ:AJ,[1]Backup!L:L)</f>
        <v>68.06</v>
      </c>
      <c r="D88">
        <f>_xlfn.XLOOKUP(Recon!A88,[1]Backup!AJ:AJ,[1]Backup!K:K)</f>
        <v>2.3140399999999999</v>
      </c>
      <c r="E88">
        <f>SUMIF('[1]PO Report'!A:A,Recon!A88,'[1]PO Report'!P:P)</f>
        <v>16</v>
      </c>
      <c r="F88">
        <f>VLOOKUP(A88,'[1]PO Report'!$A:$Z,15,0)</f>
        <v>68.06</v>
      </c>
      <c r="H88">
        <f t="shared" si="2"/>
        <v>0</v>
      </c>
      <c r="J88">
        <f t="shared" si="3"/>
        <v>0</v>
      </c>
    </row>
    <row r="89" spans="1:10" x14ac:dyDescent="0.25">
      <c r="A89" t="s">
        <v>985</v>
      </c>
      <c r="B89">
        <v>8</v>
      </c>
      <c r="C89">
        <f>_xlfn.XLOOKUP(Recon!A89,[1]Backup!AJ:AJ,[1]Backup!L:L)</f>
        <v>147.21</v>
      </c>
      <c r="D89">
        <f>_xlfn.XLOOKUP(Recon!A89,[1]Backup!AJ:AJ,[1]Backup!K:K)</f>
        <v>5.0051399999999999</v>
      </c>
      <c r="E89">
        <f>SUMIF('[1]PO Report'!A:A,Recon!A89,'[1]PO Report'!P:P)</f>
        <v>8</v>
      </c>
      <c r="F89">
        <f>VLOOKUP(A89,'[1]PO Report'!$A:$Z,15,0)</f>
        <v>147.21</v>
      </c>
      <c r="H89">
        <f t="shared" si="2"/>
        <v>0</v>
      </c>
      <c r="J89">
        <f t="shared" si="3"/>
        <v>0</v>
      </c>
    </row>
    <row r="90" spans="1:10" x14ac:dyDescent="0.25">
      <c r="A90" t="s">
        <v>986</v>
      </c>
      <c r="B90">
        <v>4</v>
      </c>
      <c r="C90">
        <f>_xlfn.XLOOKUP(Recon!A90,[1]Backup!AJ:AJ,[1]Backup!L:L)</f>
        <v>105</v>
      </c>
      <c r="D90">
        <f>_xlfn.XLOOKUP(Recon!A90,[1]Backup!AJ:AJ,[1]Backup!K:K)</f>
        <v>3.57</v>
      </c>
      <c r="E90">
        <f>SUMIF('[1]PO Report'!A:A,Recon!A90,'[1]PO Report'!P:P)</f>
        <v>4</v>
      </c>
      <c r="F90">
        <f>VLOOKUP(A90,'[1]PO Report'!$A:$Z,15,0)</f>
        <v>105</v>
      </c>
      <c r="H90">
        <f t="shared" si="2"/>
        <v>0</v>
      </c>
      <c r="J90">
        <f t="shared" si="3"/>
        <v>0</v>
      </c>
    </row>
    <row r="91" spans="1:10" x14ac:dyDescent="0.25">
      <c r="A91" t="s">
        <v>987</v>
      </c>
      <c r="B91">
        <v>8</v>
      </c>
      <c r="C91">
        <f>_xlfn.XLOOKUP(Recon!A91,[1]Backup!AJ:AJ,[1]Backup!L:L)</f>
        <v>17.559999999999999</v>
      </c>
      <c r="D91">
        <f>_xlfn.XLOOKUP(Recon!A91,[1]Backup!AJ:AJ,[1]Backup!K:K)</f>
        <v>0.59704000000000002</v>
      </c>
      <c r="E91">
        <f>SUMIF('[1]PO Report'!A:A,Recon!A91,'[1]PO Report'!P:P)</f>
        <v>8</v>
      </c>
      <c r="F91">
        <f>VLOOKUP(A91,'[1]PO Report'!$A:$Z,15,0)</f>
        <v>17.559999999999999</v>
      </c>
      <c r="H91">
        <f t="shared" si="2"/>
        <v>0</v>
      </c>
      <c r="J91">
        <f t="shared" si="3"/>
        <v>0</v>
      </c>
    </row>
    <row r="92" spans="1:10" x14ac:dyDescent="0.25">
      <c r="A92" t="s">
        <v>988</v>
      </c>
      <c r="B92">
        <v>16</v>
      </c>
      <c r="C92">
        <f>_xlfn.XLOOKUP(Recon!A92,[1]Backup!AJ:AJ,[1]Backup!L:L)</f>
        <v>96.83</v>
      </c>
      <c r="D92">
        <f>_xlfn.XLOOKUP(Recon!A92,[1]Backup!AJ:AJ,[1]Backup!K:K)</f>
        <v>3.2922199999999999</v>
      </c>
      <c r="E92">
        <f>SUMIF('[1]PO Report'!A:A,Recon!A92,'[1]PO Report'!P:P)</f>
        <v>16</v>
      </c>
      <c r="F92">
        <f>VLOOKUP(A92,'[1]PO Report'!$A:$Z,15,0)</f>
        <v>96.83</v>
      </c>
      <c r="H92">
        <f t="shared" si="2"/>
        <v>0</v>
      </c>
      <c r="J92">
        <f t="shared" si="3"/>
        <v>0</v>
      </c>
    </row>
    <row r="93" spans="1:10" x14ac:dyDescent="0.25">
      <c r="A93" t="s">
        <v>989</v>
      </c>
      <c r="B93">
        <v>30</v>
      </c>
      <c r="C93">
        <f>_xlfn.XLOOKUP(Recon!A93,[1]Backup!AJ:AJ,[1]Backup!L:L)</f>
        <v>9.9499999999999993</v>
      </c>
      <c r="D93">
        <f>_xlfn.XLOOKUP(Recon!A93,[1]Backup!AJ:AJ,[1]Backup!K:K)</f>
        <v>0.33829999999999999</v>
      </c>
      <c r="E93">
        <f>SUMIF('[1]PO Report'!A:A,Recon!A93,'[1]PO Report'!P:P)</f>
        <v>30</v>
      </c>
      <c r="F93">
        <f>VLOOKUP(A93,'[1]PO Report'!$A:$Z,15,0)</f>
        <v>9.9499999999999993</v>
      </c>
      <c r="H93">
        <f t="shared" si="2"/>
        <v>0</v>
      </c>
      <c r="J93">
        <f t="shared" si="3"/>
        <v>0</v>
      </c>
    </row>
    <row r="94" spans="1:10" x14ac:dyDescent="0.25">
      <c r="A94" t="s">
        <v>990</v>
      </c>
      <c r="B94">
        <v>24</v>
      </c>
      <c r="C94">
        <f>_xlfn.XLOOKUP(Recon!A94,[1]Backup!AJ:AJ,[1]Backup!L:L)</f>
        <v>11.71</v>
      </c>
      <c r="D94">
        <f>_xlfn.XLOOKUP(Recon!A94,[1]Backup!AJ:AJ,[1]Backup!K:K)</f>
        <v>0.39813999999999999</v>
      </c>
      <c r="E94">
        <f>SUMIF('[1]PO Report'!A:A,Recon!A94,'[1]PO Report'!P:P)</f>
        <v>24</v>
      </c>
      <c r="F94">
        <f>VLOOKUP(A94,'[1]PO Report'!$A:$Z,15,0)</f>
        <v>11.71</v>
      </c>
      <c r="H94">
        <f t="shared" si="2"/>
        <v>0</v>
      </c>
      <c r="J94">
        <f t="shared" si="3"/>
        <v>0</v>
      </c>
    </row>
    <row r="95" spans="1:10" x14ac:dyDescent="0.25">
      <c r="A95" t="s">
        <v>991</v>
      </c>
      <c r="B95">
        <v>80</v>
      </c>
      <c r="C95">
        <f>_xlfn.XLOOKUP(Recon!A95,[1]Backup!AJ:AJ,[1]Backup!L:L)</f>
        <v>26.35</v>
      </c>
      <c r="D95">
        <f>_xlfn.XLOOKUP(Recon!A95,[1]Backup!AJ:AJ,[1]Backup!K:K)</f>
        <v>0.89589999999999992</v>
      </c>
      <c r="E95">
        <f>SUMIF('[1]PO Report'!A:A,Recon!A95,'[1]PO Report'!P:P)</f>
        <v>80</v>
      </c>
      <c r="F95">
        <f>VLOOKUP(A95,'[1]PO Report'!$A:$Z,15,0)</f>
        <v>26.35</v>
      </c>
      <c r="H95">
        <f t="shared" si="2"/>
        <v>0</v>
      </c>
      <c r="J95">
        <f t="shared" si="3"/>
        <v>0</v>
      </c>
    </row>
    <row r="96" spans="1:10" x14ac:dyDescent="0.25">
      <c r="A96" t="s">
        <v>992</v>
      </c>
      <c r="B96">
        <v>90</v>
      </c>
      <c r="C96">
        <f>_xlfn.XLOOKUP(Recon!A96,[1]Backup!AJ:AJ,[1]Backup!L:L)</f>
        <v>46.66</v>
      </c>
      <c r="D96">
        <f>_xlfn.XLOOKUP(Recon!A96,[1]Backup!AJ:AJ,[1]Backup!K:K)</f>
        <v>1.5864399999999999</v>
      </c>
      <c r="E96">
        <f>SUMIF('[1]PO Report'!A:A,Recon!A96,'[1]PO Report'!P:P)</f>
        <v>90</v>
      </c>
      <c r="F96">
        <f>VLOOKUP(A96,'[1]PO Report'!$A:$Z,15,0)</f>
        <v>46.66</v>
      </c>
      <c r="H96">
        <f t="shared" si="2"/>
        <v>0</v>
      </c>
      <c r="J96">
        <f t="shared" si="3"/>
        <v>0</v>
      </c>
    </row>
    <row r="97" spans="1:10" x14ac:dyDescent="0.25">
      <c r="A97" t="s">
        <v>993</v>
      </c>
      <c r="B97">
        <v>20</v>
      </c>
      <c r="C97">
        <f>_xlfn.XLOOKUP(Recon!A97,[1]Backup!AJ:AJ,[1]Backup!L:L)</f>
        <v>31.65</v>
      </c>
      <c r="D97">
        <f>_xlfn.XLOOKUP(Recon!A97,[1]Backup!AJ:AJ,[1]Backup!K:K)</f>
        <v>1.0760999999999998</v>
      </c>
      <c r="E97">
        <f>SUMIF('[1]PO Report'!A:A,Recon!A97,'[1]PO Report'!P:P)</f>
        <v>20</v>
      </c>
      <c r="F97">
        <f>VLOOKUP(A97,'[1]PO Report'!$A:$Z,15,0)</f>
        <v>31.65</v>
      </c>
      <c r="H97">
        <f t="shared" si="2"/>
        <v>0</v>
      </c>
      <c r="J97">
        <f t="shared" si="3"/>
        <v>0</v>
      </c>
    </row>
    <row r="98" spans="1:10" x14ac:dyDescent="0.25">
      <c r="A98" t="s">
        <v>994</v>
      </c>
      <c r="B98">
        <v>24</v>
      </c>
      <c r="C98">
        <f>_xlfn.XLOOKUP(Recon!A98,[1]Backup!AJ:AJ,[1]Backup!L:L)</f>
        <v>96.83</v>
      </c>
      <c r="D98">
        <f>_xlfn.XLOOKUP(Recon!A98,[1]Backup!AJ:AJ,[1]Backup!K:K)</f>
        <v>3.2922199999999999</v>
      </c>
      <c r="E98">
        <f>SUMIF('[1]PO Report'!A:A,Recon!A98,'[1]PO Report'!P:P)</f>
        <v>24</v>
      </c>
      <c r="F98">
        <f>VLOOKUP(A98,'[1]PO Report'!$A:$Z,15,0)</f>
        <v>96.83</v>
      </c>
      <c r="H98">
        <f t="shared" si="2"/>
        <v>0</v>
      </c>
      <c r="J98">
        <f t="shared" si="3"/>
        <v>0</v>
      </c>
    </row>
    <row r="99" spans="1:10" x14ac:dyDescent="0.25">
      <c r="A99" t="s">
        <v>995</v>
      </c>
      <c r="B99">
        <v>24</v>
      </c>
      <c r="C99">
        <f>_xlfn.XLOOKUP(Recon!A99,[1]Backup!AJ:AJ,[1]Backup!L:L)</f>
        <v>14.64</v>
      </c>
      <c r="D99">
        <f>_xlfn.XLOOKUP(Recon!A99,[1]Backup!AJ:AJ,[1]Backup!K:K)</f>
        <v>0.49775999999999998</v>
      </c>
      <c r="E99">
        <f>SUMIF('[1]PO Report'!A:A,Recon!A99,'[1]PO Report'!P:P)</f>
        <v>24</v>
      </c>
      <c r="F99">
        <f>VLOOKUP(A99,'[1]PO Report'!$A:$Z,15,0)</f>
        <v>14.64</v>
      </c>
      <c r="H99">
        <f t="shared" si="2"/>
        <v>0</v>
      </c>
      <c r="J99">
        <f t="shared" si="3"/>
        <v>0</v>
      </c>
    </row>
    <row r="100" spans="1:10" x14ac:dyDescent="0.25">
      <c r="A100" t="s">
        <v>996</v>
      </c>
      <c r="B100">
        <v>273</v>
      </c>
      <c r="C100">
        <f>_xlfn.XLOOKUP(Recon!A100,[1]Backup!AJ:AJ,[1]Backup!L:L)</f>
        <v>31.65</v>
      </c>
      <c r="D100">
        <f>_xlfn.XLOOKUP(Recon!A100,[1]Backup!AJ:AJ,[1]Backup!K:K)</f>
        <v>1.0761000000000001</v>
      </c>
      <c r="E100">
        <f>SUMIF('[1]PO Report'!A:A,Recon!A100,'[1]PO Report'!P:P)</f>
        <v>245</v>
      </c>
      <c r="F100">
        <f>VLOOKUP(A100,'[1]PO Report'!$A:$Z,15,0)</f>
        <v>31.65</v>
      </c>
      <c r="H100">
        <f t="shared" si="2"/>
        <v>28</v>
      </c>
      <c r="I100">
        <f>H100*D100</f>
        <v>30.130800000000001</v>
      </c>
      <c r="J100">
        <f t="shared" si="3"/>
        <v>0</v>
      </c>
    </row>
    <row r="101" spans="1:10" x14ac:dyDescent="0.25">
      <c r="A101" t="s">
        <v>997</v>
      </c>
      <c r="B101">
        <v>19</v>
      </c>
      <c r="C101">
        <f>_xlfn.XLOOKUP(Recon!A101,[1]Backup!AJ:AJ,[1]Backup!L:L)</f>
        <v>141.93</v>
      </c>
      <c r="D101">
        <f>_xlfn.XLOOKUP(Recon!A101,[1]Backup!AJ:AJ,[1]Backup!K:K)</f>
        <v>4.8256199999999998</v>
      </c>
      <c r="E101">
        <f>SUMIF('[1]PO Report'!A:A,Recon!A101,'[1]PO Report'!P:P)</f>
        <v>19</v>
      </c>
      <c r="F101">
        <f>VLOOKUP(A101,'[1]PO Report'!$A:$Z,15,0)</f>
        <v>141.93</v>
      </c>
      <c r="H101">
        <f t="shared" si="2"/>
        <v>0</v>
      </c>
      <c r="J101">
        <f t="shared" si="3"/>
        <v>0</v>
      </c>
    </row>
    <row r="102" spans="1:10" x14ac:dyDescent="0.25">
      <c r="A102" t="s">
        <v>998</v>
      </c>
      <c r="B102">
        <v>32</v>
      </c>
      <c r="C102">
        <f>_xlfn.XLOOKUP(Recon!A102,[1]Backup!AJ:AJ,[1]Backup!L:L)</f>
        <v>69.61</v>
      </c>
      <c r="D102">
        <f>_xlfn.XLOOKUP(Recon!A102,[1]Backup!AJ:AJ,[1]Backup!K:K)</f>
        <v>2.3667400000000001</v>
      </c>
      <c r="E102">
        <f>SUMIF('[1]PO Report'!A:A,Recon!A102,'[1]PO Report'!P:P)</f>
        <v>32</v>
      </c>
      <c r="F102">
        <f>VLOOKUP(A102,'[1]PO Report'!$A:$Z,15,0)</f>
        <v>69.61</v>
      </c>
      <c r="H102">
        <f t="shared" si="2"/>
        <v>0</v>
      </c>
      <c r="J102">
        <f t="shared" si="3"/>
        <v>0</v>
      </c>
    </row>
    <row r="103" spans="1:10" x14ac:dyDescent="0.25">
      <c r="A103" t="s">
        <v>999</v>
      </c>
      <c r="B103">
        <v>16</v>
      </c>
      <c r="C103">
        <f>_xlfn.XLOOKUP(Recon!A103,[1]Backup!AJ:AJ,[1]Backup!L:L)</f>
        <v>47.48</v>
      </c>
      <c r="D103">
        <f>_xlfn.XLOOKUP(Recon!A103,[1]Backup!AJ:AJ,[1]Backup!K:K)</f>
        <v>1.61432</v>
      </c>
      <c r="E103">
        <f>SUMIF('[1]PO Report'!A:A,Recon!A103,'[1]PO Report'!P:P)</f>
        <v>16</v>
      </c>
      <c r="F103">
        <f>VLOOKUP(A103,'[1]PO Report'!$A:$Z,15,0)</f>
        <v>47.48</v>
      </c>
      <c r="H103">
        <f t="shared" si="2"/>
        <v>0</v>
      </c>
      <c r="J103">
        <f t="shared" si="3"/>
        <v>0</v>
      </c>
    </row>
    <row r="104" spans="1:10" x14ac:dyDescent="0.25">
      <c r="A104" t="s">
        <v>1000</v>
      </c>
      <c r="B104">
        <v>8</v>
      </c>
      <c r="C104">
        <f>_xlfn.XLOOKUP(Recon!A104,[1]Backup!AJ:AJ,[1]Backup!L:L)</f>
        <v>20.74</v>
      </c>
      <c r="D104">
        <f>_xlfn.XLOOKUP(Recon!A104,[1]Backup!AJ:AJ,[1]Backup!K:K)</f>
        <v>0.70516000000000001</v>
      </c>
      <c r="E104">
        <f>SUMIF('[1]PO Report'!A:A,Recon!A104,'[1]PO Report'!P:P)</f>
        <v>8</v>
      </c>
      <c r="F104">
        <f>VLOOKUP(A104,'[1]PO Report'!$A:$Z,15,0)</f>
        <v>20.74</v>
      </c>
      <c r="H104">
        <f t="shared" si="2"/>
        <v>0</v>
      </c>
      <c r="J104">
        <f t="shared" si="3"/>
        <v>0</v>
      </c>
    </row>
    <row r="105" spans="1:10" x14ac:dyDescent="0.25">
      <c r="A105" t="s">
        <v>1001</v>
      </c>
      <c r="B105">
        <v>76</v>
      </c>
      <c r="C105">
        <f>_xlfn.XLOOKUP(Recon!A105,[1]Backup!AJ:AJ,[1]Backup!L:L)</f>
        <v>42.199999999999996</v>
      </c>
      <c r="D105">
        <f>_xlfn.XLOOKUP(Recon!A105,[1]Backup!AJ:AJ,[1]Backup!K:K)</f>
        <v>1.4347999999999999</v>
      </c>
      <c r="E105">
        <f>SUMIF('[1]PO Report'!A:A,Recon!A105,'[1]PO Report'!P:P)</f>
        <v>76</v>
      </c>
      <c r="F105">
        <f>VLOOKUP(A105,'[1]PO Report'!$A:$Z,15,0)</f>
        <v>42.2</v>
      </c>
      <c r="H105">
        <f t="shared" si="2"/>
        <v>0</v>
      </c>
      <c r="J105">
        <f t="shared" si="3"/>
        <v>0</v>
      </c>
    </row>
    <row r="106" spans="1:10" x14ac:dyDescent="0.25">
      <c r="A106" t="s">
        <v>1002</v>
      </c>
      <c r="B106">
        <v>48</v>
      </c>
      <c r="C106">
        <f>_xlfn.XLOOKUP(Recon!A106,[1]Backup!AJ:AJ,[1]Backup!L:L)</f>
        <v>75.41</v>
      </c>
      <c r="D106">
        <f>_xlfn.XLOOKUP(Recon!A106,[1]Backup!AJ:AJ,[1]Backup!K:K)</f>
        <v>2.5639400000000001</v>
      </c>
      <c r="E106">
        <f>SUMIF('[1]PO Report'!A:A,Recon!A106,'[1]PO Report'!P:P)</f>
        <v>48</v>
      </c>
      <c r="F106">
        <f>VLOOKUP(A106,'[1]PO Report'!$A:$Z,15,0)</f>
        <v>75.41</v>
      </c>
      <c r="H106">
        <f t="shared" si="2"/>
        <v>0</v>
      </c>
      <c r="J106">
        <f t="shared" si="3"/>
        <v>0</v>
      </c>
    </row>
    <row r="107" spans="1:10" x14ac:dyDescent="0.25">
      <c r="A107" t="s">
        <v>1003</v>
      </c>
      <c r="B107">
        <v>8</v>
      </c>
      <c r="C107">
        <f>_xlfn.XLOOKUP(Recon!A107,[1]Backup!AJ:AJ,[1]Backup!L:L)</f>
        <v>116.02</v>
      </c>
      <c r="D107">
        <f>_xlfn.XLOOKUP(Recon!A107,[1]Backup!AJ:AJ,[1]Backup!K:K)</f>
        <v>3.94468</v>
      </c>
      <c r="E107">
        <f>SUMIF('[1]PO Report'!A:A,Recon!A107,'[1]PO Report'!P:P)</f>
        <v>8</v>
      </c>
      <c r="F107">
        <f>VLOOKUP(A107,'[1]PO Report'!$A:$Z,15,0)</f>
        <v>116.02</v>
      </c>
      <c r="H107">
        <f t="shared" si="2"/>
        <v>0</v>
      </c>
      <c r="J107">
        <f t="shared" si="3"/>
        <v>0</v>
      </c>
    </row>
    <row r="108" spans="1:10" x14ac:dyDescent="0.25">
      <c r="A108" t="s">
        <v>1004</v>
      </c>
      <c r="B108">
        <v>10</v>
      </c>
      <c r="C108">
        <f>_xlfn.XLOOKUP(Recon!A108,[1]Backup!AJ:AJ,[1]Backup!L:L)</f>
        <v>9.9499999999999993</v>
      </c>
      <c r="D108">
        <f>_xlfn.XLOOKUP(Recon!A108,[1]Backup!AJ:AJ,[1]Backup!K:K)</f>
        <v>0.33829999999999999</v>
      </c>
      <c r="E108">
        <f>SUMIF('[1]PO Report'!A:A,Recon!A108,'[1]PO Report'!P:P)</f>
        <v>10</v>
      </c>
      <c r="F108">
        <f>VLOOKUP(A108,'[1]PO Report'!$A:$Z,15,0)</f>
        <v>9.9499999999999993</v>
      </c>
      <c r="H108">
        <f t="shared" si="2"/>
        <v>0</v>
      </c>
      <c r="J108">
        <f t="shared" si="3"/>
        <v>0</v>
      </c>
    </row>
    <row r="109" spans="1:10" x14ac:dyDescent="0.25">
      <c r="A109" t="s">
        <v>1005</v>
      </c>
      <c r="B109">
        <v>10</v>
      </c>
      <c r="C109">
        <f>_xlfn.XLOOKUP(Recon!A109,[1]Backup!AJ:AJ,[1]Backup!L:L)</f>
        <v>9.9499999999999993</v>
      </c>
      <c r="D109">
        <f>_xlfn.XLOOKUP(Recon!A109,[1]Backup!AJ:AJ,[1]Backup!K:K)</f>
        <v>0.33829999999999999</v>
      </c>
      <c r="E109">
        <f>SUMIF('[1]PO Report'!A:A,Recon!A109,'[1]PO Report'!P:P)</f>
        <v>10</v>
      </c>
      <c r="F109">
        <f>VLOOKUP(A109,'[1]PO Report'!$A:$Z,15,0)</f>
        <v>9.9499999999999993</v>
      </c>
      <c r="H109">
        <f t="shared" si="2"/>
        <v>0</v>
      </c>
      <c r="J109">
        <f t="shared" si="3"/>
        <v>0</v>
      </c>
    </row>
    <row r="110" spans="1:10" x14ac:dyDescent="0.25">
      <c r="A110" t="s">
        <v>1006</v>
      </c>
      <c r="B110">
        <v>10</v>
      </c>
      <c r="C110">
        <f>_xlfn.XLOOKUP(Recon!A110,[1]Backup!AJ:AJ,[1]Backup!L:L)</f>
        <v>8.1999999999999993</v>
      </c>
      <c r="D110">
        <f>_xlfn.XLOOKUP(Recon!A110,[1]Backup!AJ:AJ,[1]Backup!K:K)</f>
        <v>0.27879999999999999</v>
      </c>
      <c r="E110">
        <f>SUMIF('[1]PO Report'!A:A,Recon!A110,'[1]PO Report'!P:P)</f>
        <v>10</v>
      </c>
      <c r="F110">
        <f>VLOOKUP(A110,'[1]PO Report'!$A:$Z,15,0)</f>
        <v>8.1999999999999993</v>
      </c>
      <c r="H110">
        <f t="shared" si="2"/>
        <v>0</v>
      </c>
      <c r="J110">
        <f t="shared" si="3"/>
        <v>0</v>
      </c>
    </row>
    <row r="111" spans="1:10" x14ac:dyDescent="0.25">
      <c r="A111" t="s">
        <v>1007</v>
      </c>
      <c r="B111">
        <v>6</v>
      </c>
      <c r="C111">
        <f>_xlfn.XLOOKUP(Recon!A111,[1]Backup!AJ:AJ,[1]Backup!L:L)</f>
        <v>83.89</v>
      </c>
      <c r="D111">
        <f>_xlfn.XLOOKUP(Recon!A111,[1]Backup!AJ:AJ,[1]Backup!K:K)</f>
        <v>2.8522599999999998</v>
      </c>
      <c r="E111">
        <f>SUMIF('[1]PO Report'!A:A,Recon!A111,'[1]PO Report'!P:P)</f>
        <v>6</v>
      </c>
      <c r="F111">
        <f>VLOOKUP(A111,'[1]PO Report'!$A:$Z,15,0)</f>
        <v>83.89</v>
      </c>
      <c r="H111">
        <f t="shared" si="2"/>
        <v>0</v>
      </c>
      <c r="J111">
        <f t="shared" si="3"/>
        <v>0</v>
      </c>
    </row>
    <row r="112" spans="1:10" x14ac:dyDescent="0.25">
      <c r="A112" t="s">
        <v>1008</v>
      </c>
      <c r="B112">
        <v>8</v>
      </c>
      <c r="C112">
        <f>_xlfn.XLOOKUP(Recon!A112,[1]Backup!AJ:AJ,[1]Backup!L:L)</f>
        <v>68.06</v>
      </c>
      <c r="D112">
        <f>_xlfn.XLOOKUP(Recon!A112,[1]Backup!AJ:AJ,[1]Backup!K:K)</f>
        <v>2.3140399999999999</v>
      </c>
      <c r="E112">
        <f>SUMIF('[1]PO Report'!A:A,Recon!A112,'[1]PO Report'!P:P)</f>
        <v>8</v>
      </c>
      <c r="F112">
        <f>VLOOKUP(A112,'[1]PO Report'!$A:$Z,15,0)</f>
        <v>68.06</v>
      </c>
      <c r="H112">
        <f t="shared" si="2"/>
        <v>0</v>
      </c>
      <c r="J112">
        <f t="shared" si="3"/>
        <v>0</v>
      </c>
    </row>
    <row r="113" spans="1:10" x14ac:dyDescent="0.25">
      <c r="A113" t="s">
        <v>1009</v>
      </c>
      <c r="B113">
        <v>2</v>
      </c>
      <c r="C113">
        <f>_xlfn.XLOOKUP(Recon!A113,[1]Backup!AJ:AJ,[1]Backup!L:L)</f>
        <v>63.83</v>
      </c>
      <c r="D113">
        <f>_xlfn.XLOOKUP(Recon!A113,[1]Backup!AJ:AJ,[1]Backup!K:K)</f>
        <v>2.17022</v>
      </c>
      <c r="E113">
        <f>SUMIF('[1]PO Report'!A:A,Recon!A113,'[1]PO Report'!P:P)</f>
        <v>2</v>
      </c>
      <c r="F113">
        <f>VLOOKUP(A113,'[1]PO Report'!$A:$Z,15,0)</f>
        <v>63.83</v>
      </c>
      <c r="H113">
        <f t="shared" si="2"/>
        <v>0</v>
      </c>
      <c r="J113">
        <f t="shared" si="3"/>
        <v>0</v>
      </c>
    </row>
    <row r="114" spans="1:10" x14ac:dyDescent="0.25">
      <c r="A114" t="s">
        <v>1010</v>
      </c>
      <c r="B114">
        <v>16</v>
      </c>
      <c r="C114">
        <f>_xlfn.XLOOKUP(Recon!A114,[1]Backup!AJ:AJ,[1]Backup!L:L)</f>
        <v>89.92</v>
      </c>
      <c r="D114">
        <f>_xlfn.XLOOKUP(Recon!A114,[1]Backup!AJ:AJ,[1]Backup!K:K)</f>
        <v>3.05728</v>
      </c>
      <c r="E114">
        <f>SUMIF('[1]PO Report'!A:A,Recon!A114,'[1]PO Report'!P:P)</f>
        <v>16</v>
      </c>
      <c r="F114">
        <f>VLOOKUP(A114,'[1]PO Report'!$A:$Z,15,0)</f>
        <v>89.92</v>
      </c>
      <c r="H114">
        <f t="shared" si="2"/>
        <v>0</v>
      </c>
      <c r="J114">
        <f t="shared" si="3"/>
        <v>0</v>
      </c>
    </row>
    <row r="115" spans="1:10" x14ac:dyDescent="0.25">
      <c r="A115" t="s">
        <v>1011</v>
      </c>
      <c r="B115">
        <v>22</v>
      </c>
      <c r="C115">
        <f>_xlfn.XLOOKUP(Recon!A115,[1]Backup!AJ:AJ,[1]Backup!L:L)</f>
        <v>147.21</v>
      </c>
      <c r="D115">
        <f>_xlfn.XLOOKUP(Recon!A115,[1]Backup!AJ:AJ,[1]Backup!K:K)</f>
        <v>5.0051399999999999</v>
      </c>
      <c r="E115">
        <f>SUMIF('[1]PO Report'!A:A,Recon!A115,'[1]PO Report'!P:P)</f>
        <v>22</v>
      </c>
      <c r="F115">
        <f>VLOOKUP(A115,'[1]PO Report'!$A:$Z,15,0)</f>
        <v>147.21</v>
      </c>
      <c r="H115">
        <f t="shared" si="2"/>
        <v>0</v>
      </c>
      <c r="J115">
        <f t="shared" si="3"/>
        <v>0</v>
      </c>
    </row>
    <row r="116" spans="1:10" x14ac:dyDescent="0.25">
      <c r="A116" t="s">
        <v>1012</v>
      </c>
      <c r="B116">
        <v>4</v>
      </c>
      <c r="C116">
        <f>_xlfn.XLOOKUP(Recon!A116,[1]Backup!AJ:AJ,[1]Backup!L:L)</f>
        <v>18.46</v>
      </c>
      <c r="D116">
        <f>_xlfn.XLOOKUP(Recon!A116,[1]Backup!AJ:AJ,[1]Backup!K:K)</f>
        <v>0.62763999999999998</v>
      </c>
      <c r="E116">
        <f>SUMIF('[1]PO Report'!A:A,Recon!A116,'[1]PO Report'!P:P)</f>
        <v>24</v>
      </c>
      <c r="F116">
        <f>VLOOKUP(A116,'[1]PO Report'!$A:$Z,15,0)</f>
        <v>18.46</v>
      </c>
      <c r="H116">
        <f t="shared" si="2"/>
        <v>-20</v>
      </c>
      <c r="J116">
        <f t="shared" si="3"/>
        <v>0</v>
      </c>
    </row>
    <row r="117" spans="1:10" x14ac:dyDescent="0.25">
      <c r="A117" t="s">
        <v>1013</v>
      </c>
      <c r="B117">
        <v>8</v>
      </c>
      <c r="C117">
        <f>_xlfn.XLOOKUP(Recon!A117,[1]Backup!AJ:AJ,[1]Backup!L:L)</f>
        <v>10.55</v>
      </c>
      <c r="D117">
        <f>_xlfn.XLOOKUP(Recon!A117,[1]Backup!AJ:AJ,[1]Backup!K:K)</f>
        <v>0.35870000000000002</v>
      </c>
      <c r="E117">
        <f>SUMIF('[1]PO Report'!A:A,Recon!A117,'[1]PO Report'!P:P)</f>
        <v>8</v>
      </c>
      <c r="F117">
        <f>VLOOKUP(A117,'[1]PO Report'!$A:$Z,15,0)</f>
        <v>10.55</v>
      </c>
      <c r="H117">
        <f t="shared" si="2"/>
        <v>0</v>
      </c>
      <c r="J117">
        <f t="shared" si="3"/>
        <v>0</v>
      </c>
    </row>
    <row r="118" spans="1:10" x14ac:dyDescent="0.25">
      <c r="A118" t="s">
        <v>1014</v>
      </c>
      <c r="B118">
        <v>10</v>
      </c>
      <c r="C118">
        <f>_xlfn.XLOOKUP(Recon!A118,[1]Backup!AJ:AJ,[1]Backup!L:L)</f>
        <v>23.419999999999998</v>
      </c>
      <c r="D118">
        <f>_xlfn.XLOOKUP(Recon!A118,[1]Backup!AJ:AJ,[1]Backup!K:K)</f>
        <v>0.79627999999999999</v>
      </c>
      <c r="E118">
        <f>SUMIF('[1]PO Report'!A:A,Recon!A118,'[1]PO Report'!P:P)</f>
        <v>10</v>
      </c>
      <c r="F118">
        <f>VLOOKUP(A118,'[1]PO Report'!$A:$Z,15,0)</f>
        <v>23.42</v>
      </c>
      <c r="H118">
        <f t="shared" si="2"/>
        <v>0</v>
      </c>
      <c r="J118">
        <f t="shared" si="3"/>
        <v>0</v>
      </c>
    </row>
    <row r="119" spans="1:10" x14ac:dyDescent="0.25">
      <c r="A119" t="s">
        <v>1015</v>
      </c>
      <c r="B119">
        <v>180</v>
      </c>
      <c r="C119">
        <f>_xlfn.XLOOKUP(Recon!A119,[1]Backup!AJ:AJ,[1]Backup!L:L)</f>
        <v>29.28</v>
      </c>
      <c r="D119">
        <f>_xlfn.XLOOKUP(Recon!A119,[1]Backup!AJ:AJ,[1]Backup!K:K)</f>
        <v>0.99551999999999996</v>
      </c>
      <c r="E119">
        <f>SUMIF('[1]PO Report'!A:A,Recon!A119,'[1]PO Report'!P:P)</f>
        <v>180</v>
      </c>
      <c r="F119">
        <f>VLOOKUP(A119,'[1]PO Report'!$A:$Z,15,0)</f>
        <v>29.28</v>
      </c>
      <c r="H119">
        <f t="shared" si="2"/>
        <v>0</v>
      </c>
      <c r="J119">
        <f t="shared" si="3"/>
        <v>0</v>
      </c>
    </row>
    <row r="120" spans="1:10" x14ac:dyDescent="0.25">
      <c r="A120" t="s">
        <v>1016</v>
      </c>
      <c r="B120">
        <v>2</v>
      </c>
      <c r="C120">
        <f>_xlfn.XLOOKUP(Recon!A120,[1]Backup!AJ:AJ,[1]Backup!L:L)</f>
        <v>106.49</v>
      </c>
      <c r="D120">
        <f>_xlfn.XLOOKUP(Recon!A120,[1]Backup!AJ:AJ,[1]Backup!K:K)</f>
        <v>3.62066</v>
      </c>
      <c r="E120">
        <f>SUMIF('[1]PO Report'!A:A,Recon!A120,'[1]PO Report'!P:P)</f>
        <v>2</v>
      </c>
      <c r="F120">
        <f>VLOOKUP(A120,'[1]PO Report'!$A:$Z,15,0)</f>
        <v>106.49</v>
      </c>
      <c r="H120">
        <f t="shared" si="2"/>
        <v>0</v>
      </c>
      <c r="J120">
        <f t="shared" si="3"/>
        <v>0</v>
      </c>
    </row>
    <row r="121" spans="1:10" x14ac:dyDescent="0.25">
      <c r="A121" t="s">
        <v>1017</v>
      </c>
      <c r="B121">
        <v>10</v>
      </c>
      <c r="C121">
        <f>_xlfn.XLOOKUP(Recon!A121,[1]Backup!AJ:AJ,[1]Backup!L:L)</f>
        <v>26.369999999999997</v>
      </c>
      <c r="D121">
        <f>_xlfn.XLOOKUP(Recon!A121,[1]Backup!AJ:AJ,[1]Backup!K:K)</f>
        <v>0.89657999999999993</v>
      </c>
      <c r="E121">
        <f>SUMIF('[1]PO Report'!A:A,Recon!A121,'[1]PO Report'!P:P)</f>
        <v>10</v>
      </c>
      <c r="F121">
        <f>VLOOKUP(A121,'[1]PO Report'!$A:$Z,15,0)</f>
        <v>26.37</v>
      </c>
      <c r="H121">
        <f t="shared" si="2"/>
        <v>0</v>
      </c>
      <c r="J121">
        <f t="shared" si="3"/>
        <v>0</v>
      </c>
    </row>
    <row r="122" spans="1:10" x14ac:dyDescent="0.25">
      <c r="A122" t="s">
        <v>1018</v>
      </c>
      <c r="B122">
        <v>10</v>
      </c>
      <c r="C122">
        <f>_xlfn.XLOOKUP(Recon!A122,[1]Backup!AJ:AJ,[1]Backup!L:L)</f>
        <v>9.9499999999999993</v>
      </c>
      <c r="D122">
        <f>_xlfn.XLOOKUP(Recon!A122,[1]Backup!AJ:AJ,[1]Backup!K:K)</f>
        <v>0.33829999999999999</v>
      </c>
      <c r="E122">
        <f>SUMIF('[1]PO Report'!A:A,Recon!A122,'[1]PO Report'!P:P)</f>
        <v>10</v>
      </c>
      <c r="F122">
        <f>VLOOKUP(A122,'[1]PO Report'!$A:$Z,15,0)</f>
        <v>9.9499999999999993</v>
      </c>
      <c r="H122">
        <f t="shared" si="2"/>
        <v>0</v>
      </c>
      <c r="J122">
        <f t="shared" si="3"/>
        <v>0</v>
      </c>
    </row>
    <row r="123" spans="1:10" x14ac:dyDescent="0.25">
      <c r="A123" t="s">
        <v>1019</v>
      </c>
      <c r="B123">
        <v>10</v>
      </c>
      <c r="C123">
        <f>_xlfn.XLOOKUP(Recon!A123,[1]Backup!AJ:AJ,[1]Backup!L:L)</f>
        <v>9.9499999999999993</v>
      </c>
      <c r="D123">
        <f>_xlfn.XLOOKUP(Recon!A123,[1]Backup!AJ:AJ,[1]Backup!K:K)</f>
        <v>0.33829999999999999</v>
      </c>
      <c r="E123">
        <f>SUMIF('[1]PO Report'!A:A,Recon!A123,'[1]PO Report'!P:P)</f>
        <v>10</v>
      </c>
      <c r="F123">
        <f>VLOOKUP(A123,'[1]PO Report'!$A:$Z,15,0)</f>
        <v>9.9499999999999993</v>
      </c>
      <c r="H123">
        <f t="shared" si="2"/>
        <v>0</v>
      </c>
      <c r="J123">
        <f t="shared" si="3"/>
        <v>0</v>
      </c>
    </row>
    <row r="124" spans="1:10" x14ac:dyDescent="0.25">
      <c r="A124" t="s">
        <v>1020</v>
      </c>
      <c r="B124">
        <v>8</v>
      </c>
      <c r="C124">
        <f>_xlfn.XLOOKUP(Recon!A124,[1]Backup!AJ:AJ,[1]Backup!L:L)</f>
        <v>20.5</v>
      </c>
      <c r="D124">
        <f>_xlfn.XLOOKUP(Recon!A124,[1]Backup!AJ:AJ,[1]Backup!K:K)</f>
        <v>0.69699999999999995</v>
      </c>
      <c r="E124">
        <f>SUMIF('[1]PO Report'!A:A,Recon!A124,'[1]PO Report'!P:P)</f>
        <v>8</v>
      </c>
      <c r="F124">
        <f>VLOOKUP(A124,'[1]PO Report'!$A:$Z,15,0)</f>
        <v>20.5</v>
      </c>
      <c r="H124">
        <f t="shared" si="2"/>
        <v>0</v>
      </c>
      <c r="J124">
        <f t="shared" si="3"/>
        <v>0</v>
      </c>
    </row>
    <row r="125" spans="1:10" x14ac:dyDescent="0.25">
      <c r="A125" t="s">
        <v>1021</v>
      </c>
      <c r="B125">
        <v>4</v>
      </c>
      <c r="C125">
        <f>_xlfn.XLOOKUP(Recon!A125,[1]Backup!AJ:AJ,[1]Backup!L:L)</f>
        <v>20.5</v>
      </c>
      <c r="D125">
        <f>_xlfn.XLOOKUP(Recon!A125,[1]Backup!AJ:AJ,[1]Backup!K:K)</f>
        <v>0.69699999999999995</v>
      </c>
      <c r="E125">
        <f>SUMIF('[1]PO Report'!A:A,Recon!A125,'[1]PO Report'!P:P)</f>
        <v>4</v>
      </c>
      <c r="F125">
        <f>VLOOKUP(A125,'[1]PO Report'!$A:$Z,15,0)</f>
        <v>20.5</v>
      </c>
      <c r="H125">
        <f t="shared" si="2"/>
        <v>0</v>
      </c>
      <c r="J125">
        <f t="shared" si="3"/>
        <v>0</v>
      </c>
    </row>
    <row r="126" spans="1:10" x14ac:dyDescent="0.25">
      <c r="A126" t="s">
        <v>1022</v>
      </c>
      <c r="B126">
        <v>6</v>
      </c>
      <c r="C126">
        <f>_xlfn.XLOOKUP(Recon!A126,[1]Backup!AJ:AJ,[1]Backup!L:L)</f>
        <v>23.42</v>
      </c>
      <c r="D126">
        <f>_xlfn.XLOOKUP(Recon!A126,[1]Backup!AJ:AJ,[1]Backup!K:K)</f>
        <v>0.79627999999999999</v>
      </c>
      <c r="E126">
        <f>SUMIF('[1]PO Report'!A:A,Recon!A126,'[1]PO Report'!P:P)</f>
        <v>6</v>
      </c>
      <c r="F126">
        <f>VLOOKUP(A126,'[1]PO Report'!$A:$Z,15,0)</f>
        <v>23.42</v>
      </c>
      <c r="H126">
        <f t="shared" si="2"/>
        <v>0</v>
      </c>
      <c r="J126">
        <f t="shared" si="3"/>
        <v>0</v>
      </c>
    </row>
    <row r="127" spans="1:10" x14ac:dyDescent="0.25">
      <c r="A127" t="s">
        <v>1023</v>
      </c>
      <c r="B127">
        <v>20</v>
      </c>
      <c r="C127">
        <f>_xlfn.XLOOKUP(Recon!A127,[1]Backup!AJ:AJ,[1]Backup!L:L)</f>
        <v>8.1999999999999993</v>
      </c>
      <c r="D127">
        <f>_xlfn.XLOOKUP(Recon!A127,[1]Backup!AJ:AJ,[1]Backup!K:K)</f>
        <v>0.27879999999999999</v>
      </c>
      <c r="E127">
        <f>SUMIF('[1]PO Report'!A:A,Recon!A127,'[1]PO Report'!P:P)</f>
        <v>20</v>
      </c>
      <c r="F127">
        <f>VLOOKUP(A127,'[1]PO Report'!$A:$Z,15,0)</f>
        <v>8.1999999999999993</v>
      </c>
      <c r="H127">
        <f t="shared" si="2"/>
        <v>0</v>
      </c>
      <c r="J127">
        <f t="shared" si="3"/>
        <v>0</v>
      </c>
    </row>
    <row r="128" spans="1:10" x14ac:dyDescent="0.25">
      <c r="A128" t="s">
        <v>1024</v>
      </c>
      <c r="B128">
        <v>10</v>
      </c>
      <c r="C128">
        <f>_xlfn.XLOOKUP(Recon!A128,[1]Backup!AJ:AJ,[1]Backup!L:L)</f>
        <v>14.64</v>
      </c>
      <c r="D128">
        <f>_xlfn.XLOOKUP(Recon!A128,[1]Backup!AJ:AJ,[1]Backup!K:K)</f>
        <v>0.49775999999999998</v>
      </c>
      <c r="E128">
        <f>SUMIF('[1]PO Report'!A:A,Recon!A128,'[1]PO Report'!P:P)</f>
        <v>10</v>
      </c>
      <c r="F128">
        <f>VLOOKUP(A128,'[1]PO Report'!$A:$Z,15,0)</f>
        <v>14.64</v>
      </c>
      <c r="H128">
        <f t="shared" si="2"/>
        <v>0</v>
      </c>
      <c r="J128">
        <f t="shared" si="3"/>
        <v>0</v>
      </c>
    </row>
    <row r="129" spans="1:10" x14ac:dyDescent="0.25">
      <c r="A129" t="s">
        <v>1025</v>
      </c>
      <c r="B129">
        <v>20</v>
      </c>
      <c r="C129">
        <f>_xlfn.XLOOKUP(Recon!A129,[1]Backup!AJ:AJ,[1]Backup!L:L)</f>
        <v>14.64</v>
      </c>
      <c r="D129">
        <f>_xlfn.XLOOKUP(Recon!A129,[1]Backup!AJ:AJ,[1]Backup!K:K)</f>
        <v>0.49775999999999998</v>
      </c>
      <c r="E129">
        <f>SUMIF('[1]PO Report'!A:A,Recon!A129,'[1]PO Report'!P:P)</f>
        <v>20</v>
      </c>
      <c r="F129">
        <f>VLOOKUP(A129,'[1]PO Report'!$A:$Z,15,0)</f>
        <v>14.64</v>
      </c>
      <c r="H129">
        <f t="shared" si="2"/>
        <v>0</v>
      </c>
      <c r="J129">
        <f t="shared" si="3"/>
        <v>0</v>
      </c>
    </row>
    <row r="130" spans="1:10" x14ac:dyDescent="0.25">
      <c r="A130" t="s">
        <v>1026</v>
      </c>
      <c r="B130">
        <v>8</v>
      </c>
      <c r="C130">
        <f>_xlfn.XLOOKUP(Recon!A130,[1]Backup!AJ:AJ,[1]Backup!L:L)</f>
        <v>20.5</v>
      </c>
      <c r="D130">
        <f>_xlfn.XLOOKUP(Recon!A130,[1]Backup!AJ:AJ,[1]Backup!K:K)</f>
        <v>0.69699999999999995</v>
      </c>
      <c r="E130">
        <f>SUMIF('[1]PO Report'!A:A,Recon!A130,'[1]PO Report'!P:P)</f>
        <v>8</v>
      </c>
      <c r="F130">
        <f>VLOOKUP(A130,'[1]PO Report'!$A:$Z,15,0)</f>
        <v>20.5</v>
      </c>
      <c r="H130">
        <f t="shared" si="2"/>
        <v>0</v>
      </c>
      <c r="J130">
        <f t="shared" si="3"/>
        <v>0</v>
      </c>
    </row>
    <row r="131" spans="1:10" x14ac:dyDescent="0.25">
      <c r="A131" t="s">
        <v>1027</v>
      </c>
      <c r="B131">
        <v>30</v>
      </c>
      <c r="C131">
        <f>_xlfn.XLOOKUP(Recon!A131,[1]Backup!AJ:AJ,[1]Backup!L:L)</f>
        <v>14.639999999999999</v>
      </c>
      <c r="D131">
        <f>_xlfn.XLOOKUP(Recon!A131,[1]Backup!AJ:AJ,[1]Backup!K:K)</f>
        <v>0.49776000000000004</v>
      </c>
      <c r="E131">
        <f>SUMIF('[1]PO Report'!A:A,Recon!A131,'[1]PO Report'!P:P)</f>
        <v>30</v>
      </c>
      <c r="F131">
        <f>VLOOKUP(A131,'[1]PO Report'!$A:$Z,15,0)</f>
        <v>14.64</v>
      </c>
      <c r="H131">
        <f t="shared" si="2"/>
        <v>0</v>
      </c>
      <c r="J131">
        <f t="shared" si="3"/>
        <v>0</v>
      </c>
    </row>
    <row r="132" spans="1:10" x14ac:dyDescent="0.25">
      <c r="A132" t="s">
        <v>1028</v>
      </c>
      <c r="B132">
        <v>48</v>
      </c>
      <c r="C132">
        <f>_xlfn.XLOOKUP(Recon!A132,[1]Backup!AJ:AJ,[1]Backup!L:L)</f>
        <v>42.199999999999996</v>
      </c>
      <c r="D132">
        <f>_xlfn.XLOOKUP(Recon!A132,[1]Backup!AJ:AJ,[1]Backup!K:K)</f>
        <v>1.4348000000000001</v>
      </c>
      <c r="E132">
        <f>SUMIF('[1]PO Report'!A:A,Recon!A132,'[1]PO Report'!P:P)</f>
        <v>48</v>
      </c>
      <c r="F132">
        <f>VLOOKUP(A132,'[1]PO Report'!$A:$Z,15,0)</f>
        <v>42.2</v>
      </c>
      <c r="H132">
        <f t="shared" ref="H132:H195" si="4">B132-E132</f>
        <v>0</v>
      </c>
      <c r="J132">
        <f t="shared" ref="J132:J195" si="5">C132-F132</f>
        <v>0</v>
      </c>
    </row>
    <row r="133" spans="1:10" x14ac:dyDescent="0.25">
      <c r="A133" t="s">
        <v>1029</v>
      </c>
      <c r="B133">
        <v>8</v>
      </c>
      <c r="C133">
        <f>_xlfn.XLOOKUP(Recon!A133,[1]Backup!AJ:AJ,[1]Backup!L:L)</f>
        <v>75.41</v>
      </c>
      <c r="D133">
        <f>_xlfn.XLOOKUP(Recon!A133,[1]Backup!AJ:AJ,[1]Backup!K:K)</f>
        <v>2.5639400000000001</v>
      </c>
      <c r="E133">
        <f>SUMIF('[1]PO Report'!A:A,Recon!A133,'[1]PO Report'!P:P)</f>
        <v>8</v>
      </c>
      <c r="F133">
        <f>VLOOKUP(A133,'[1]PO Report'!$A:$Z,15,0)</f>
        <v>75.41</v>
      </c>
      <c r="H133">
        <f t="shared" si="4"/>
        <v>0</v>
      </c>
      <c r="J133">
        <f t="shared" si="5"/>
        <v>0</v>
      </c>
    </row>
    <row r="134" spans="1:10" x14ac:dyDescent="0.25">
      <c r="A134" t="s">
        <v>1030</v>
      </c>
      <c r="B134">
        <v>8</v>
      </c>
      <c r="C134">
        <f>_xlfn.XLOOKUP(Recon!A134,[1]Backup!AJ:AJ,[1]Backup!L:L)</f>
        <v>52.76</v>
      </c>
      <c r="D134">
        <f>_xlfn.XLOOKUP(Recon!A134,[1]Backup!AJ:AJ,[1]Backup!K:K)</f>
        <v>1.7938400000000001</v>
      </c>
      <c r="E134">
        <f>SUMIF('[1]PO Report'!A:A,Recon!A134,'[1]PO Report'!P:P)</f>
        <v>8</v>
      </c>
      <c r="F134">
        <f>VLOOKUP(A134,'[1]PO Report'!$A:$Z,15,0)</f>
        <v>52.76</v>
      </c>
      <c r="H134">
        <f t="shared" si="4"/>
        <v>0</v>
      </c>
      <c r="J134">
        <f t="shared" si="5"/>
        <v>0</v>
      </c>
    </row>
    <row r="135" spans="1:10" x14ac:dyDescent="0.25">
      <c r="A135" t="s">
        <v>1031</v>
      </c>
      <c r="B135">
        <v>4</v>
      </c>
      <c r="C135">
        <f>_xlfn.XLOOKUP(Recon!A135,[1]Backup!AJ:AJ,[1]Backup!L:L)</f>
        <v>52.76</v>
      </c>
      <c r="D135">
        <f>_xlfn.XLOOKUP(Recon!A135,[1]Backup!AJ:AJ,[1]Backup!K:K)</f>
        <v>1.7938400000000001</v>
      </c>
      <c r="E135">
        <f>SUMIF('[1]PO Report'!A:A,Recon!A135,'[1]PO Report'!P:P)</f>
        <v>4</v>
      </c>
      <c r="F135">
        <f>VLOOKUP(A135,'[1]PO Report'!$A:$Z,15,0)</f>
        <v>52.76</v>
      </c>
      <c r="H135">
        <f t="shared" si="4"/>
        <v>0</v>
      </c>
      <c r="J135">
        <f t="shared" si="5"/>
        <v>0</v>
      </c>
    </row>
    <row r="136" spans="1:10" x14ac:dyDescent="0.25">
      <c r="A136" t="s">
        <v>1032</v>
      </c>
      <c r="B136">
        <v>4</v>
      </c>
      <c r="C136">
        <f>_xlfn.XLOOKUP(Recon!A136,[1]Backup!AJ:AJ,[1]Backup!L:L)</f>
        <v>78.62</v>
      </c>
      <c r="D136">
        <f>_xlfn.XLOOKUP(Recon!A136,[1]Backup!AJ:AJ,[1]Backup!K:K)</f>
        <v>2.6730800000000001</v>
      </c>
      <c r="E136">
        <f>SUMIF('[1]PO Report'!A:A,Recon!A136,'[1]PO Report'!P:P)</f>
        <v>4</v>
      </c>
      <c r="F136">
        <f>VLOOKUP(A136,'[1]PO Report'!$A:$Z,15,0)</f>
        <v>78.62</v>
      </c>
      <c r="H136">
        <f t="shared" si="4"/>
        <v>0</v>
      </c>
      <c r="J136">
        <f t="shared" si="5"/>
        <v>0</v>
      </c>
    </row>
    <row r="137" spans="1:10" x14ac:dyDescent="0.25">
      <c r="A137" t="s">
        <v>1033</v>
      </c>
      <c r="B137">
        <v>8</v>
      </c>
      <c r="C137">
        <f>_xlfn.XLOOKUP(Recon!A137,[1]Backup!AJ:AJ,[1]Backup!L:L)</f>
        <v>78.62</v>
      </c>
      <c r="D137">
        <f>_xlfn.XLOOKUP(Recon!A137,[1]Backup!AJ:AJ,[1]Backup!K:K)</f>
        <v>2.6730800000000001</v>
      </c>
      <c r="E137">
        <f>SUMIF('[1]PO Report'!A:A,Recon!A137,'[1]PO Report'!P:P)</f>
        <v>8</v>
      </c>
      <c r="F137">
        <f>VLOOKUP(A137,'[1]PO Report'!$A:$Z,15,0)</f>
        <v>78.62</v>
      </c>
      <c r="H137">
        <f t="shared" si="4"/>
        <v>0</v>
      </c>
      <c r="J137">
        <f t="shared" si="5"/>
        <v>0</v>
      </c>
    </row>
    <row r="138" spans="1:10" x14ac:dyDescent="0.25">
      <c r="A138" t="s">
        <v>1034</v>
      </c>
      <c r="B138">
        <v>8</v>
      </c>
      <c r="C138">
        <f>_xlfn.XLOOKUP(Recon!A138,[1]Backup!AJ:AJ,[1]Backup!L:L)</f>
        <v>115.44</v>
      </c>
      <c r="D138">
        <f>_xlfn.XLOOKUP(Recon!A138,[1]Backup!AJ:AJ,[1]Backup!K:K)</f>
        <v>3.92496</v>
      </c>
      <c r="E138">
        <f>SUMIF('[1]PO Report'!A:A,Recon!A138,'[1]PO Report'!P:P)</f>
        <v>8</v>
      </c>
      <c r="F138">
        <f>VLOOKUP(A138,'[1]PO Report'!$A:$Z,15,0)</f>
        <v>115.44</v>
      </c>
      <c r="H138">
        <f t="shared" si="4"/>
        <v>0</v>
      </c>
      <c r="J138">
        <f t="shared" si="5"/>
        <v>0</v>
      </c>
    </row>
    <row r="139" spans="1:10" x14ac:dyDescent="0.25">
      <c r="A139" t="s">
        <v>1035</v>
      </c>
      <c r="B139">
        <v>140</v>
      </c>
      <c r="C139">
        <f>_xlfn.XLOOKUP(Recon!A139,[1]Backup!AJ:AJ,[1]Backup!L:L)</f>
        <v>14.639999999999999</v>
      </c>
      <c r="D139">
        <f>_xlfn.XLOOKUP(Recon!A139,[1]Backup!AJ:AJ,[1]Backup!K:K)</f>
        <v>0.49776000000000004</v>
      </c>
      <c r="E139">
        <f>SUMIF('[1]PO Report'!A:A,Recon!A139,'[1]PO Report'!P:P)</f>
        <v>140</v>
      </c>
      <c r="F139">
        <f>VLOOKUP(A139,'[1]PO Report'!$A:$Z,15,0)</f>
        <v>14.64</v>
      </c>
      <c r="H139">
        <f t="shared" si="4"/>
        <v>0</v>
      </c>
      <c r="J139">
        <f t="shared" si="5"/>
        <v>0</v>
      </c>
    </row>
    <row r="140" spans="1:10" x14ac:dyDescent="0.25">
      <c r="A140" t="s">
        <v>1036</v>
      </c>
      <c r="B140">
        <v>8</v>
      </c>
      <c r="C140">
        <f>_xlfn.XLOOKUP(Recon!A140,[1]Backup!AJ:AJ,[1]Backup!L:L)</f>
        <v>40.99</v>
      </c>
      <c r="D140">
        <f>_xlfn.XLOOKUP(Recon!A140,[1]Backup!AJ:AJ,[1]Backup!K:K)</f>
        <v>1.3936599999999999</v>
      </c>
      <c r="E140">
        <f>SUMIF('[1]PO Report'!A:A,Recon!A140,'[1]PO Report'!P:P)</f>
        <v>8</v>
      </c>
      <c r="F140">
        <f>VLOOKUP(A140,'[1]PO Report'!$A:$Z,15,0)</f>
        <v>40.99</v>
      </c>
      <c r="H140">
        <f t="shared" si="4"/>
        <v>0</v>
      </c>
      <c r="J140">
        <f t="shared" si="5"/>
        <v>0</v>
      </c>
    </row>
    <row r="141" spans="1:10" x14ac:dyDescent="0.25">
      <c r="A141" t="s">
        <v>1037</v>
      </c>
      <c r="B141">
        <v>4</v>
      </c>
      <c r="C141">
        <f>_xlfn.XLOOKUP(Recon!A141,[1]Backup!AJ:AJ,[1]Backup!L:L)</f>
        <v>62.79</v>
      </c>
      <c r="D141">
        <f>_xlfn.XLOOKUP(Recon!A141,[1]Backup!AJ:AJ,[1]Backup!K:K)</f>
        <v>2.1348600000000002</v>
      </c>
      <c r="E141">
        <f>SUMIF('[1]PO Report'!A:A,Recon!A141,'[1]PO Report'!P:P)</f>
        <v>4</v>
      </c>
      <c r="F141">
        <f>VLOOKUP(A141,'[1]PO Report'!$A:$Z,15,0)</f>
        <v>62.79</v>
      </c>
      <c r="H141">
        <f t="shared" si="4"/>
        <v>0</v>
      </c>
      <c r="J141">
        <f t="shared" si="5"/>
        <v>0</v>
      </c>
    </row>
    <row r="142" spans="1:10" x14ac:dyDescent="0.25">
      <c r="A142" t="s">
        <v>1038</v>
      </c>
      <c r="B142">
        <v>6</v>
      </c>
      <c r="C142">
        <f>_xlfn.XLOOKUP(Recon!A142,[1]Backup!AJ:AJ,[1]Backup!L:L)</f>
        <v>20.3</v>
      </c>
      <c r="D142">
        <f>_xlfn.XLOOKUP(Recon!A142,[1]Backup!AJ:AJ,[1]Backup!K:K)</f>
        <v>0.69020000000000004</v>
      </c>
      <c r="E142">
        <f>SUMIF('[1]PO Report'!A:A,Recon!A142,'[1]PO Report'!P:P)</f>
        <v>6</v>
      </c>
      <c r="F142">
        <f>VLOOKUP(A142,'[1]PO Report'!$A:$Z,15,0)</f>
        <v>20.3</v>
      </c>
      <c r="H142">
        <f t="shared" si="4"/>
        <v>0</v>
      </c>
      <c r="J142">
        <f t="shared" si="5"/>
        <v>0</v>
      </c>
    </row>
    <row r="143" spans="1:10" x14ac:dyDescent="0.25">
      <c r="A143" t="s">
        <v>1039</v>
      </c>
      <c r="B143">
        <v>4</v>
      </c>
      <c r="C143">
        <f>_xlfn.XLOOKUP(Recon!A143,[1]Backup!AJ:AJ,[1]Backup!L:L)</f>
        <v>62.79</v>
      </c>
      <c r="D143">
        <f>_xlfn.XLOOKUP(Recon!A143,[1]Backup!AJ:AJ,[1]Backup!K:K)</f>
        <v>2.1348600000000002</v>
      </c>
      <c r="E143">
        <f>SUMIF('[1]PO Report'!A:A,Recon!A143,'[1]PO Report'!P:P)</f>
        <v>4</v>
      </c>
      <c r="F143">
        <f>VLOOKUP(A143,'[1]PO Report'!$A:$Z,15,0)</f>
        <v>62.79</v>
      </c>
      <c r="H143">
        <f t="shared" si="4"/>
        <v>0</v>
      </c>
      <c r="J143">
        <f t="shared" si="5"/>
        <v>0</v>
      </c>
    </row>
    <row r="144" spans="1:10" x14ac:dyDescent="0.25">
      <c r="A144" t="s">
        <v>1040</v>
      </c>
      <c r="B144">
        <v>4</v>
      </c>
      <c r="C144">
        <f>_xlfn.XLOOKUP(Recon!A144,[1]Backup!AJ:AJ,[1]Backup!L:L)</f>
        <v>42.2</v>
      </c>
      <c r="D144">
        <f>_xlfn.XLOOKUP(Recon!A144,[1]Backup!AJ:AJ,[1]Backup!K:K)</f>
        <v>1.4348000000000001</v>
      </c>
      <c r="E144">
        <f>SUMIF('[1]PO Report'!A:A,Recon!A144,'[1]PO Report'!P:P)</f>
        <v>4</v>
      </c>
      <c r="F144">
        <f>VLOOKUP(A144,'[1]PO Report'!$A:$Z,15,0)</f>
        <v>42.2</v>
      </c>
      <c r="H144">
        <f t="shared" si="4"/>
        <v>0</v>
      </c>
      <c r="J144">
        <f t="shared" si="5"/>
        <v>0</v>
      </c>
    </row>
    <row r="145" spans="1:10" x14ac:dyDescent="0.25">
      <c r="A145" t="s">
        <v>1041</v>
      </c>
      <c r="B145">
        <v>40</v>
      </c>
      <c r="C145">
        <f>_xlfn.XLOOKUP(Recon!A145,[1]Backup!AJ:AJ,[1]Backup!L:L)</f>
        <v>9.9499999999999993</v>
      </c>
      <c r="D145">
        <f>_xlfn.XLOOKUP(Recon!A145,[1]Backup!AJ:AJ,[1]Backup!K:K)</f>
        <v>0.33829999999999999</v>
      </c>
      <c r="E145">
        <f>SUMIF('[1]PO Report'!A:A,Recon!A145,'[1]PO Report'!P:P)</f>
        <v>40</v>
      </c>
      <c r="F145">
        <f>VLOOKUP(A145,'[1]PO Report'!$A:$Z,15,0)</f>
        <v>9.9499999999999993</v>
      </c>
      <c r="H145">
        <f t="shared" si="4"/>
        <v>0</v>
      </c>
      <c r="J145">
        <f t="shared" si="5"/>
        <v>0</v>
      </c>
    </row>
    <row r="146" spans="1:10" x14ac:dyDescent="0.25">
      <c r="A146" t="s">
        <v>1042</v>
      </c>
      <c r="B146">
        <v>40</v>
      </c>
      <c r="C146">
        <f>_xlfn.XLOOKUP(Recon!A146,[1]Backup!AJ:AJ,[1]Backup!L:L)</f>
        <v>5.85</v>
      </c>
      <c r="D146">
        <f>_xlfn.XLOOKUP(Recon!A146,[1]Backup!AJ:AJ,[1]Backup!K:K)</f>
        <v>0.19890000000000002</v>
      </c>
      <c r="E146">
        <f>SUMIF('[1]PO Report'!A:A,Recon!A146,'[1]PO Report'!P:P)</f>
        <v>40</v>
      </c>
      <c r="F146">
        <f>VLOOKUP(A146,'[1]PO Report'!$A:$Z,15,0)</f>
        <v>5.85</v>
      </c>
      <c r="H146">
        <f t="shared" si="4"/>
        <v>0</v>
      </c>
      <c r="J146">
        <f t="shared" si="5"/>
        <v>0</v>
      </c>
    </row>
    <row r="147" spans="1:10" x14ac:dyDescent="0.25">
      <c r="A147" t="s">
        <v>1043</v>
      </c>
      <c r="B147">
        <v>4</v>
      </c>
      <c r="C147">
        <f>_xlfn.XLOOKUP(Recon!A147,[1]Backup!AJ:AJ,[1]Backup!L:L)</f>
        <v>31.65</v>
      </c>
      <c r="D147">
        <f>_xlfn.XLOOKUP(Recon!A147,[1]Backup!AJ:AJ,[1]Backup!K:K)</f>
        <v>1.0761000000000001</v>
      </c>
      <c r="E147">
        <f>SUMIF('[1]PO Report'!A:A,Recon!A147,'[1]PO Report'!P:P)</f>
        <v>160</v>
      </c>
      <c r="F147">
        <f>VLOOKUP(A147,'[1]PO Report'!$A:$Z,15,0)</f>
        <v>31.65</v>
      </c>
      <c r="H147">
        <f t="shared" si="4"/>
        <v>-156</v>
      </c>
      <c r="J147">
        <f t="shared" si="5"/>
        <v>0</v>
      </c>
    </row>
    <row r="148" spans="1:10" x14ac:dyDescent="0.25">
      <c r="A148" t="s">
        <v>1044</v>
      </c>
      <c r="B148">
        <v>8</v>
      </c>
      <c r="C148">
        <f>_xlfn.XLOOKUP(Recon!A148,[1]Backup!AJ:AJ,[1]Backup!L:L)</f>
        <v>79.73</v>
      </c>
      <c r="D148">
        <f>_xlfn.XLOOKUP(Recon!A148,[1]Backup!AJ:AJ,[1]Backup!K:K)</f>
        <v>2.71082</v>
      </c>
      <c r="E148">
        <f>SUMIF('[1]PO Report'!A:A,Recon!A148,'[1]PO Report'!P:P)</f>
        <v>76</v>
      </c>
      <c r="F148">
        <f>VLOOKUP(A148,'[1]PO Report'!$A:$Z,15,0)</f>
        <v>79.73</v>
      </c>
      <c r="H148">
        <f t="shared" si="4"/>
        <v>-68</v>
      </c>
      <c r="J148">
        <f t="shared" si="5"/>
        <v>0</v>
      </c>
    </row>
    <row r="149" spans="1:10" x14ac:dyDescent="0.25">
      <c r="A149" t="s">
        <v>1045</v>
      </c>
      <c r="B149">
        <v>2</v>
      </c>
      <c r="C149">
        <f>_xlfn.XLOOKUP(Recon!A149,[1]Backup!AJ:AJ,[1]Backup!L:L)</f>
        <v>106.49</v>
      </c>
      <c r="D149">
        <f>_xlfn.XLOOKUP(Recon!A149,[1]Backup!AJ:AJ,[1]Backup!K:K)</f>
        <v>3.62066</v>
      </c>
      <c r="E149">
        <f>SUMIF('[1]PO Report'!A:A,Recon!A149,'[1]PO Report'!P:P)</f>
        <v>214</v>
      </c>
      <c r="F149">
        <f>VLOOKUP(A149,'[1]PO Report'!$A:$Z,15,0)</f>
        <v>106.49</v>
      </c>
      <c r="H149">
        <f t="shared" si="4"/>
        <v>-212</v>
      </c>
      <c r="J149">
        <f t="shared" si="5"/>
        <v>0</v>
      </c>
    </row>
    <row r="150" spans="1:10" x14ac:dyDescent="0.25">
      <c r="A150" t="s">
        <v>1046</v>
      </c>
      <c r="B150">
        <v>4</v>
      </c>
      <c r="C150">
        <f>_xlfn.XLOOKUP(Recon!A150,[1]Backup!AJ:AJ,[1]Backup!L:L)</f>
        <v>47.48</v>
      </c>
      <c r="D150">
        <f>_xlfn.XLOOKUP(Recon!A150,[1]Backup!AJ:AJ,[1]Backup!K:K)</f>
        <v>1.61432</v>
      </c>
      <c r="E150">
        <f>SUMIF('[1]PO Report'!A:A,Recon!A150,'[1]PO Report'!P:P)</f>
        <v>188</v>
      </c>
      <c r="F150">
        <f>VLOOKUP(A150,'[1]PO Report'!$A:$Z,15,0)</f>
        <v>47.48</v>
      </c>
      <c r="H150">
        <f t="shared" si="4"/>
        <v>-184</v>
      </c>
      <c r="J150">
        <f t="shared" si="5"/>
        <v>0</v>
      </c>
    </row>
    <row r="151" spans="1:10" x14ac:dyDescent="0.25">
      <c r="A151" t="s">
        <v>1047</v>
      </c>
      <c r="B151">
        <v>90</v>
      </c>
      <c r="C151">
        <f>_xlfn.XLOOKUP(Recon!A151,[1]Backup!AJ:AJ,[1]Backup!L:L)</f>
        <v>8.1999999999999993</v>
      </c>
      <c r="D151">
        <f>_xlfn.XLOOKUP(Recon!A151,[1]Backup!AJ:AJ,[1]Backup!K:K)</f>
        <v>0.27879999999999999</v>
      </c>
      <c r="E151">
        <f>SUMIF('[1]PO Report'!A:A,Recon!A151,'[1]PO Report'!P:P)</f>
        <v>90</v>
      </c>
      <c r="F151">
        <f>VLOOKUP(A151,'[1]PO Report'!$A:$Z,15,0)</f>
        <v>8.1999999999999993</v>
      </c>
      <c r="H151">
        <f t="shared" si="4"/>
        <v>0</v>
      </c>
      <c r="J151">
        <f t="shared" si="5"/>
        <v>0</v>
      </c>
    </row>
    <row r="152" spans="1:10" x14ac:dyDescent="0.25">
      <c r="A152" t="s">
        <v>1048</v>
      </c>
      <c r="B152">
        <v>100</v>
      </c>
      <c r="C152">
        <f>_xlfn.XLOOKUP(Recon!A152,[1]Backup!AJ:AJ,[1]Backup!L:L)</f>
        <v>210.52</v>
      </c>
      <c r="D152">
        <f>_xlfn.XLOOKUP(Recon!A152,[1]Backup!AJ:AJ,[1]Backup!K:K)</f>
        <v>7.15768</v>
      </c>
      <c r="E152">
        <f>SUMIF('[1]PO Report'!A:A,Recon!A152,'[1]PO Report'!P:P)</f>
        <v>100</v>
      </c>
      <c r="F152">
        <f>VLOOKUP(A152,'[1]PO Report'!$A:$Z,15,0)</f>
        <v>210.52</v>
      </c>
      <c r="H152">
        <f t="shared" si="4"/>
        <v>0</v>
      </c>
      <c r="J152">
        <f t="shared" si="5"/>
        <v>0</v>
      </c>
    </row>
    <row r="153" spans="1:10" x14ac:dyDescent="0.25">
      <c r="A153" t="s">
        <v>1049</v>
      </c>
      <c r="B153">
        <v>16</v>
      </c>
      <c r="C153">
        <f>_xlfn.XLOOKUP(Recon!A153,[1]Backup!AJ:AJ,[1]Backup!L:L)</f>
        <v>20.5</v>
      </c>
      <c r="D153">
        <f>_xlfn.XLOOKUP(Recon!A153,[1]Backup!AJ:AJ,[1]Backup!K:K)</f>
        <v>0.69699999999999995</v>
      </c>
      <c r="E153">
        <f>SUMIF('[1]PO Report'!A:A,Recon!A153,'[1]PO Report'!P:P)</f>
        <v>16</v>
      </c>
      <c r="F153">
        <f>VLOOKUP(A153,'[1]PO Report'!$A:$Z,15,0)</f>
        <v>20.5</v>
      </c>
      <c r="H153">
        <f t="shared" si="4"/>
        <v>0</v>
      </c>
      <c r="J153">
        <f t="shared" si="5"/>
        <v>0</v>
      </c>
    </row>
    <row r="154" spans="1:10" x14ac:dyDescent="0.25">
      <c r="A154" t="s">
        <v>1050</v>
      </c>
      <c r="B154">
        <v>10</v>
      </c>
      <c r="C154">
        <f>_xlfn.XLOOKUP(Recon!A154,[1]Backup!AJ:AJ,[1]Backup!L:L)</f>
        <v>17.559999999999999</v>
      </c>
      <c r="D154">
        <f>_xlfn.XLOOKUP(Recon!A154,[1]Backup!AJ:AJ,[1]Backup!K:K)</f>
        <v>0.59704000000000002</v>
      </c>
      <c r="E154">
        <f>SUMIF('[1]PO Report'!A:A,Recon!A154,'[1]PO Report'!P:P)</f>
        <v>10</v>
      </c>
      <c r="F154">
        <f>VLOOKUP(A154,'[1]PO Report'!$A:$Z,15,0)</f>
        <v>17.559999999999999</v>
      </c>
      <c r="H154">
        <f t="shared" si="4"/>
        <v>0</v>
      </c>
      <c r="J154">
        <f t="shared" si="5"/>
        <v>0</v>
      </c>
    </row>
    <row r="155" spans="1:10" x14ac:dyDescent="0.25">
      <c r="A155" t="s">
        <v>1051</v>
      </c>
      <c r="B155">
        <v>4</v>
      </c>
      <c r="C155">
        <f>_xlfn.XLOOKUP(Recon!A155,[1]Backup!AJ:AJ,[1]Backup!L:L)</f>
        <v>75.41</v>
      </c>
      <c r="D155">
        <f>_xlfn.XLOOKUP(Recon!A155,[1]Backup!AJ:AJ,[1]Backup!K:K)</f>
        <v>2.5639400000000001</v>
      </c>
      <c r="E155">
        <f>SUMIF('[1]PO Report'!A:A,Recon!A155,'[1]PO Report'!P:P)</f>
        <v>4</v>
      </c>
      <c r="F155">
        <f>VLOOKUP(A155,'[1]PO Report'!$A:$Z,15,0)</f>
        <v>75.41</v>
      </c>
      <c r="H155">
        <f t="shared" si="4"/>
        <v>0</v>
      </c>
      <c r="J155">
        <f t="shared" si="5"/>
        <v>0</v>
      </c>
    </row>
    <row r="156" spans="1:10" x14ac:dyDescent="0.25">
      <c r="A156" t="s">
        <v>1052</v>
      </c>
      <c r="B156">
        <v>654</v>
      </c>
      <c r="C156">
        <f>_xlfn.XLOOKUP(Recon!A156,[1]Backup!AJ:AJ,[1]Backup!L:L)</f>
        <v>20.3</v>
      </c>
      <c r="D156">
        <f>_xlfn.XLOOKUP(Recon!A156,[1]Backup!AJ:AJ,[1]Backup!K:K)</f>
        <v>0.69020000000000004</v>
      </c>
      <c r="E156">
        <f>SUMIF('[1]PO Report'!A:A,Recon!A156,'[1]PO Report'!P:P)</f>
        <v>654</v>
      </c>
      <c r="F156">
        <f>VLOOKUP(A156,'[1]PO Report'!$A:$Z,15,0)</f>
        <v>20.3</v>
      </c>
      <c r="H156">
        <f t="shared" si="4"/>
        <v>0</v>
      </c>
      <c r="J156">
        <f t="shared" si="5"/>
        <v>0</v>
      </c>
    </row>
    <row r="157" spans="1:10" x14ac:dyDescent="0.25">
      <c r="A157" t="s">
        <v>1053</v>
      </c>
      <c r="B157">
        <v>20</v>
      </c>
      <c r="C157">
        <f>_xlfn.XLOOKUP(Recon!A157,[1]Backup!AJ:AJ,[1]Backup!L:L)</f>
        <v>68.06</v>
      </c>
      <c r="D157">
        <f>_xlfn.XLOOKUP(Recon!A157,[1]Backup!AJ:AJ,[1]Backup!K:K)</f>
        <v>2.3140399999999999</v>
      </c>
      <c r="E157">
        <f>SUMIF('[1]PO Report'!A:A,Recon!A157,'[1]PO Report'!P:P)</f>
        <v>20</v>
      </c>
      <c r="F157">
        <f>VLOOKUP(A157,'[1]PO Report'!$A:$Z,15,0)</f>
        <v>68.06</v>
      </c>
      <c r="H157">
        <f t="shared" si="4"/>
        <v>0</v>
      </c>
      <c r="J157">
        <f t="shared" si="5"/>
        <v>0</v>
      </c>
    </row>
    <row r="158" spans="1:10" x14ac:dyDescent="0.25">
      <c r="A158" t="s">
        <v>1054</v>
      </c>
      <c r="B158">
        <v>30</v>
      </c>
      <c r="C158">
        <f>_xlfn.XLOOKUP(Recon!A158,[1]Backup!AJ:AJ,[1]Backup!L:L)</f>
        <v>9.9499999999999993</v>
      </c>
      <c r="D158">
        <f>_xlfn.XLOOKUP(Recon!A158,[1]Backup!AJ:AJ,[1]Backup!K:K)</f>
        <v>0.33829999999999999</v>
      </c>
      <c r="E158">
        <f>SUMIF('[1]PO Report'!A:A,Recon!A158,'[1]PO Report'!P:P)</f>
        <v>30</v>
      </c>
      <c r="F158">
        <f>VLOOKUP(A158,'[1]PO Report'!$A:$Z,15,0)</f>
        <v>9.9499999999999993</v>
      </c>
      <c r="H158">
        <f t="shared" si="4"/>
        <v>0</v>
      </c>
      <c r="J158">
        <f t="shared" si="5"/>
        <v>0</v>
      </c>
    </row>
    <row r="159" spans="1:10" x14ac:dyDescent="0.25">
      <c r="A159" t="s">
        <v>1055</v>
      </c>
      <c r="B159">
        <v>30</v>
      </c>
      <c r="C159">
        <f>_xlfn.XLOOKUP(Recon!A159,[1]Backup!AJ:AJ,[1]Backup!L:L)</f>
        <v>9.9499999999999993</v>
      </c>
      <c r="D159">
        <f>_xlfn.XLOOKUP(Recon!A159,[1]Backup!AJ:AJ,[1]Backup!K:K)</f>
        <v>0.33829999999999999</v>
      </c>
      <c r="E159">
        <f>SUMIF('[1]PO Report'!A:A,Recon!A159,'[1]PO Report'!P:P)</f>
        <v>30</v>
      </c>
      <c r="F159">
        <f>VLOOKUP(A159,'[1]PO Report'!$A:$Z,15,0)</f>
        <v>9.9499999999999993</v>
      </c>
      <c r="H159">
        <f t="shared" si="4"/>
        <v>0</v>
      </c>
      <c r="J159">
        <f t="shared" si="5"/>
        <v>0</v>
      </c>
    </row>
    <row r="160" spans="1:10" x14ac:dyDescent="0.25">
      <c r="A160" t="s">
        <v>1056</v>
      </c>
      <c r="B160">
        <v>40</v>
      </c>
      <c r="C160">
        <f>_xlfn.XLOOKUP(Recon!A160,[1]Backup!AJ:AJ,[1]Backup!L:L)</f>
        <v>14.64</v>
      </c>
      <c r="D160">
        <f>_xlfn.XLOOKUP(Recon!A160,[1]Backup!AJ:AJ,[1]Backup!K:K)</f>
        <v>0.49775999999999998</v>
      </c>
      <c r="E160">
        <f>SUMIF('[1]PO Report'!A:A,Recon!A160,'[1]PO Report'!P:P)</f>
        <v>40</v>
      </c>
      <c r="F160">
        <f>VLOOKUP(A160,'[1]PO Report'!$A:$Z,15,0)</f>
        <v>14.64</v>
      </c>
      <c r="H160">
        <f t="shared" si="4"/>
        <v>0</v>
      </c>
      <c r="J160">
        <f t="shared" si="5"/>
        <v>0</v>
      </c>
    </row>
    <row r="161" spans="1:10" x14ac:dyDescent="0.25">
      <c r="A161" t="s">
        <v>1057</v>
      </c>
      <c r="B161">
        <v>10</v>
      </c>
      <c r="C161">
        <f>_xlfn.XLOOKUP(Recon!A161,[1]Backup!AJ:AJ,[1]Backup!L:L)</f>
        <v>8.1999999999999993</v>
      </c>
      <c r="D161">
        <f>_xlfn.XLOOKUP(Recon!A161,[1]Backup!AJ:AJ,[1]Backup!K:K)</f>
        <v>0.27879999999999999</v>
      </c>
      <c r="E161">
        <f>SUMIF('[1]PO Report'!A:A,Recon!A161,'[1]PO Report'!P:P)</f>
        <v>10</v>
      </c>
      <c r="F161">
        <f>VLOOKUP(A161,'[1]PO Report'!$A:$Z,15,0)</f>
        <v>8.1999999999999993</v>
      </c>
      <c r="H161">
        <f t="shared" si="4"/>
        <v>0</v>
      </c>
      <c r="J161">
        <f t="shared" si="5"/>
        <v>0</v>
      </c>
    </row>
    <row r="162" spans="1:10" x14ac:dyDescent="0.25">
      <c r="A162" t="s">
        <v>1058</v>
      </c>
      <c r="B162">
        <v>4</v>
      </c>
      <c r="C162">
        <f>_xlfn.XLOOKUP(Recon!A162,[1]Backup!AJ:AJ,[1]Backup!L:L)</f>
        <v>20.5</v>
      </c>
      <c r="D162">
        <f>_xlfn.XLOOKUP(Recon!A162,[1]Backup!AJ:AJ,[1]Backup!K:K)</f>
        <v>0.69699999999999995</v>
      </c>
      <c r="E162">
        <f>SUMIF('[1]PO Report'!A:A,Recon!A162,'[1]PO Report'!P:P)</f>
        <v>4</v>
      </c>
      <c r="F162">
        <f>VLOOKUP(A162,'[1]PO Report'!$A:$Z,15,0)</f>
        <v>20.5</v>
      </c>
      <c r="H162">
        <f t="shared" si="4"/>
        <v>0</v>
      </c>
      <c r="J162">
        <f t="shared" si="5"/>
        <v>0</v>
      </c>
    </row>
    <row r="163" spans="1:10" x14ac:dyDescent="0.25">
      <c r="A163" t="s">
        <v>1059</v>
      </c>
      <c r="B163">
        <v>10</v>
      </c>
      <c r="C163">
        <f>_xlfn.XLOOKUP(Recon!A163,[1]Backup!AJ:AJ,[1]Backup!L:L)</f>
        <v>14.64</v>
      </c>
      <c r="D163">
        <f>_xlfn.XLOOKUP(Recon!A163,[1]Backup!AJ:AJ,[1]Backup!K:K)</f>
        <v>0.49775999999999998</v>
      </c>
      <c r="E163">
        <f>SUMIF('[1]PO Report'!A:A,Recon!A163,'[1]PO Report'!P:P)</f>
        <v>10</v>
      </c>
      <c r="F163">
        <f>VLOOKUP(A163,'[1]PO Report'!$A:$Z,15,0)</f>
        <v>14.64</v>
      </c>
      <c r="H163">
        <f t="shared" si="4"/>
        <v>0</v>
      </c>
      <c r="J163">
        <f t="shared" si="5"/>
        <v>0</v>
      </c>
    </row>
    <row r="164" spans="1:10" x14ac:dyDescent="0.25">
      <c r="A164" t="s">
        <v>1060</v>
      </c>
      <c r="B164">
        <v>30</v>
      </c>
      <c r="C164">
        <f>_xlfn.XLOOKUP(Recon!A164,[1]Backup!AJ:AJ,[1]Backup!L:L)</f>
        <v>23.42</v>
      </c>
      <c r="D164">
        <f>_xlfn.XLOOKUP(Recon!A164,[1]Backup!AJ:AJ,[1]Backup!K:K)</f>
        <v>0.79627999999999999</v>
      </c>
      <c r="E164">
        <f>SUMIF('[1]PO Report'!A:A,Recon!A164,'[1]PO Report'!P:P)</f>
        <v>30</v>
      </c>
      <c r="F164">
        <f>VLOOKUP(A164,'[1]PO Report'!$A:$Z,15,0)</f>
        <v>23.42</v>
      </c>
      <c r="H164">
        <f t="shared" si="4"/>
        <v>0</v>
      </c>
      <c r="J164">
        <f t="shared" si="5"/>
        <v>0</v>
      </c>
    </row>
    <row r="165" spans="1:10" x14ac:dyDescent="0.25">
      <c r="A165" t="s">
        <v>1061</v>
      </c>
      <c r="B165">
        <v>40</v>
      </c>
      <c r="C165">
        <f>_xlfn.XLOOKUP(Recon!A165,[1]Backup!AJ:AJ,[1]Backup!L:L)</f>
        <v>8.1999999999999993</v>
      </c>
      <c r="D165">
        <f>_xlfn.XLOOKUP(Recon!A165,[1]Backup!AJ:AJ,[1]Backup!K:K)</f>
        <v>0.27879999999999999</v>
      </c>
      <c r="E165">
        <f>SUMIF('[1]PO Report'!A:A,Recon!A165,'[1]PO Report'!P:P)</f>
        <v>40</v>
      </c>
      <c r="F165">
        <f>VLOOKUP(A165,'[1]PO Report'!$A:$Z,15,0)</f>
        <v>8.1999999999999993</v>
      </c>
      <c r="H165">
        <f t="shared" si="4"/>
        <v>0</v>
      </c>
      <c r="J165">
        <f t="shared" si="5"/>
        <v>0</v>
      </c>
    </row>
    <row r="166" spans="1:10" x14ac:dyDescent="0.25">
      <c r="A166" t="s">
        <v>1062</v>
      </c>
      <c r="B166">
        <v>90</v>
      </c>
      <c r="C166">
        <f>_xlfn.XLOOKUP(Recon!A166,[1]Backup!AJ:AJ,[1]Backup!L:L)</f>
        <v>210.51999999999998</v>
      </c>
      <c r="D166">
        <f>_xlfn.XLOOKUP(Recon!A166,[1]Backup!AJ:AJ,[1]Backup!K:K)</f>
        <v>7.15768</v>
      </c>
      <c r="E166">
        <f>SUMIF('[1]PO Report'!A:A,Recon!A166,'[1]PO Report'!P:P)</f>
        <v>90</v>
      </c>
      <c r="F166">
        <f>VLOOKUP(A166,'[1]PO Report'!$A:$Z,15,0)</f>
        <v>210.52</v>
      </c>
      <c r="H166">
        <f t="shared" si="4"/>
        <v>0</v>
      </c>
      <c r="J166">
        <f t="shared" si="5"/>
        <v>0</v>
      </c>
    </row>
    <row r="167" spans="1:10" x14ac:dyDescent="0.25">
      <c r="A167" t="s">
        <v>1063</v>
      </c>
      <c r="B167">
        <v>8</v>
      </c>
      <c r="C167">
        <f>_xlfn.XLOOKUP(Recon!A167,[1]Backup!AJ:AJ,[1]Backup!L:L)</f>
        <v>20.5</v>
      </c>
      <c r="D167">
        <f>_xlfn.XLOOKUP(Recon!A167,[1]Backup!AJ:AJ,[1]Backup!K:K)</f>
        <v>0.69699999999999995</v>
      </c>
      <c r="E167">
        <f>SUMIF('[1]PO Report'!A:A,Recon!A167,'[1]PO Report'!P:P)</f>
        <v>8</v>
      </c>
      <c r="F167">
        <f>VLOOKUP(A167,'[1]PO Report'!$A:$Z,15,0)</f>
        <v>20.5</v>
      </c>
      <c r="H167">
        <f t="shared" si="4"/>
        <v>0</v>
      </c>
      <c r="J167">
        <f t="shared" si="5"/>
        <v>0</v>
      </c>
    </row>
    <row r="168" spans="1:10" x14ac:dyDescent="0.25">
      <c r="A168" t="s">
        <v>1064</v>
      </c>
      <c r="B168">
        <v>4</v>
      </c>
      <c r="C168">
        <f>_xlfn.XLOOKUP(Recon!A168,[1]Backup!AJ:AJ,[1]Backup!L:L)</f>
        <v>42.2</v>
      </c>
      <c r="D168">
        <f>_xlfn.XLOOKUP(Recon!A168,[1]Backup!AJ:AJ,[1]Backup!K:K)</f>
        <v>1.4348000000000001</v>
      </c>
      <c r="E168">
        <f>SUMIF('[1]PO Report'!A:A,Recon!A168,'[1]PO Report'!P:P)</f>
        <v>4</v>
      </c>
      <c r="F168">
        <f>VLOOKUP(A168,'[1]PO Report'!$A:$Z,15,0)</f>
        <v>42.2</v>
      </c>
      <c r="H168">
        <f t="shared" si="4"/>
        <v>0</v>
      </c>
      <c r="J168">
        <f t="shared" si="5"/>
        <v>0</v>
      </c>
    </row>
    <row r="169" spans="1:10" x14ac:dyDescent="0.25">
      <c r="A169" t="s">
        <v>1065</v>
      </c>
      <c r="B169">
        <v>16</v>
      </c>
      <c r="C169">
        <f>_xlfn.XLOOKUP(Recon!A169,[1]Backup!AJ:AJ,[1]Backup!L:L)</f>
        <v>75.41</v>
      </c>
      <c r="D169">
        <f>_xlfn.XLOOKUP(Recon!A169,[1]Backup!AJ:AJ,[1]Backup!K:K)</f>
        <v>2.5639400000000001</v>
      </c>
      <c r="E169">
        <f>SUMIF('[1]PO Report'!A:A,Recon!A169,'[1]PO Report'!P:P)</f>
        <v>16</v>
      </c>
      <c r="F169">
        <f>VLOOKUP(A169,'[1]PO Report'!$A:$Z,15,0)</f>
        <v>75.41</v>
      </c>
      <c r="H169">
        <f t="shared" si="4"/>
        <v>0</v>
      </c>
      <c r="J169">
        <f t="shared" si="5"/>
        <v>0</v>
      </c>
    </row>
    <row r="170" spans="1:10" x14ac:dyDescent="0.25">
      <c r="A170" t="s">
        <v>1066</v>
      </c>
      <c r="B170">
        <v>6</v>
      </c>
      <c r="C170">
        <f>_xlfn.XLOOKUP(Recon!A170,[1]Backup!AJ:AJ,[1]Backup!L:L)</f>
        <v>20.3</v>
      </c>
      <c r="D170">
        <f>_xlfn.XLOOKUP(Recon!A170,[1]Backup!AJ:AJ,[1]Backup!K:K)</f>
        <v>0.69020000000000004</v>
      </c>
      <c r="E170">
        <f>SUMIF('[1]PO Report'!A:A,Recon!A170,'[1]PO Report'!P:P)</f>
        <v>6</v>
      </c>
      <c r="F170">
        <f>VLOOKUP(A170,'[1]PO Report'!$A:$Z,15,0)</f>
        <v>20.3</v>
      </c>
      <c r="H170">
        <f t="shared" si="4"/>
        <v>0</v>
      </c>
      <c r="J170">
        <f t="shared" si="5"/>
        <v>0</v>
      </c>
    </row>
    <row r="171" spans="1:10" x14ac:dyDescent="0.25">
      <c r="A171" t="s">
        <v>1067</v>
      </c>
      <c r="B171">
        <v>240</v>
      </c>
      <c r="C171">
        <f>_xlfn.XLOOKUP(Recon!A171,[1]Backup!AJ:AJ,[1]Backup!L:L)</f>
        <v>14.639999999999999</v>
      </c>
      <c r="D171">
        <f>_xlfn.XLOOKUP(Recon!A171,[1]Backup!AJ:AJ,[1]Backup!K:K)</f>
        <v>0.49776000000000004</v>
      </c>
      <c r="E171">
        <f>SUMIF('[1]PO Report'!A:A,Recon!A171,'[1]PO Report'!P:P)</f>
        <v>240</v>
      </c>
      <c r="F171">
        <f>VLOOKUP(A171,'[1]PO Report'!$A:$Z,15,0)</f>
        <v>14.64</v>
      </c>
      <c r="H171">
        <f t="shared" si="4"/>
        <v>0</v>
      </c>
      <c r="J171">
        <f t="shared" si="5"/>
        <v>0</v>
      </c>
    </row>
    <row r="172" spans="1:10" x14ac:dyDescent="0.25">
      <c r="A172" t="s">
        <v>1068</v>
      </c>
      <c r="B172">
        <v>104</v>
      </c>
      <c r="C172">
        <f>_xlfn.XLOOKUP(Recon!A172,[1]Backup!AJ:AJ,[1]Backup!L:L)</f>
        <v>29.279999999999998</v>
      </c>
      <c r="D172">
        <f>_xlfn.XLOOKUP(Recon!A172,[1]Backup!AJ:AJ,[1]Backup!K:K)</f>
        <v>0.99552000000000007</v>
      </c>
      <c r="E172">
        <f>SUMIF('[1]PO Report'!A:A,Recon!A172,'[1]PO Report'!P:P)</f>
        <v>104</v>
      </c>
      <c r="F172">
        <f>VLOOKUP(A172,'[1]PO Report'!$A:$Z,15,0)</f>
        <v>29.28</v>
      </c>
      <c r="H172">
        <f t="shared" si="4"/>
        <v>0</v>
      </c>
      <c r="J172">
        <f t="shared" si="5"/>
        <v>0</v>
      </c>
    </row>
    <row r="173" spans="1:10" x14ac:dyDescent="0.25">
      <c r="A173" t="s">
        <v>1069</v>
      </c>
      <c r="B173">
        <v>128</v>
      </c>
      <c r="C173">
        <f>_xlfn.XLOOKUP(Recon!A173,[1]Backup!AJ:AJ,[1]Backup!L:L)</f>
        <v>20.5</v>
      </c>
      <c r="D173">
        <f>_xlfn.XLOOKUP(Recon!A173,[1]Backup!AJ:AJ,[1]Backup!K:K)</f>
        <v>0.69699999999999995</v>
      </c>
      <c r="E173">
        <f>SUMIF('[1]PO Report'!A:A,Recon!A173,'[1]PO Report'!P:P)</f>
        <v>128</v>
      </c>
      <c r="F173">
        <f>VLOOKUP(A173,'[1]PO Report'!$A:$Z,15,0)</f>
        <v>20.5</v>
      </c>
      <c r="H173">
        <f t="shared" si="4"/>
        <v>0</v>
      </c>
      <c r="J173">
        <f t="shared" si="5"/>
        <v>0</v>
      </c>
    </row>
    <row r="174" spans="1:10" x14ac:dyDescent="0.25">
      <c r="A174" t="s">
        <v>1070</v>
      </c>
      <c r="B174">
        <v>30</v>
      </c>
      <c r="C174">
        <f>_xlfn.XLOOKUP(Recon!A174,[1]Backup!AJ:AJ,[1]Backup!L:L)</f>
        <v>17.559999999999999</v>
      </c>
      <c r="D174">
        <f>_xlfn.XLOOKUP(Recon!A174,[1]Backup!AJ:AJ,[1]Backup!K:K)</f>
        <v>0.59704000000000002</v>
      </c>
      <c r="E174">
        <f>SUMIF('[1]PO Report'!A:A,Recon!A174,'[1]PO Report'!P:P)</f>
        <v>30</v>
      </c>
      <c r="F174">
        <f>VLOOKUP(A174,'[1]PO Report'!$A:$Z,15,0)</f>
        <v>17.559999999999999</v>
      </c>
      <c r="H174">
        <f t="shared" si="4"/>
        <v>0</v>
      </c>
      <c r="J174">
        <f t="shared" si="5"/>
        <v>0</v>
      </c>
    </row>
    <row r="175" spans="1:10" x14ac:dyDescent="0.25">
      <c r="A175" t="s">
        <v>1071</v>
      </c>
      <c r="B175">
        <v>20</v>
      </c>
      <c r="C175">
        <f>_xlfn.XLOOKUP(Recon!A175,[1]Backup!AJ:AJ,[1]Backup!L:L)</f>
        <v>62.79</v>
      </c>
      <c r="D175">
        <f>_xlfn.XLOOKUP(Recon!A175,[1]Backup!AJ:AJ,[1]Backup!K:K)</f>
        <v>2.1348600000000002</v>
      </c>
      <c r="E175">
        <f>SUMIF('[1]PO Report'!A:A,Recon!A175,'[1]PO Report'!P:P)</f>
        <v>20</v>
      </c>
      <c r="F175">
        <f>VLOOKUP(A175,'[1]PO Report'!$A:$Z,15,0)</f>
        <v>62.79</v>
      </c>
      <c r="H175">
        <f t="shared" si="4"/>
        <v>0</v>
      </c>
      <c r="J175">
        <f t="shared" si="5"/>
        <v>0</v>
      </c>
    </row>
    <row r="176" spans="1:10" x14ac:dyDescent="0.25">
      <c r="A176" t="s">
        <v>1072</v>
      </c>
      <c r="B176">
        <v>204</v>
      </c>
      <c r="C176">
        <f>_xlfn.XLOOKUP(Recon!A176,[1]Backup!AJ:AJ,[1]Backup!L:L)</f>
        <v>20.3</v>
      </c>
      <c r="D176">
        <f>_xlfn.XLOOKUP(Recon!A176,[1]Backup!AJ:AJ,[1]Backup!K:K)</f>
        <v>0.69020000000000004</v>
      </c>
      <c r="E176">
        <f>SUMIF('[1]PO Report'!A:A,Recon!A176,'[1]PO Report'!P:P)</f>
        <v>204</v>
      </c>
      <c r="F176">
        <f>VLOOKUP(A176,'[1]PO Report'!$A:$Z,15,0)</f>
        <v>20.3</v>
      </c>
      <c r="H176">
        <f t="shared" si="4"/>
        <v>0</v>
      </c>
      <c r="J176">
        <f t="shared" si="5"/>
        <v>0</v>
      </c>
    </row>
    <row r="177" spans="1:10" x14ac:dyDescent="0.25">
      <c r="A177" t="s">
        <v>1073</v>
      </c>
      <c r="B177">
        <v>316</v>
      </c>
      <c r="C177">
        <f>_xlfn.XLOOKUP(Recon!A177,[1]Backup!AJ:AJ,[1]Backup!L:L)</f>
        <v>42.2</v>
      </c>
      <c r="D177">
        <f>_xlfn.XLOOKUP(Recon!A177,[1]Backup!AJ:AJ,[1]Backup!K:K)</f>
        <v>1.4347999999999999</v>
      </c>
      <c r="E177">
        <f>SUMIF('[1]PO Report'!A:A,Recon!A177,'[1]PO Report'!P:P)</f>
        <v>316</v>
      </c>
      <c r="F177">
        <f>VLOOKUP(A177,'[1]PO Report'!$A:$Z,15,0)</f>
        <v>42.2</v>
      </c>
      <c r="H177">
        <f t="shared" si="4"/>
        <v>0</v>
      </c>
      <c r="J177">
        <f t="shared" si="5"/>
        <v>0</v>
      </c>
    </row>
    <row r="178" spans="1:10" x14ac:dyDescent="0.25">
      <c r="A178" t="s">
        <v>1074</v>
      </c>
      <c r="B178">
        <v>18</v>
      </c>
      <c r="C178">
        <f>_xlfn.XLOOKUP(Recon!A178,[1]Backup!AJ:AJ,[1]Backup!L:L)</f>
        <v>20.299999999999997</v>
      </c>
      <c r="D178">
        <f>_xlfn.XLOOKUP(Recon!A178,[1]Backup!AJ:AJ,[1]Backup!K:K)</f>
        <v>0.69020000000000004</v>
      </c>
      <c r="E178">
        <f>SUMIF('[1]PO Report'!A:A,Recon!A178,'[1]PO Report'!P:P)</f>
        <v>18</v>
      </c>
      <c r="F178">
        <f>VLOOKUP(A178,'[1]PO Report'!$A:$Z,15,0)</f>
        <v>20.3</v>
      </c>
      <c r="H178">
        <f t="shared" si="4"/>
        <v>0</v>
      </c>
      <c r="J178">
        <f t="shared" si="5"/>
        <v>0</v>
      </c>
    </row>
    <row r="179" spans="1:10" x14ac:dyDescent="0.25">
      <c r="A179" t="s">
        <v>1075</v>
      </c>
      <c r="B179">
        <v>48</v>
      </c>
      <c r="C179">
        <f>_xlfn.XLOOKUP(Recon!A179,[1]Backup!AJ:AJ,[1]Backup!L:L)</f>
        <v>10.549999999999999</v>
      </c>
      <c r="D179">
        <f>_xlfn.XLOOKUP(Recon!A179,[1]Backup!AJ:AJ,[1]Backup!K:K)</f>
        <v>0.35870000000000002</v>
      </c>
      <c r="E179">
        <f>SUMIF('[1]PO Report'!A:A,Recon!A179,'[1]PO Report'!P:P)</f>
        <v>48</v>
      </c>
      <c r="F179">
        <f>VLOOKUP(A179,'[1]PO Report'!$A:$Z,15,0)</f>
        <v>10.55</v>
      </c>
      <c r="H179">
        <f t="shared" si="4"/>
        <v>0</v>
      </c>
      <c r="J179">
        <f t="shared" si="5"/>
        <v>0</v>
      </c>
    </row>
    <row r="180" spans="1:10" x14ac:dyDescent="0.25">
      <c r="A180" t="s">
        <v>1076</v>
      </c>
      <c r="B180">
        <v>400</v>
      </c>
      <c r="C180">
        <f>_xlfn.XLOOKUP(Recon!A180,[1]Backup!AJ:AJ,[1]Backup!L:L)</f>
        <v>5.85</v>
      </c>
      <c r="D180">
        <f>_xlfn.XLOOKUP(Recon!A180,[1]Backup!AJ:AJ,[1]Backup!K:K)</f>
        <v>0.19889999999999999</v>
      </c>
      <c r="E180">
        <f>SUMIF('[1]PO Report'!A:A,Recon!A180,'[1]PO Report'!P:P)</f>
        <v>400</v>
      </c>
      <c r="F180">
        <f>VLOOKUP(A180,'[1]PO Report'!$A:$Z,15,0)</f>
        <v>5.85</v>
      </c>
      <c r="H180">
        <f t="shared" si="4"/>
        <v>0</v>
      </c>
      <c r="J180">
        <f t="shared" si="5"/>
        <v>0</v>
      </c>
    </row>
    <row r="181" spans="1:10" x14ac:dyDescent="0.25">
      <c r="A181" t="s">
        <v>1077</v>
      </c>
      <c r="B181">
        <v>20</v>
      </c>
      <c r="C181">
        <f>_xlfn.XLOOKUP(Recon!A181,[1]Backup!AJ:AJ,[1]Backup!L:L)</f>
        <v>29.28</v>
      </c>
      <c r="D181">
        <f>_xlfn.XLOOKUP(Recon!A181,[1]Backup!AJ:AJ,[1]Backup!K:K)</f>
        <v>0.99551999999999996</v>
      </c>
      <c r="E181">
        <f>SUMIF('[1]PO Report'!A:A,Recon!A181,'[1]PO Report'!P:P)</f>
        <v>20</v>
      </c>
      <c r="F181">
        <f>VLOOKUP(A181,'[1]PO Report'!$A:$Z,15,0)</f>
        <v>29.28</v>
      </c>
      <c r="H181">
        <f t="shared" si="4"/>
        <v>0</v>
      </c>
      <c r="J181">
        <f t="shared" si="5"/>
        <v>0</v>
      </c>
    </row>
    <row r="182" spans="1:10" x14ac:dyDescent="0.25">
      <c r="A182" t="s">
        <v>1078</v>
      </c>
      <c r="B182">
        <v>40</v>
      </c>
      <c r="C182">
        <f>_xlfn.XLOOKUP(Recon!A182,[1]Backup!AJ:AJ,[1]Backup!L:L)</f>
        <v>14.64</v>
      </c>
      <c r="D182">
        <f>_xlfn.XLOOKUP(Recon!A182,[1]Backup!AJ:AJ,[1]Backup!K:K)</f>
        <v>0.49775999999999998</v>
      </c>
      <c r="E182">
        <f>SUMIF('[1]PO Report'!A:A,Recon!A182,'[1]PO Report'!P:P)</f>
        <v>40</v>
      </c>
      <c r="F182">
        <f>VLOOKUP(A182,'[1]PO Report'!$A:$Z,15,0)</f>
        <v>14.64</v>
      </c>
      <c r="H182">
        <f t="shared" si="4"/>
        <v>0</v>
      </c>
      <c r="J182">
        <f t="shared" si="5"/>
        <v>0</v>
      </c>
    </row>
    <row r="183" spans="1:10" x14ac:dyDescent="0.25">
      <c r="A183" t="s">
        <v>1079</v>
      </c>
      <c r="B183">
        <v>40</v>
      </c>
      <c r="C183">
        <f>_xlfn.XLOOKUP(Recon!A183,[1]Backup!AJ:AJ,[1]Backup!L:L)</f>
        <v>9.9499999999999993</v>
      </c>
      <c r="D183">
        <f>_xlfn.XLOOKUP(Recon!A183,[1]Backup!AJ:AJ,[1]Backup!K:K)</f>
        <v>0.33829999999999999</v>
      </c>
      <c r="E183">
        <f>SUMIF('[1]PO Report'!A:A,Recon!A183,'[1]PO Report'!P:P)</f>
        <v>40</v>
      </c>
      <c r="F183">
        <f>VLOOKUP(A183,'[1]PO Report'!$A:$Z,15,0)</f>
        <v>9.9499999999999993</v>
      </c>
      <c r="H183">
        <f t="shared" si="4"/>
        <v>0</v>
      </c>
      <c r="J183">
        <f t="shared" si="5"/>
        <v>0</v>
      </c>
    </row>
    <row r="184" spans="1:10" x14ac:dyDescent="0.25">
      <c r="A184" t="s">
        <v>1080</v>
      </c>
      <c r="B184">
        <v>8</v>
      </c>
      <c r="C184">
        <f>_xlfn.XLOOKUP(Recon!A184,[1]Backup!AJ:AJ,[1]Backup!L:L)</f>
        <v>17.559999999999999</v>
      </c>
      <c r="D184">
        <f>_xlfn.XLOOKUP(Recon!A184,[1]Backup!AJ:AJ,[1]Backup!K:K)</f>
        <v>0.59704000000000002</v>
      </c>
      <c r="E184">
        <f>SUMIF('[1]PO Report'!A:A,Recon!A184,'[1]PO Report'!P:P)</f>
        <v>8</v>
      </c>
      <c r="F184">
        <f>VLOOKUP(A184,'[1]PO Report'!$A:$Z,15,0)</f>
        <v>17.559999999999999</v>
      </c>
      <c r="H184">
        <f t="shared" si="4"/>
        <v>0</v>
      </c>
      <c r="J184">
        <f t="shared" si="5"/>
        <v>0</v>
      </c>
    </row>
    <row r="185" spans="1:10" x14ac:dyDescent="0.25">
      <c r="A185" t="s">
        <v>1081</v>
      </c>
      <c r="B185">
        <v>60</v>
      </c>
      <c r="C185">
        <f>_xlfn.XLOOKUP(Recon!A185,[1]Backup!AJ:AJ,[1]Backup!L:L)</f>
        <v>20.5</v>
      </c>
      <c r="D185">
        <f>_xlfn.XLOOKUP(Recon!A185,[1]Backup!AJ:AJ,[1]Backup!K:K)</f>
        <v>0.69699999999999995</v>
      </c>
      <c r="E185">
        <f>SUMIF('[1]PO Report'!A:A,Recon!A185,'[1]PO Report'!P:P)</f>
        <v>60</v>
      </c>
      <c r="F185">
        <f>VLOOKUP(A185,'[1]PO Report'!$A:$Z,15,0)</f>
        <v>20.5</v>
      </c>
      <c r="H185">
        <f t="shared" si="4"/>
        <v>0</v>
      </c>
      <c r="J185">
        <f t="shared" si="5"/>
        <v>0</v>
      </c>
    </row>
    <row r="186" spans="1:10" x14ac:dyDescent="0.25">
      <c r="A186" t="s">
        <v>1082</v>
      </c>
      <c r="B186">
        <v>24</v>
      </c>
      <c r="C186">
        <f>_xlfn.XLOOKUP(Recon!A186,[1]Backup!AJ:AJ,[1]Backup!L:L)</f>
        <v>43.330000000000005</v>
      </c>
      <c r="D186">
        <f>_xlfn.XLOOKUP(Recon!A186,[1]Backup!AJ:AJ,[1]Backup!K:K)</f>
        <v>1.4732200000000002</v>
      </c>
      <c r="E186">
        <f>SUMIF('[1]PO Report'!A:A,Recon!A186,'[1]PO Report'!P:P)</f>
        <v>24</v>
      </c>
      <c r="F186">
        <f>VLOOKUP(A186,'[1]PO Report'!$A:$Z,15,0)</f>
        <v>43.33</v>
      </c>
      <c r="H186">
        <f t="shared" si="4"/>
        <v>0</v>
      </c>
      <c r="J186">
        <f t="shared" si="5"/>
        <v>0</v>
      </c>
    </row>
    <row r="187" spans="1:10" x14ac:dyDescent="0.25">
      <c r="A187" t="s">
        <v>1083</v>
      </c>
      <c r="B187">
        <v>48</v>
      </c>
      <c r="C187">
        <f>_xlfn.XLOOKUP(Recon!A187,[1]Backup!AJ:AJ,[1]Backup!L:L)</f>
        <v>36.93</v>
      </c>
      <c r="D187">
        <f>_xlfn.XLOOKUP(Recon!A187,[1]Backup!AJ:AJ,[1]Backup!K:K)</f>
        <v>1.25562</v>
      </c>
      <c r="E187">
        <f>SUMIF('[1]PO Report'!A:A,Recon!A187,'[1]PO Report'!P:P)</f>
        <v>48</v>
      </c>
      <c r="F187">
        <f>VLOOKUP(A187,'[1]PO Report'!$A:$Z,15,0)</f>
        <v>36.93</v>
      </c>
      <c r="H187">
        <f t="shared" si="4"/>
        <v>0</v>
      </c>
      <c r="J187">
        <f t="shared" si="5"/>
        <v>0</v>
      </c>
    </row>
    <row r="188" spans="1:10" x14ac:dyDescent="0.25">
      <c r="A188" t="s">
        <v>1084</v>
      </c>
      <c r="B188">
        <v>8</v>
      </c>
      <c r="C188">
        <f>_xlfn.XLOOKUP(Recon!A188,[1]Backup!AJ:AJ,[1]Backup!L:L)</f>
        <v>32.21</v>
      </c>
      <c r="D188">
        <f>_xlfn.XLOOKUP(Recon!A188,[1]Backup!AJ:AJ,[1]Backup!K:K)</f>
        <v>1.09514</v>
      </c>
      <c r="E188">
        <f>SUMIF('[1]PO Report'!A:A,Recon!A188,'[1]PO Report'!P:P)</f>
        <v>8</v>
      </c>
      <c r="F188">
        <f>VLOOKUP(A188,'[1]PO Report'!$A:$Z,15,0)</f>
        <v>32.21</v>
      </c>
      <c r="H188">
        <f t="shared" si="4"/>
        <v>0</v>
      </c>
      <c r="J188">
        <f t="shared" si="5"/>
        <v>0</v>
      </c>
    </row>
    <row r="189" spans="1:10" x14ac:dyDescent="0.25">
      <c r="A189" t="s">
        <v>1085</v>
      </c>
      <c r="B189">
        <v>10</v>
      </c>
      <c r="C189">
        <f>_xlfn.XLOOKUP(Recon!A189,[1]Backup!AJ:AJ,[1]Backup!L:L)</f>
        <v>20.5</v>
      </c>
      <c r="D189">
        <f>_xlfn.XLOOKUP(Recon!A189,[1]Backup!AJ:AJ,[1]Backup!K:K)</f>
        <v>0.69699999999999995</v>
      </c>
      <c r="E189">
        <f>SUMIF('[1]PO Report'!A:A,Recon!A189,'[1]PO Report'!P:P)</f>
        <v>10</v>
      </c>
      <c r="F189">
        <f>VLOOKUP(A189,'[1]PO Report'!$A:$Z,15,0)</f>
        <v>20.5</v>
      </c>
      <c r="H189">
        <f t="shared" si="4"/>
        <v>0</v>
      </c>
      <c r="J189">
        <f t="shared" si="5"/>
        <v>0</v>
      </c>
    </row>
    <row r="190" spans="1:10" x14ac:dyDescent="0.25">
      <c r="A190" t="s">
        <v>1086</v>
      </c>
      <c r="B190">
        <v>4</v>
      </c>
      <c r="C190">
        <f>_xlfn.XLOOKUP(Recon!A190,[1]Backup!AJ:AJ,[1]Backup!L:L)</f>
        <v>23.74</v>
      </c>
      <c r="D190">
        <f>_xlfn.XLOOKUP(Recon!A190,[1]Backup!AJ:AJ,[1]Backup!K:K)</f>
        <v>0.80715999999999999</v>
      </c>
      <c r="E190">
        <f>SUMIF('[1]PO Report'!A:A,Recon!A190,'[1]PO Report'!P:P)</f>
        <v>4</v>
      </c>
      <c r="F190">
        <f>VLOOKUP(A190,'[1]PO Report'!$A:$Z,15,0)</f>
        <v>23.74</v>
      </c>
      <c r="H190">
        <f t="shared" si="4"/>
        <v>0</v>
      </c>
      <c r="J190">
        <f t="shared" si="5"/>
        <v>0</v>
      </c>
    </row>
    <row r="191" spans="1:10" x14ac:dyDescent="0.25">
      <c r="A191" t="s">
        <v>1087</v>
      </c>
      <c r="B191">
        <v>8</v>
      </c>
      <c r="C191">
        <f>_xlfn.XLOOKUP(Recon!A191,[1]Backup!AJ:AJ,[1]Backup!L:L)</f>
        <v>29.28</v>
      </c>
      <c r="D191">
        <f>_xlfn.XLOOKUP(Recon!A191,[1]Backup!AJ:AJ,[1]Backup!K:K)</f>
        <v>0.99551999999999996</v>
      </c>
      <c r="E191">
        <f>SUMIF('[1]PO Report'!A:A,Recon!A191,'[1]PO Report'!P:P)</f>
        <v>8</v>
      </c>
      <c r="F191">
        <f>VLOOKUP(A191,'[1]PO Report'!$A:$Z,15,0)</f>
        <v>29.28</v>
      </c>
      <c r="H191">
        <f t="shared" si="4"/>
        <v>0</v>
      </c>
      <c r="J191">
        <f t="shared" si="5"/>
        <v>0</v>
      </c>
    </row>
    <row r="192" spans="1:10" x14ac:dyDescent="0.25">
      <c r="A192" t="s">
        <v>1088</v>
      </c>
      <c r="B192">
        <v>36</v>
      </c>
      <c r="C192">
        <f>_xlfn.XLOOKUP(Recon!A192,[1]Backup!AJ:AJ,[1]Backup!L:L)</f>
        <v>21.1</v>
      </c>
      <c r="D192">
        <f>_xlfn.XLOOKUP(Recon!A192,[1]Backup!AJ:AJ,[1]Backup!K:K)</f>
        <v>0.71740000000000004</v>
      </c>
      <c r="E192">
        <f>SUMIF('[1]PO Report'!A:A,Recon!A192,'[1]PO Report'!P:P)</f>
        <v>36</v>
      </c>
      <c r="F192">
        <f>VLOOKUP(A192,'[1]PO Report'!$A:$Z,15,0)</f>
        <v>21.1</v>
      </c>
      <c r="H192">
        <f t="shared" si="4"/>
        <v>0</v>
      </c>
      <c r="J192">
        <f t="shared" si="5"/>
        <v>0</v>
      </c>
    </row>
    <row r="193" spans="1:10" x14ac:dyDescent="0.25">
      <c r="A193" t="s">
        <v>1089</v>
      </c>
      <c r="B193">
        <v>10</v>
      </c>
      <c r="C193">
        <f>_xlfn.XLOOKUP(Recon!A193,[1]Backup!AJ:AJ,[1]Backup!L:L)</f>
        <v>14.64</v>
      </c>
      <c r="D193">
        <f>_xlfn.XLOOKUP(Recon!A193,[1]Backup!AJ:AJ,[1]Backup!K:K)</f>
        <v>0.49775999999999998</v>
      </c>
      <c r="E193">
        <f>SUMIF('[1]PO Report'!A:A,Recon!A193,'[1]PO Report'!P:P)</f>
        <v>10</v>
      </c>
      <c r="F193">
        <f>VLOOKUP(A193,'[1]PO Report'!$A:$Z,15,0)</f>
        <v>14.64</v>
      </c>
      <c r="H193">
        <f t="shared" si="4"/>
        <v>0</v>
      </c>
      <c r="J193">
        <f t="shared" si="5"/>
        <v>0</v>
      </c>
    </row>
    <row r="194" spans="1:10" x14ac:dyDescent="0.25">
      <c r="A194" t="s">
        <v>1090</v>
      </c>
      <c r="B194">
        <v>40</v>
      </c>
      <c r="C194">
        <f>_xlfn.XLOOKUP(Recon!A194,[1]Backup!AJ:AJ,[1]Backup!L:L)</f>
        <v>17.559999999999999</v>
      </c>
      <c r="D194">
        <f>_xlfn.XLOOKUP(Recon!A194,[1]Backup!AJ:AJ,[1]Backup!K:K)</f>
        <v>0.59704000000000002</v>
      </c>
      <c r="E194">
        <f>SUMIF('[1]PO Report'!A:A,Recon!A194,'[1]PO Report'!P:P)</f>
        <v>32</v>
      </c>
      <c r="F194">
        <f>VLOOKUP(A194,'[1]PO Report'!$A:$Z,15,0)</f>
        <v>17.559999999999999</v>
      </c>
      <c r="H194">
        <f t="shared" si="4"/>
        <v>8</v>
      </c>
      <c r="I194">
        <f>H194*D194</f>
        <v>4.7763200000000001</v>
      </c>
      <c r="J194">
        <f t="shared" si="5"/>
        <v>0</v>
      </c>
    </row>
    <row r="195" spans="1:10" x14ac:dyDescent="0.25">
      <c r="A195" t="s">
        <v>1091</v>
      </c>
      <c r="B195">
        <v>10</v>
      </c>
      <c r="C195">
        <f>_xlfn.XLOOKUP(Recon!A195,[1]Backup!AJ:AJ,[1]Backup!L:L)</f>
        <v>8.7799999999999994</v>
      </c>
      <c r="D195">
        <f>_xlfn.XLOOKUP(Recon!A195,[1]Backup!AJ:AJ,[1]Backup!K:K)</f>
        <v>0.29852000000000001</v>
      </c>
      <c r="E195">
        <f>SUMIF('[1]PO Report'!A:A,Recon!A195,'[1]PO Report'!P:P)</f>
        <v>10</v>
      </c>
      <c r="F195">
        <f>VLOOKUP(A195,'[1]PO Report'!$A:$Z,15,0)</f>
        <v>8.7799999999999994</v>
      </c>
      <c r="H195">
        <f t="shared" si="4"/>
        <v>0</v>
      </c>
      <c r="J195">
        <f t="shared" si="5"/>
        <v>0</v>
      </c>
    </row>
    <row r="196" spans="1:10" x14ac:dyDescent="0.25">
      <c r="A196" t="s">
        <v>1092</v>
      </c>
      <c r="B196">
        <v>72</v>
      </c>
      <c r="C196">
        <f>_xlfn.XLOOKUP(Recon!A196,[1]Backup!AJ:AJ,[1]Backup!L:L)</f>
        <v>78.62</v>
      </c>
      <c r="D196">
        <f>_xlfn.XLOOKUP(Recon!A196,[1]Backup!AJ:AJ,[1]Backup!K:K)</f>
        <v>2.6730800000000001</v>
      </c>
      <c r="E196">
        <f>SUMIF('[1]PO Report'!A:A,Recon!A196,'[1]PO Report'!P:P)</f>
        <v>72</v>
      </c>
      <c r="F196">
        <f>VLOOKUP(A196,'[1]PO Report'!$A:$Z,15,0)</f>
        <v>78.62</v>
      </c>
      <c r="H196">
        <f t="shared" ref="H196:H259" si="6">B196-E196</f>
        <v>0</v>
      </c>
      <c r="J196">
        <f t="shared" ref="J196:J259" si="7">C196-F196</f>
        <v>0</v>
      </c>
    </row>
    <row r="197" spans="1:10" x14ac:dyDescent="0.25">
      <c r="A197" t="s">
        <v>1093</v>
      </c>
      <c r="B197">
        <v>20</v>
      </c>
      <c r="C197">
        <f>_xlfn.XLOOKUP(Recon!A197,[1]Backup!AJ:AJ,[1]Backup!L:L)</f>
        <v>36.93</v>
      </c>
      <c r="D197">
        <f>_xlfn.XLOOKUP(Recon!A197,[1]Backup!AJ:AJ,[1]Backup!K:K)</f>
        <v>1.25562</v>
      </c>
      <c r="E197">
        <f>SUMIF('[1]PO Report'!A:A,Recon!A197,'[1]PO Report'!P:P)</f>
        <v>20</v>
      </c>
      <c r="F197">
        <f>VLOOKUP(A197,'[1]PO Report'!$A:$Z,15,0)</f>
        <v>36.93</v>
      </c>
      <c r="H197">
        <f t="shared" si="6"/>
        <v>0</v>
      </c>
      <c r="J197">
        <f t="shared" si="7"/>
        <v>0</v>
      </c>
    </row>
    <row r="198" spans="1:10" x14ac:dyDescent="0.25">
      <c r="A198" t="s">
        <v>1094</v>
      </c>
      <c r="B198">
        <v>12</v>
      </c>
      <c r="C198">
        <f>_xlfn.XLOOKUP(Recon!A198,[1]Backup!AJ:AJ,[1]Backup!L:L)</f>
        <v>35.130000000000003</v>
      </c>
      <c r="D198">
        <f>_xlfn.XLOOKUP(Recon!A198,[1]Backup!AJ:AJ,[1]Backup!K:K)</f>
        <v>1.19442</v>
      </c>
      <c r="E198">
        <f>SUMIF('[1]PO Report'!A:A,Recon!A198,'[1]PO Report'!P:P)</f>
        <v>12</v>
      </c>
      <c r="F198">
        <f>VLOOKUP(A198,'[1]PO Report'!$A:$Z,15,0)</f>
        <v>35.130000000000003</v>
      </c>
      <c r="H198">
        <f t="shared" si="6"/>
        <v>0</v>
      </c>
      <c r="J198">
        <f t="shared" si="7"/>
        <v>0</v>
      </c>
    </row>
    <row r="199" spans="1:10" x14ac:dyDescent="0.25">
      <c r="A199" t="s">
        <v>1095</v>
      </c>
      <c r="B199">
        <v>8</v>
      </c>
      <c r="C199">
        <f>_xlfn.XLOOKUP(Recon!A199,[1]Backup!AJ:AJ,[1]Backup!L:L)</f>
        <v>35.130000000000003</v>
      </c>
      <c r="D199">
        <f>_xlfn.XLOOKUP(Recon!A199,[1]Backup!AJ:AJ,[1]Backup!K:K)</f>
        <v>1.19442</v>
      </c>
      <c r="E199">
        <f>SUMIF('[1]PO Report'!A:A,Recon!A199,'[1]PO Report'!P:P)</f>
        <v>8</v>
      </c>
      <c r="F199">
        <f>VLOOKUP(A199,'[1]PO Report'!$A:$Z,15,0)</f>
        <v>35.130000000000003</v>
      </c>
      <c r="H199">
        <f t="shared" si="6"/>
        <v>0</v>
      </c>
      <c r="J199">
        <f t="shared" si="7"/>
        <v>0</v>
      </c>
    </row>
    <row r="200" spans="1:10" x14ac:dyDescent="0.25">
      <c r="A200" t="s">
        <v>1096</v>
      </c>
      <c r="B200">
        <v>176</v>
      </c>
      <c r="C200">
        <f>_xlfn.XLOOKUP(Recon!A200,[1]Backup!AJ:AJ,[1]Backup!L:L)</f>
        <v>46.4</v>
      </c>
      <c r="D200">
        <f>_xlfn.XLOOKUP(Recon!A200,[1]Backup!AJ:AJ,[1]Backup!K:K)</f>
        <v>1.5776000000000001</v>
      </c>
      <c r="E200">
        <f>SUMIF('[1]PO Report'!A:A,Recon!A200,'[1]PO Report'!P:P)</f>
        <v>176</v>
      </c>
      <c r="F200">
        <f>VLOOKUP(A200,'[1]PO Report'!$A:$Z,15,0)</f>
        <v>46.4</v>
      </c>
      <c r="H200">
        <f t="shared" si="6"/>
        <v>0</v>
      </c>
      <c r="J200">
        <f t="shared" si="7"/>
        <v>0</v>
      </c>
    </row>
    <row r="201" spans="1:10" x14ac:dyDescent="0.25">
      <c r="A201" t="s">
        <v>1097</v>
      </c>
      <c r="B201">
        <v>8</v>
      </c>
      <c r="C201">
        <f>_xlfn.XLOOKUP(Recon!A201,[1]Backup!AJ:AJ,[1]Backup!L:L)</f>
        <v>35.130000000000003</v>
      </c>
      <c r="D201">
        <f>_xlfn.XLOOKUP(Recon!A201,[1]Backup!AJ:AJ,[1]Backup!K:K)</f>
        <v>1.19442</v>
      </c>
      <c r="E201">
        <f>SUMIF('[1]PO Report'!A:A,Recon!A201,'[1]PO Report'!P:P)</f>
        <v>8</v>
      </c>
      <c r="F201">
        <f>VLOOKUP(A201,'[1]PO Report'!$A:$Z,15,0)</f>
        <v>35.130000000000003</v>
      </c>
      <c r="H201">
        <f t="shared" si="6"/>
        <v>0</v>
      </c>
      <c r="J201">
        <f t="shared" si="7"/>
        <v>0</v>
      </c>
    </row>
    <row r="202" spans="1:10" x14ac:dyDescent="0.25">
      <c r="A202" t="s">
        <v>1098</v>
      </c>
      <c r="B202">
        <v>70</v>
      </c>
      <c r="C202">
        <f>_xlfn.XLOOKUP(Recon!A202,[1]Backup!AJ:AJ,[1]Backup!L:L)</f>
        <v>8.7799999999999994</v>
      </c>
      <c r="D202">
        <f>_xlfn.XLOOKUP(Recon!A202,[1]Backup!AJ:AJ,[1]Backup!K:K)</f>
        <v>0.29852000000000001</v>
      </c>
      <c r="E202">
        <f>SUMIF('[1]PO Report'!A:A,Recon!A202,'[1]PO Report'!P:P)</f>
        <v>60</v>
      </c>
      <c r="F202">
        <f>VLOOKUP(A202,'[1]PO Report'!$A:$Z,15,0)</f>
        <v>8.7799999999999994</v>
      </c>
      <c r="H202">
        <f t="shared" si="6"/>
        <v>10</v>
      </c>
      <c r="I202">
        <f>H202*D202</f>
        <v>2.9851999999999999</v>
      </c>
      <c r="J202">
        <f t="shared" si="7"/>
        <v>0</v>
      </c>
    </row>
    <row r="203" spans="1:10" x14ac:dyDescent="0.25">
      <c r="A203" t="s">
        <v>1099</v>
      </c>
      <c r="B203">
        <v>16</v>
      </c>
      <c r="C203">
        <f>_xlfn.XLOOKUP(Recon!A203,[1]Backup!AJ:AJ,[1]Backup!L:L)</f>
        <v>92.24</v>
      </c>
      <c r="D203">
        <f>_xlfn.XLOOKUP(Recon!A203,[1]Backup!AJ:AJ,[1]Backup!K:K)</f>
        <v>3.1361599999999998</v>
      </c>
      <c r="E203">
        <f>SUMIF('[1]PO Report'!A:A,Recon!A203,'[1]PO Report'!P:P)</f>
        <v>16</v>
      </c>
      <c r="F203">
        <f>VLOOKUP(A203,'[1]PO Report'!$A:$Z,15,0)</f>
        <v>92.24</v>
      </c>
      <c r="H203">
        <f t="shared" si="6"/>
        <v>0</v>
      </c>
      <c r="J203">
        <f t="shared" si="7"/>
        <v>0</v>
      </c>
    </row>
    <row r="204" spans="1:10" x14ac:dyDescent="0.25">
      <c r="A204" t="s">
        <v>1100</v>
      </c>
      <c r="B204">
        <v>8</v>
      </c>
      <c r="C204">
        <f>_xlfn.XLOOKUP(Recon!A204,[1]Backup!AJ:AJ,[1]Backup!L:L)</f>
        <v>29.28</v>
      </c>
      <c r="D204">
        <f>_xlfn.XLOOKUP(Recon!A204,[1]Backup!AJ:AJ,[1]Backup!K:K)</f>
        <v>0.99551999999999996</v>
      </c>
      <c r="E204">
        <f>SUMIF('[1]PO Report'!A:A,Recon!A204,'[1]PO Report'!P:P)</f>
        <v>8</v>
      </c>
      <c r="F204">
        <f>VLOOKUP(A204,'[1]PO Report'!$A:$Z,15,0)</f>
        <v>29.28</v>
      </c>
      <c r="H204">
        <f t="shared" si="6"/>
        <v>0</v>
      </c>
      <c r="J204">
        <f t="shared" si="7"/>
        <v>0</v>
      </c>
    </row>
    <row r="205" spans="1:10" x14ac:dyDescent="0.25">
      <c r="A205" t="s">
        <v>1101</v>
      </c>
      <c r="B205">
        <v>32</v>
      </c>
      <c r="C205">
        <f>_xlfn.XLOOKUP(Recon!A205,[1]Backup!AJ:AJ,[1]Backup!L:L)</f>
        <v>29.28</v>
      </c>
      <c r="D205">
        <f>_xlfn.XLOOKUP(Recon!A205,[1]Backup!AJ:AJ,[1]Backup!K:K)</f>
        <v>0.99551999999999996</v>
      </c>
      <c r="E205">
        <f>SUMIF('[1]PO Report'!A:A,Recon!A205,'[1]PO Report'!P:P)</f>
        <v>32</v>
      </c>
      <c r="F205">
        <f>VLOOKUP(A205,'[1]PO Report'!$A:$Z,15,0)</f>
        <v>29.28</v>
      </c>
      <c r="H205">
        <f t="shared" si="6"/>
        <v>0</v>
      </c>
      <c r="J205">
        <f t="shared" si="7"/>
        <v>0</v>
      </c>
    </row>
    <row r="206" spans="1:10" x14ac:dyDescent="0.25">
      <c r="A206" t="s">
        <v>1102</v>
      </c>
      <c r="B206">
        <v>8</v>
      </c>
      <c r="C206">
        <f>_xlfn.XLOOKUP(Recon!A206,[1]Backup!AJ:AJ,[1]Backup!L:L)</f>
        <v>83.89</v>
      </c>
      <c r="D206">
        <f>_xlfn.XLOOKUP(Recon!A206,[1]Backup!AJ:AJ,[1]Backup!K:K)</f>
        <v>2.8522599999999998</v>
      </c>
      <c r="E206">
        <f>SUMIF('[1]PO Report'!A:A,Recon!A206,'[1]PO Report'!P:P)</f>
        <v>8</v>
      </c>
      <c r="F206">
        <f>VLOOKUP(A206,'[1]PO Report'!$A:$Z,15,0)</f>
        <v>83.89</v>
      </c>
      <c r="H206">
        <f t="shared" si="6"/>
        <v>0</v>
      </c>
      <c r="J206">
        <f t="shared" si="7"/>
        <v>0</v>
      </c>
    </row>
    <row r="207" spans="1:10" x14ac:dyDescent="0.25">
      <c r="A207" t="s">
        <v>1103</v>
      </c>
      <c r="B207">
        <v>4</v>
      </c>
      <c r="C207">
        <f>_xlfn.XLOOKUP(Recon!A207,[1]Backup!AJ:AJ,[1]Backup!L:L)</f>
        <v>82.31</v>
      </c>
      <c r="D207">
        <f>_xlfn.XLOOKUP(Recon!A207,[1]Backup!AJ:AJ,[1]Backup!K:K)</f>
        <v>2.79854</v>
      </c>
      <c r="E207">
        <f>SUMIF('[1]PO Report'!A:A,Recon!A207,'[1]PO Report'!P:P)</f>
        <v>4</v>
      </c>
      <c r="F207">
        <f>VLOOKUP(A207,'[1]PO Report'!$A:$Z,15,0)</f>
        <v>82.31</v>
      </c>
      <c r="H207">
        <f t="shared" si="6"/>
        <v>0</v>
      </c>
      <c r="J207">
        <f t="shared" si="7"/>
        <v>0</v>
      </c>
    </row>
    <row r="208" spans="1:10" x14ac:dyDescent="0.25">
      <c r="A208" t="s">
        <v>1104</v>
      </c>
      <c r="B208">
        <v>48</v>
      </c>
      <c r="C208">
        <f>_xlfn.XLOOKUP(Recon!A208,[1]Backup!AJ:AJ,[1]Backup!L:L)</f>
        <v>46.4</v>
      </c>
      <c r="D208">
        <f>_xlfn.XLOOKUP(Recon!A208,[1]Backup!AJ:AJ,[1]Backup!K:K)</f>
        <v>1.5776000000000001</v>
      </c>
      <c r="E208">
        <f>SUMIF('[1]PO Report'!A:A,Recon!A208,'[1]PO Report'!P:P)</f>
        <v>48</v>
      </c>
      <c r="F208">
        <f>VLOOKUP(A208,'[1]PO Report'!$A:$Z,15,0)</f>
        <v>46.4</v>
      </c>
      <c r="H208">
        <f t="shared" si="6"/>
        <v>0</v>
      </c>
      <c r="J208">
        <f t="shared" si="7"/>
        <v>0</v>
      </c>
    </row>
    <row r="209" spans="1:10" x14ac:dyDescent="0.25">
      <c r="A209" t="s">
        <v>1105</v>
      </c>
      <c r="B209">
        <v>52</v>
      </c>
      <c r="C209">
        <f>_xlfn.XLOOKUP(Recon!A209,[1]Backup!AJ:AJ,[1]Backup!L:L)</f>
        <v>83.89</v>
      </c>
      <c r="D209">
        <f>_xlfn.XLOOKUP(Recon!A209,[1]Backup!AJ:AJ,[1]Backup!K:K)</f>
        <v>2.8522600000000002</v>
      </c>
      <c r="E209">
        <f>SUMIF('[1]PO Report'!A:A,Recon!A209,'[1]PO Report'!P:P)</f>
        <v>52</v>
      </c>
      <c r="F209">
        <f>VLOOKUP(A209,'[1]PO Report'!$A:$Z,15,0)</f>
        <v>83.89</v>
      </c>
      <c r="H209">
        <f t="shared" si="6"/>
        <v>0</v>
      </c>
      <c r="J209">
        <f t="shared" si="7"/>
        <v>0</v>
      </c>
    </row>
    <row r="210" spans="1:10" x14ac:dyDescent="0.25">
      <c r="A210" t="s">
        <v>1106</v>
      </c>
      <c r="B210">
        <v>8</v>
      </c>
      <c r="C210">
        <f>_xlfn.XLOOKUP(Recon!A210,[1]Backup!AJ:AJ,[1]Backup!L:L)</f>
        <v>31.65</v>
      </c>
      <c r="D210">
        <f>_xlfn.XLOOKUP(Recon!A210,[1]Backup!AJ:AJ,[1]Backup!K:K)</f>
        <v>1.0761000000000001</v>
      </c>
      <c r="E210">
        <f>SUMIF('[1]PO Report'!A:A,Recon!A210,'[1]PO Report'!P:P)</f>
        <v>4</v>
      </c>
      <c r="F210">
        <f>VLOOKUP(A210,'[1]PO Report'!$A:$Z,15,0)</f>
        <v>31.65</v>
      </c>
      <c r="H210">
        <f t="shared" si="6"/>
        <v>4</v>
      </c>
      <c r="I210">
        <f>H210*D210</f>
        <v>4.3044000000000002</v>
      </c>
      <c r="J210">
        <f t="shared" si="7"/>
        <v>0</v>
      </c>
    </row>
    <row r="211" spans="1:10" x14ac:dyDescent="0.25">
      <c r="A211" t="s">
        <v>1107</v>
      </c>
      <c r="B211">
        <v>24</v>
      </c>
      <c r="C211">
        <f>_xlfn.XLOOKUP(Recon!A211,[1]Backup!AJ:AJ,[1]Backup!L:L)</f>
        <v>75.41</v>
      </c>
      <c r="D211">
        <f>_xlfn.XLOOKUP(Recon!A211,[1]Backup!AJ:AJ,[1]Backup!K:K)</f>
        <v>2.5639400000000001</v>
      </c>
      <c r="E211">
        <f>SUMIF('[1]PO Report'!A:A,Recon!A211,'[1]PO Report'!P:P)</f>
        <v>24</v>
      </c>
      <c r="F211">
        <f>VLOOKUP(A211,'[1]PO Report'!$A:$Z,15,0)</f>
        <v>75.41</v>
      </c>
      <c r="H211">
        <f t="shared" si="6"/>
        <v>0</v>
      </c>
      <c r="J211">
        <f t="shared" si="7"/>
        <v>0</v>
      </c>
    </row>
    <row r="212" spans="1:10" x14ac:dyDescent="0.25">
      <c r="A212" t="s">
        <v>1108</v>
      </c>
      <c r="B212">
        <v>32</v>
      </c>
      <c r="C212">
        <f>_xlfn.XLOOKUP(Recon!A212,[1]Backup!AJ:AJ,[1]Backup!L:L)</f>
        <v>46.4</v>
      </c>
      <c r="D212">
        <f>_xlfn.XLOOKUP(Recon!A212,[1]Backup!AJ:AJ,[1]Backup!K:K)</f>
        <v>1.5775999999999999</v>
      </c>
      <c r="E212">
        <f>SUMIF('[1]PO Report'!A:A,Recon!A212,'[1]PO Report'!P:P)</f>
        <v>32</v>
      </c>
      <c r="F212">
        <f>VLOOKUP(A212,'[1]PO Report'!$A:$Z,15,0)</f>
        <v>46.4</v>
      </c>
      <c r="H212">
        <f t="shared" si="6"/>
        <v>0</v>
      </c>
      <c r="J212">
        <f t="shared" si="7"/>
        <v>0</v>
      </c>
    </row>
    <row r="213" spans="1:10" x14ac:dyDescent="0.25">
      <c r="A213" t="s">
        <v>1109</v>
      </c>
      <c r="B213">
        <v>10</v>
      </c>
      <c r="C213">
        <f>_xlfn.XLOOKUP(Recon!A213,[1]Backup!AJ:AJ,[1]Backup!L:L)</f>
        <v>26.35</v>
      </c>
      <c r="D213">
        <f>_xlfn.XLOOKUP(Recon!A213,[1]Backup!AJ:AJ,[1]Backup!K:K)</f>
        <v>0.89589999999999992</v>
      </c>
      <c r="E213">
        <f>SUMIF('[1]PO Report'!A:A,Recon!A213,'[1]PO Report'!P:P)</f>
        <v>10</v>
      </c>
      <c r="F213">
        <f>VLOOKUP(A213,'[1]PO Report'!$A:$Z,15,0)</f>
        <v>26.35</v>
      </c>
      <c r="H213">
        <f t="shared" si="6"/>
        <v>0</v>
      </c>
      <c r="J213">
        <f t="shared" si="7"/>
        <v>0</v>
      </c>
    </row>
    <row r="214" spans="1:10" x14ac:dyDescent="0.25">
      <c r="A214" t="s">
        <v>1110</v>
      </c>
      <c r="B214">
        <v>8</v>
      </c>
      <c r="C214">
        <f>_xlfn.XLOOKUP(Recon!A214,[1]Backup!AJ:AJ,[1]Backup!L:L)</f>
        <v>63.81</v>
      </c>
      <c r="D214">
        <f>_xlfn.XLOOKUP(Recon!A214,[1]Backup!AJ:AJ,[1]Backup!K:K)</f>
        <v>2.16954</v>
      </c>
      <c r="E214">
        <f>SUMIF('[1]PO Report'!A:A,Recon!A214,'[1]PO Report'!P:P)</f>
        <v>8</v>
      </c>
      <c r="F214">
        <f>VLOOKUP(A214,'[1]PO Report'!$A:$Z,15,0)</f>
        <v>63.81</v>
      </c>
      <c r="H214">
        <f t="shared" si="6"/>
        <v>0</v>
      </c>
      <c r="J214">
        <f t="shared" si="7"/>
        <v>0</v>
      </c>
    </row>
    <row r="215" spans="1:10" x14ac:dyDescent="0.25">
      <c r="A215" t="s">
        <v>1111</v>
      </c>
      <c r="B215">
        <v>8</v>
      </c>
      <c r="C215">
        <f>_xlfn.XLOOKUP(Recon!A215,[1]Backup!AJ:AJ,[1]Backup!L:L)</f>
        <v>78.62</v>
      </c>
      <c r="D215">
        <f>_xlfn.XLOOKUP(Recon!A215,[1]Backup!AJ:AJ,[1]Backup!K:K)</f>
        <v>2.6730800000000001</v>
      </c>
      <c r="E215">
        <f>SUMIF('[1]PO Report'!A:A,Recon!A215,'[1]PO Report'!P:P)</f>
        <v>8</v>
      </c>
      <c r="F215">
        <f>VLOOKUP(A215,'[1]PO Report'!$A:$Z,15,0)</f>
        <v>78.62</v>
      </c>
      <c r="H215">
        <f t="shared" si="6"/>
        <v>0</v>
      </c>
      <c r="J215">
        <f t="shared" si="7"/>
        <v>0</v>
      </c>
    </row>
    <row r="216" spans="1:10" x14ac:dyDescent="0.25">
      <c r="A216" t="s">
        <v>1112</v>
      </c>
      <c r="B216">
        <v>28</v>
      </c>
      <c r="C216">
        <f>_xlfn.XLOOKUP(Recon!A216,[1]Backup!AJ:AJ,[1]Backup!L:L)</f>
        <v>83.89</v>
      </c>
      <c r="D216">
        <f>_xlfn.XLOOKUP(Recon!A216,[1]Backup!AJ:AJ,[1]Backup!K:K)</f>
        <v>2.8522600000000002</v>
      </c>
      <c r="E216">
        <f>SUMIF('[1]PO Report'!A:A,Recon!A216,'[1]PO Report'!P:P)</f>
        <v>28</v>
      </c>
      <c r="F216">
        <f>VLOOKUP(A216,'[1]PO Report'!$A:$Z,15,0)</f>
        <v>83.89</v>
      </c>
      <c r="H216">
        <f t="shared" si="6"/>
        <v>0</v>
      </c>
      <c r="J216">
        <f t="shared" si="7"/>
        <v>0</v>
      </c>
    </row>
    <row r="217" spans="1:10" x14ac:dyDescent="0.25">
      <c r="A217" t="s">
        <v>1113</v>
      </c>
      <c r="B217">
        <v>4</v>
      </c>
      <c r="C217">
        <f>_xlfn.XLOOKUP(Recon!A217,[1]Backup!AJ:AJ,[1]Backup!L:L)</f>
        <v>68.06</v>
      </c>
      <c r="D217">
        <f>_xlfn.XLOOKUP(Recon!A217,[1]Backup!AJ:AJ,[1]Backup!K:K)</f>
        <v>2.3140399999999999</v>
      </c>
      <c r="E217">
        <f>SUMIF('[1]PO Report'!A:A,Recon!A217,'[1]PO Report'!P:P)</f>
        <v>4</v>
      </c>
      <c r="F217">
        <f>VLOOKUP(A217,'[1]PO Report'!$A:$Z,15,0)</f>
        <v>68.06</v>
      </c>
      <c r="H217">
        <f t="shared" si="6"/>
        <v>0</v>
      </c>
      <c r="J217">
        <f t="shared" si="7"/>
        <v>0</v>
      </c>
    </row>
    <row r="218" spans="1:10" x14ac:dyDescent="0.25">
      <c r="A218" t="s">
        <v>1114</v>
      </c>
      <c r="B218">
        <v>24</v>
      </c>
      <c r="C218">
        <f>_xlfn.XLOOKUP(Recon!A218,[1]Backup!AJ:AJ,[1]Backup!L:L)</f>
        <v>46.4</v>
      </c>
      <c r="D218">
        <f>_xlfn.XLOOKUP(Recon!A218,[1]Backup!AJ:AJ,[1]Backup!K:K)</f>
        <v>1.5776000000000001</v>
      </c>
      <c r="E218">
        <f>SUMIF('[1]PO Report'!A:A,Recon!A218,'[1]PO Report'!P:P)</f>
        <v>24</v>
      </c>
      <c r="F218">
        <f>VLOOKUP(A218,'[1]PO Report'!$A:$Z,15,0)</f>
        <v>46.4</v>
      </c>
      <c r="H218">
        <f t="shared" si="6"/>
        <v>0</v>
      </c>
      <c r="J218">
        <f t="shared" si="7"/>
        <v>0</v>
      </c>
    </row>
    <row r="219" spans="1:10" x14ac:dyDescent="0.25">
      <c r="A219" t="s">
        <v>1115</v>
      </c>
      <c r="B219">
        <v>4</v>
      </c>
      <c r="C219">
        <f>_xlfn.XLOOKUP(Recon!A219,[1]Backup!AJ:AJ,[1]Backup!L:L)</f>
        <v>44.95</v>
      </c>
      <c r="D219">
        <f>_xlfn.XLOOKUP(Recon!A219,[1]Backup!AJ:AJ,[1]Backup!K:K)</f>
        <v>1.5283</v>
      </c>
      <c r="E219">
        <f>SUMIF('[1]PO Report'!A:A,Recon!A219,'[1]PO Report'!P:P)</f>
        <v>60</v>
      </c>
      <c r="F219">
        <f>VLOOKUP(A219,'[1]PO Report'!$A:$Z,15,0)</f>
        <v>44.95</v>
      </c>
      <c r="H219">
        <f t="shared" si="6"/>
        <v>-56</v>
      </c>
      <c r="J219">
        <f t="shared" si="7"/>
        <v>0</v>
      </c>
    </row>
    <row r="220" spans="1:10" x14ac:dyDescent="0.25">
      <c r="A220" t="s">
        <v>1116</v>
      </c>
      <c r="B220">
        <v>8</v>
      </c>
      <c r="C220">
        <f>_xlfn.XLOOKUP(Recon!A220,[1]Backup!AJ:AJ,[1]Backup!L:L)</f>
        <v>69.61</v>
      </c>
      <c r="D220">
        <f>_xlfn.XLOOKUP(Recon!A220,[1]Backup!AJ:AJ,[1]Backup!K:K)</f>
        <v>2.3667400000000001</v>
      </c>
      <c r="E220">
        <f>SUMIF('[1]PO Report'!A:A,Recon!A220,'[1]PO Report'!P:P)</f>
        <v>8</v>
      </c>
      <c r="F220">
        <f>VLOOKUP(A220,'[1]PO Report'!$A:$Z,15,0)</f>
        <v>69.61</v>
      </c>
      <c r="H220">
        <f t="shared" si="6"/>
        <v>0</v>
      </c>
      <c r="J220">
        <f t="shared" si="7"/>
        <v>0</v>
      </c>
    </row>
    <row r="221" spans="1:10" x14ac:dyDescent="0.25">
      <c r="A221" t="s">
        <v>1117</v>
      </c>
      <c r="B221">
        <v>30</v>
      </c>
      <c r="C221">
        <f>_xlfn.XLOOKUP(Recon!A221,[1]Backup!AJ:AJ,[1]Backup!L:L)</f>
        <v>9.9499999999999993</v>
      </c>
      <c r="D221">
        <f>_xlfn.XLOOKUP(Recon!A221,[1]Backup!AJ:AJ,[1]Backup!K:K)</f>
        <v>0.33829999999999999</v>
      </c>
      <c r="E221">
        <f>SUMIF('[1]PO Report'!A:A,Recon!A221,'[1]PO Report'!P:P)</f>
        <v>30</v>
      </c>
      <c r="F221">
        <f>VLOOKUP(A221,'[1]PO Report'!$A:$Z,15,0)</f>
        <v>9.9499999999999993</v>
      </c>
      <c r="H221">
        <f t="shared" si="6"/>
        <v>0</v>
      </c>
      <c r="J221">
        <f t="shared" si="7"/>
        <v>0</v>
      </c>
    </row>
    <row r="222" spans="1:10" x14ac:dyDescent="0.25">
      <c r="A222" t="s">
        <v>1118</v>
      </c>
      <c r="B222">
        <v>12</v>
      </c>
      <c r="C222">
        <f>_xlfn.XLOOKUP(Recon!A222,[1]Backup!AJ:AJ,[1]Backup!L:L)</f>
        <v>115.44</v>
      </c>
      <c r="D222">
        <f>_xlfn.XLOOKUP(Recon!A222,[1]Backup!AJ:AJ,[1]Backup!K:K)</f>
        <v>3.92496</v>
      </c>
      <c r="E222">
        <f>SUMIF('[1]PO Report'!A:A,Recon!A222,'[1]PO Report'!P:P)</f>
        <v>12</v>
      </c>
      <c r="F222">
        <f>VLOOKUP(A222,'[1]PO Report'!$A:$Z,15,0)</f>
        <v>115.44</v>
      </c>
      <c r="H222">
        <f t="shared" si="6"/>
        <v>0</v>
      </c>
      <c r="J222">
        <f t="shared" si="7"/>
        <v>0</v>
      </c>
    </row>
    <row r="223" spans="1:10" x14ac:dyDescent="0.25">
      <c r="A223" t="s">
        <v>1119</v>
      </c>
      <c r="B223">
        <v>30</v>
      </c>
      <c r="C223">
        <f>_xlfn.XLOOKUP(Recon!A223,[1]Backup!AJ:AJ,[1]Backup!L:L)</f>
        <v>9.9499999999999993</v>
      </c>
      <c r="D223">
        <f>_xlfn.XLOOKUP(Recon!A223,[1]Backup!AJ:AJ,[1]Backup!K:K)</f>
        <v>0.33829999999999999</v>
      </c>
      <c r="E223">
        <f>SUMIF('[1]PO Report'!A:A,Recon!A223,'[1]PO Report'!P:P)</f>
        <v>30</v>
      </c>
      <c r="F223">
        <f>VLOOKUP(A223,'[1]PO Report'!$A:$Z,15,0)</f>
        <v>9.9499999999999993</v>
      </c>
      <c r="H223">
        <f t="shared" si="6"/>
        <v>0</v>
      </c>
      <c r="J223">
        <f t="shared" si="7"/>
        <v>0</v>
      </c>
    </row>
    <row r="224" spans="1:10" x14ac:dyDescent="0.25">
      <c r="A224" t="s">
        <v>1120</v>
      </c>
      <c r="B224">
        <v>90</v>
      </c>
      <c r="C224">
        <f>_xlfn.XLOOKUP(Recon!A224,[1]Backup!AJ:AJ,[1]Backup!L:L)</f>
        <v>14.639999999999999</v>
      </c>
      <c r="D224">
        <f>_xlfn.XLOOKUP(Recon!A224,[1]Backup!AJ:AJ,[1]Backup!K:K)</f>
        <v>0.49776000000000004</v>
      </c>
      <c r="E224">
        <f>SUMIF('[1]PO Report'!A:A,Recon!A224,'[1]PO Report'!P:P)</f>
        <v>90</v>
      </c>
      <c r="F224">
        <f>VLOOKUP(A224,'[1]PO Report'!$A:$Z,15,0)</f>
        <v>14.64</v>
      </c>
      <c r="H224">
        <f t="shared" si="6"/>
        <v>0</v>
      </c>
      <c r="J224">
        <f t="shared" si="7"/>
        <v>0</v>
      </c>
    </row>
    <row r="225" spans="1:10" x14ac:dyDescent="0.25">
      <c r="A225" t="s">
        <v>1121</v>
      </c>
      <c r="B225">
        <v>290</v>
      </c>
      <c r="C225">
        <f>_xlfn.XLOOKUP(Recon!A225,[1]Backup!AJ:AJ,[1]Backup!L:L)</f>
        <v>8.1999999999999993</v>
      </c>
      <c r="D225">
        <f>_xlfn.XLOOKUP(Recon!A225,[1]Backup!AJ:AJ,[1]Backup!K:K)</f>
        <v>0.27879999999999999</v>
      </c>
      <c r="E225">
        <f>SUMIF('[1]PO Report'!A:A,Recon!A225,'[1]PO Report'!P:P)</f>
        <v>290</v>
      </c>
      <c r="F225">
        <f>VLOOKUP(A225,'[1]PO Report'!$A:$Z,15,0)</f>
        <v>8.1999999999999993</v>
      </c>
      <c r="H225">
        <f t="shared" si="6"/>
        <v>0</v>
      </c>
      <c r="J225">
        <f t="shared" si="7"/>
        <v>0</v>
      </c>
    </row>
    <row r="226" spans="1:10" x14ac:dyDescent="0.25">
      <c r="A226" t="s">
        <v>1122</v>
      </c>
      <c r="B226">
        <v>80</v>
      </c>
      <c r="C226">
        <f>_xlfn.XLOOKUP(Recon!A226,[1]Backup!AJ:AJ,[1]Backup!L:L)</f>
        <v>8.1999999999999993</v>
      </c>
      <c r="D226">
        <f>_xlfn.XLOOKUP(Recon!A226,[1]Backup!AJ:AJ,[1]Backup!K:K)</f>
        <v>0.27879999999999999</v>
      </c>
      <c r="E226">
        <f>SUMIF('[1]PO Report'!A:A,Recon!A226,'[1]PO Report'!P:P)</f>
        <v>70</v>
      </c>
      <c r="F226">
        <f>VLOOKUP(A226,'[1]PO Report'!$A:$Z,15,0)</f>
        <v>8.1999999999999993</v>
      </c>
      <c r="H226">
        <f t="shared" si="6"/>
        <v>10</v>
      </c>
      <c r="I226">
        <f>H226*D226</f>
        <v>2.7879999999999998</v>
      </c>
      <c r="J226">
        <f t="shared" si="7"/>
        <v>0</v>
      </c>
    </row>
    <row r="227" spans="1:10" x14ac:dyDescent="0.25">
      <c r="A227" t="s">
        <v>1123</v>
      </c>
      <c r="B227">
        <v>20</v>
      </c>
      <c r="C227">
        <f>_xlfn.XLOOKUP(Recon!A227,[1]Backup!AJ:AJ,[1]Backup!L:L)</f>
        <v>14.64</v>
      </c>
      <c r="D227">
        <f>_xlfn.XLOOKUP(Recon!A227,[1]Backup!AJ:AJ,[1]Backup!K:K)</f>
        <v>0.49775999999999998</v>
      </c>
      <c r="E227">
        <f>SUMIF('[1]PO Report'!A:A,Recon!A227,'[1]PO Report'!P:P)</f>
        <v>20</v>
      </c>
      <c r="F227">
        <f>VLOOKUP(A227,'[1]PO Report'!$A:$Z,15,0)</f>
        <v>14.64</v>
      </c>
      <c r="H227">
        <f t="shared" si="6"/>
        <v>0</v>
      </c>
      <c r="J227">
        <f t="shared" si="7"/>
        <v>0</v>
      </c>
    </row>
    <row r="228" spans="1:10" x14ac:dyDescent="0.25">
      <c r="A228" t="s">
        <v>1124</v>
      </c>
      <c r="B228">
        <v>10</v>
      </c>
      <c r="C228">
        <f>_xlfn.XLOOKUP(Recon!A228,[1]Backup!AJ:AJ,[1]Backup!L:L)</f>
        <v>14.64</v>
      </c>
      <c r="D228">
        <f>_xlfn.XLOOKUP(Recon!A228,[1]Backup!AJ:AJ,[1]Backup!K:K)</f>
        <v>0.49775999999999998</v>
      </c>
      <c r="E228">
        <f>SUMIF('[1]PO Report'!A:A,Recon!A228,'[1]PO Report'!P:P)</f>
        <v>10</v>
      </c>
      <c r="F228">
        <f>VLOOKUP(A228,'[1]PO Report'!$A:$Z,15,0)</f>
        <v>14.64</v>
      </c>
      <c r="H228">
        <f t="shared" si="6"/>
        <v>0</v>
      </c>
      <c r="J228">
        <f t="shared" si="7"/>
        <v>0</v>
      </c>
    </row>
    <row r="229" spans="1:10" x14ac:dyDescent="0.25">
      <c r="A229" t="s">
        <v>1125</v>
      </c>
      <c r="B229">
        <v>32</v>
      </c>
      <c r="C229">
        <f>_xlfn.XLOOKUP(Recon!A229,[1]Backup!AJ:AJ,[1]Backup!L:L)</f>
        <v>20.5</v>
      </c>
      <c r="D229">
        <f>_xlfn.XLOOKUP(Recon!A229,[1]Backup!AJ:AJ,[1]Backup!K:K)</f>
        <v>0.69699999999999995</v>
      </c>
      <c r="E229">
        <f>SUMIF('[1]PO Report'!A:A,Recon!A229,'[1]PO Report'!P:P)</f>
        <v>32</v>
      </c>
      <c r="F229">
        <f>VLOOKUP(A229,'[1]PO Report'!$A:$Z,15,0)</f>
        <v>20.5</v>
      </c>
      <c r="H229">
        <f t="shared" si="6"/>
        <v>0</v>
      </c>
      <c r="J229">
        <f t="shared" si="7"/>
        <v>0</v>
      </c>
    </row>
    <row r="230" spans="1:10" x14ac:dyDescent="0.25">
      <c r="A230" t="s">
        <v>1126</v>
      </c>
      <c r="B230">
        <v>10</v>
      </c>
      <c r="C230">
        <f>_xlfn.XLOOKUP(Recon!A230,[1]Backup!AJ:AJ,[1]Backup!L:L)</f>
        <v>14.64</v>
      </c>
      <c r="D230">
        <f>_xlfn.XLOOKUP(Recon!A230,[1]Backup!AJ:AJ,[1]Backup!K:K)</f>
        <v>0.49775999999999998</v>
      </c>
      <c r="E230">
        <f>SUMIF('[1]PO Report'!A:A,Recon!A230,'[1]PO Report'!P:P)</f>
        <v>10</v>
      </c>
      <c r="F230">
        <f>VLOOKUP(A230,'[1]PO Report'!$A:$Z,15,0)</f>
        <v>14.64</v>
      </c>
      <c r="H230">
        <f t="shared" si="6"/>
        <v>0</v>
      </c>
      <c r="J230">
        <f t="shared" si="7"/>
        <v>0</v>
      </c>
    </row>
    <row r="231" spans="1:10" x14ac:dyDescent="0.25">
      <c r="A231" t="s">
        <v>1127</v>
      </c>
      <c r="B231">
        <v>4</v>
      </c>
      <c r="C231">
        <f>_xlfn.XLOOKUP(Recon!A231,[1]Backup!AJ:AJ,[1]Backup!L:L)</f>
        <v>75.41</v>
      </c>
      <c r="D231">
        <f>_xlfn.XLOOKUP(Recon!A231,[1]Backup!AJ:AJ,[1]Backup!K:K)</f>
        <v>2.5639400000000001</v>
      </c>
      <c r="E231">
        <f>SUMIF('[1]PO Report'!A:A,Recon!A231,'[1]PO Report'!P:P)</f>
        <v>4</v>
      </c>
      <c r="F231">
        <f>VLOOKUP(A231,'[1]PO Report'!$A:$Z,15,0)</f>
        <v>75.41</v>
      </c>
      <c r="H231">
        <f t="shared" si="6"/>
        <v>0</v>
      </c>
      <c r="J231">
        <f t="shared" si="7"/>
        <v>0</v>
      </c>
    </row>
    <row r="232" spans="1:10" x14ac:dyDescent="0.25">
      <c r="A232" t="s">
        <v>1128</v>
      </c>
      <c r="B232">
        <v>8</v>
      </c>
      <c r="C232">
        <f>_xlfn.XLOOKUP(Recon!A232,[1]Backup!AJ:AJ,[1]Backup!L:L)</f>
        <v>52.76</v>
      </c>
      <c r="D232">
        <f>_xlfn.XLOOKUP(Recon!A232,[1]Backup!AJ:AJ,[1]Backup!K:K)</f>
        <v>1.7938400000000001</v>
      </c>
      <c r="E232">
        <f>SUMIF('[1]PO Report'!A:A,Recon!A232,'[1]PO Report'!P:P)</f>
        <v>8</v>
      </c>
      <c r="F232">
        <f>VLOOKUP(A232,'[1]PO Report'!$A:$Z,15,0)</f>
        <v>52.76</v>
      </c>
      <c r="H232">
        <f t="shared" si="6"/>
        <v>0</v>
      </c>
      <c r="J232">
        <f t="shared" si="7"/>
        <v>0</v>
      </c>
    </row>
    <row r="233" spans="1:10" x14ac:dyDescent="0.25">
      <c r="A233" t="s">
        <v>1129</v>
      </c>
      <c r="B233">
        <v>24</v>
      </c>
      <c r="C233">
        <f>_xlfn.XLOOKUP(Recon!A233,[1]Backup!AJ:AJ,[1]Backup!L:L)</f>
        <v>52.76</v>
      </c>
      <c r="D233">
        <f>_xlfn.XLOOKUP(Recon!A233,[1]Backup!AJ:AJ,[1]Backup!K:K)</f>
        <v>1.7938400000000001</v>
      </c>
      <c r="E233">
        <f>SUMIF('[1]PO Report'!A:A,Recon!A233,'[1]PO Report'!P:P)</f>
        <v>24</v>
      </c>
      <c r="F233">
        <f>VLOOKUP(A233,'[1]PO Report'!$A:$Z,15,0)</f>
        <v>52.76</v>
      </c>
      <c r="H233">
        <f t="shared" si="6"/>
        <v>0</v>
      </c>
      <c r="J233">
        <f t="shared" si="7"/>
        <v>0</v>
      </c>
    </row>
    <row r="234" spans="1:10" x14ac:dyDescent="0.25">
      <c r="A234" t="s">
        <v>1130</v>
      </c>
      <c r="B234">
        <v>8</v>
      </c>
      <c r="C234">
        <f>_xlfn.XLOOKUP(Recon!A234,[1]Backup!AJ:AJ,[1]Backup!L:L)</f>
        <v>78.62</v>
      </c>
      <c r="D234">
        <f>_xlfn.XLOOKUP(Recon!A234,[1]Backup!AJ:AJ,[1]Backup!K:K)</f>
        <v>2.6730800000000001</v>
      </c>
      <c r="E234">
        <f>SUMIF('[1]PO Report'!A:A,Recon!A234,'[1]PO Report'!P:P)</f>
        <v>8</v>
      </c>
      <c r="F234">
        <f>VLOOKUP(A234,'[1]PO Report'!$A:$Z,15,0)</f>
        <v>78.62</v>
      </c>
      <c r="H234">
        <f t="shared" si="6"/>
        <v>0</v>
      </c>
      <c r="J234">
        <f t="shared" si="7"/>
        <v>0</v>
      </c>
    </row>
    <row r="235" spans="1:10" x14ac:dyDescent="0.25">
      <c r="A235" t="s">
        <v>1131</v>
      </c>
      <c r="B235">
        <v>130</v>
      </c>
      <c r="C235">
        <f>_xlfn.XLOOKUP(Recon!A235,[1]Backup!AJ:AJ,[1]Backup!L:L)</f>
        <v>14.639999999999999</v>
      </c>
      <c r="D235">
        <f>_xlfn.XLOOKUP(Recon!A235,[1]Backup!AJ:AJ,[1]Backup!K:K)</f>
        <v>0.49776000000000004</v>
      </c>
      <c r="E235">
        <f>SUMIF('[1]PO Report'!A:A,Recon!A235,'[1]PO Report'!P:P)</f>
        <v>130</v>
      </c>
      <c r="F235">
        <f>VLOOKUP(A235,'[1]PO Report'!$A:$Z,15,0)</f>
        <v>14.64</v>
      </c>
      <c r="H235">
        <f t="shared" si="6"/>
        <v>0</v>
      </c>
      <c r="J235">
        <f t="shared" si="7"/>
        <v>0</v>
      </c>
    </row>
    <row r="236" spans="1:10" x14ac:dyDescent="0.25">
      <c r="A236" t="s">
        <v>1132</v>
      </c>
      <c r="B236">
        <v>36</v>
      </c>
      <c r="C236">
        <f>_xlfn.XLOOKUP(Recon!A236,[1]Backup!AJ:AJ,[1]Backup!L:L)</f>
        <v>40.99</v>
      </c>
      <c r="D236">
        <f>_xlfn.XLOOKUP(Recon!A236,[1]Backup!AJ:AJ,[1]Backup!K:K)</f>
        <v>1.3936599999999999</v>
      </c>
      <c r="E236">
        <f>SUMIF('[1]PO Report'!A:A,Recon!A236,'[1]PO Report'!P:P)</f>
        <v>36</v>
      </c>
      <c r="F236">
        <f>VLOOKUP(A236,'[1]PO Report'!$A:$Z,15,0)</f>
        <v>40.99</v>
      </c>
      <c r="H236">
        <f t="shared" si="6"/>
        <v>0</v>
      </c>
      <c r="J236">
        <f t="shared" si="7"/>
        <v>0</v>
      </c>
    </row>
    <row r="237" spans="1:10" x14ac:dyDescent="0.25">
      <c r="A237" t="s">
        <v>1133</v>
      </c>
      <c r="B237">
        <v>354</v>
      </c>
      <c r="C237">
        <f>_xlfn.XLOOKUP(Recon!A237,[1]Backup!AJ:AJ,[1]Backup!L:L)</f>
        <v>20.3</v>
      </c>
      <c r="D237">
        <f>_xlfn.XLOOKUP(Recon!A237,[1]Backup!AJ:AJ,[1]Backup!K:K)</f>
        <v>0.69020000000000004</v>
      </c>
      <c r="E237">
        <f>SUMIF('[1]PO Report'!A:A,Recon!A237,'[1]PO Report'!P:P)</f>
        <v>360</v>
      </c>
      <c r="F237">
        <f>VLOOKUP(A237,'[1]PO Report'!$A:$Z,15,0)</f>
        <v>20.3</v>
      </c>
      <c r="H237">
        <f t="shared" si="6"/>
        <v>-6</v>
      </c>
      <c r="J237">
        <f t="shared" si="7"/>
        <v>0</v>
      </c>
    </row>
    <row r="238" spans="1:10" x14ac:dyDescent="0.25">
      <c r="A238" t="s">
        <v>1134</v>
      </c>
      <c r="B238">
        <v>4</v>
      </c>
      <c r="C238">
        <f>_xlfn.XLOOKUP(Recon!A238,[1]Backup!AJ:AJ,[1]Backup!L:L)</f>
        <v>42.2</v>
      </c>
      <c r="D238">
        <f>_xlfn.XLOOKUP(Recon!A238,[1]Backup!AJ:AJ,[1]Backup!K:K)</f>
        <v>1.4348000000000001</v>
      </c>
      <c r="E238">
        <f>SUMIF('[1]PO Report'!A:A,Recon!A238,'[1]PO Report'!P:P)</f>
        <v>4</v>
      </c>
      <c r="F238">
        <f>VLOOKUP(A238,'[1]PO Report'!$A:$Z,15,0)</f>
        <v>42.2</v>
      </c>
      <c r="H238">
        <f t="shared" si="6"/>
        <v>0</v>
      </c>
      <c r="J238">
        <f t="shared" si="7"/>
        <v>0</v>
      </c>
    </row>
    <row r="239" spans="1:10" x14ac:dyDescent="0.25">
      <c r="A239" t="s">
        <v>1135</v>
      </c>
      <c r="B239">
        <v>1520</v>
      </c>
      <c r="C239">
        <f>_xlfn.XLOOKUP(Recon!A239,[1]Backup!AJ:AJ,[1]Backup!L:L)</f>
        <v>5.26</v>
      </c>
      <c r="D239">
        <f>_xlfn.XLOOKUP(Recon!A239,[1]Backup!AJ:AJ,[1]Backup!K:K)</f>
        <v>0.17884</v>
      </c>
      <c r="E239">
        <f>SUMIF('[1]PO Report'!A:A,Recon!A239,'[1]PO Report'!P:P)</f>
        <v>1520</v>
      </c>
      <c r="F239">
        <f>VLOOKUP(A239,'[1]PO Report'!$A:$Z,15,0)</f>
        <v>5.26</v>
      </c>
      <c r="H239">
        <f t="shared" si="6"/>
        <v>0</v>
      </c>
      <c r="J239">
        <f t="shared" si="7"/>
        <v>0</v>
      </c>
    </row>
    <row r="240" spans="1:10" x14ac:dyDescent="0.25">
      <c r="A240" t="s">
        <v>1136</v>
      </c>
      <c r="B240">
        <v>200</v>
      </c>
      <c r="C240">
        <f>_xlfn.XLOOKUP(Recon!A240,[1]Backup!AJ:AJ,[1]Backup!L:L)</f>
        <v>14.64</v>
      </c>
      <c r="D240">
        <f>_xlfn.XLOOKUP(Recon!A240,[1]Backup!AJ:AJ,[1]Backup!K:K)</f>
        <v>0.49776000000000004</v>
      </c>
      <c r="E240">
        <f>SUMIF('[1]PO Report'!A:A,Recon!A240,'[1]PO Report'!P:P)</f>
        <v>200</v>
      </c>
      <c r="F240">
        <f>VLOOKUP(A240,'[1]PO Report'!$A:$Z,15,0)</f>
        <v>14.64</v>
      </c>
      <c r="H240">
        <f t="shared" si="6"/>
        <v>0</v>
      </c>
      <c r="J240">
        <f t="shared" si="7"/>
        <v>0</v>
      </c>
    </row>
    <row r="241" spans="1:10" x14ac:dyDescent="0.25">
      <c r="A241" t="s">
        <v>1137</v>
      </c>
      <c r="B241">
        <v>1938</v>
      </c>
      <c r="C241">
        <f>_xlfn.XLOOKUP(Recon!A241,[1]Backup!AJ:AJ,[1]Backup!L:L)</f>
        <v>23.419999999999998</v>
      </c>
      <c r="D241">
        <f>_xlfn.XLOOKUP(Recon!A241,[1]Backup!AJ:AJ,[1]Backup!K:K)</f>
        <v>0.79627999999999999</v>
      </c>
      <c r="E241">
        <f>SUMIF('[1]PO Report'!A:A,Recon!A241,'[1]PO Report'!P:P)</f>
        <v>1938</v>
      </c>
      <c r="F241">
        <f>VLOOKUP(A241,'[1]PO Report'!$A:$Z,15,0)</f>
        <v>23.42</v>
      </c>
      <c r="H241">
        <f t="shared" si="6"/>
        <v>0</v>
      </c>
      <c r="J241">
        <f t="shared" si="7"/>
        <v>0</v>
      </c>
    </row>
    <row r="242" spans="1:10" x14ac:dyDescent="0.25">
      <c r="A242" t="s">
        <v>1138</v>
      </c>
      <c r="B242">
        <v>10</v>
      </c>
      <c r="C242">
        <f>_xlfn.XLOOKUP(Recon!A242,[1]Backup!AJ:AJ,[1]Backup!L:L)</f>
        <v>29.28</v>
      </c>
      <c r="D242">
        <f>_xlfn.XLOOKUP(Recon!A242,[1]Backup!AJ:AJ,[1]Backup!K:K)</f>
        <v>0.99551999999999996</v>
      </c>
      <c r="E242">
        <f>SUMIF('[1]PO Report'!A:A,Recon!A242,'[1]PO Report'!P:P)</f>
        <v>370</v>
      </c>
      <c r="F242">
        <f>VLOOKUP(A242,'[1]PO Report'!$A:$Z,15,0)</f>
        <v>29.28</v>
      </c>
      <c r="H242">
        <f t="shared" si="6"/>
        <v>-360</v>
      </c>
      <c r="J242">
        <f t="shared" si="7"/>
        <v>0</v>
      </c>
    </row>
    <row r="243" spans="1:10" x14ac:dyDescent="0.25">
      <c r="A243" t="s">
        <v>1139</v>
      </c>
      <c r="B243">
        <v>1</v>
      </c>
      <c r="C243">
        <f>_xlfn.XLOOKUP(Recon!A243,[1]Backup!AJ:AJ,[1]Backup!L:L)</f>
        <v>240.27</v>
      </c>
      <c r="D243">
        <f>_xlfn.XLOOKUP(Recon!A243,[1]Backup!AJ:AJ,[1]Backup!K:K)</f>
        <v>8.1691800000000008</v>
      </c>
      <c r="E243">
        <f>SUMIF('[1]PO Report'!A:A,Recon!A243,'[1]PO Report'!P:P)</f>
        <v>1</v>
      </c>
      <c r="F243">
        <f>VLOOKUP(A243,'[1]PO Report'!$A:$Z,15,0)</f>
        <v>240.27</v>
      </c>
      <c r="H243">
        <f t="shared" si="6"/>
        <v>0</v>
      </c>
      <c r="J243">
        <f t="shared" si="7"/>
        <v>0</v>
      </c>
    </row>
    <row r="244" spans="1:10" x14ac:dyDescent="0.25">
      <c r="A244" t="s">
        <v>1140</v>
      </c>
      <c r="B244">
        <v>60</v>
      </c>
      <c r="C244">
        <f>_xlfn.XLOOKUP(Recon!A244,[1]Backup!AJ:AJ,[1]Backup!L:L)</f>
        <v>5.85</v>
      </c>
      <c r="D244">
        <f>_xlfn.XLOOKUP(Recon!A244,[1]Backup!AJ:AJ,[1]Backup!K:K)</f>
        <v>0.19889999999999999</v>
      </c>
      <c r="E244">
        <f>SUMIF('[1]PO Report'!A:A,Recon!A244,'[1]PO Report'!P:P)</f>
        <v>60</v>
      </c>
      <c r="F244">
        <f>VLOOKUP(A244,'[1]PO Report'!$A:$Z,15,0)</f>
        <v>5.85</v>
      </c>
      <c r="H244">
        <f t="shared" si="6"/>
        <v>0</v>
      </c>
      <c r="J244">
        <f t="shared" si="7"/>
        <v>0</v>
      </c>
    </row>
    <row r="245" spans="1:10" x14ac:dyDescent="0.25">
      <c r="A245" t="s">
        <v>1141</v>
      </c>
      <c r="B245">
        <v>16</v>
      </c>
      <c r="C245">
        <f>_xlfn.XLOOKUP(Recon!A245,[1]Backup!AJ:AJ,[1]Backup!L:L)</f>
        <v>17.559999999999999</v>
      </c>
      <c r="D245">
        <f>_xlfn.XLOOKUP(Recon!A245,[1]Backup!AJ:AJ,[1]Backup!K:K)</f>
        <v>0.59704000000000002</v>
      </c>
      <c r="E245">
        <f>SUMIF('[1]PO Report'!A:A,Recon!A245,'[1]PO Report'!P:P)</f>
        <v>16</v>
      </c>
      <c r="F245">
        <f>VLOOKUP(A245,'[1]PO Report'!$A:$Z,15,0)</f>
        <v>17.559999999999999</v>
      </c>
      <c r="H245">
        <f t="shared" si="6"/>
        <v>0</v>
      </c>
      <c r="J245">
        <f t="shared" si="7"/>
        <v>0</v>
      </c>
    </row>
    <row r="246" spans="1:10" x14ac:dyDescent="0.25">
      <c r="A246" t="s">
        <v>1142</v>
      </c>
      <c r="B246">
        <v>4</v>
      </c>
      <c r="C246">
        <f>_xlfn.XLOOKUP(Recon!A246,[1]Backup!AJ:AJ,[1]Backup!L:L)</f>
        <v>35.130000000000003</v>
      </c>
      <c r="D246">
        <f>_xlfn.XLOOKUP(Recon!A246,[1]Backup!AJ:AJ,[1]Backup!K:K)</f>
        <v>1.19442</v>
      </c>
      <c r="E246">
        <f>SUMIF('[1]PO Report'!A:A,Recon!A246,'[1]PO Report'!P:P)</f>
        <v>4</v>
      </c>
      <c r="F246">
        <f>VLOOKUP(A246,'[1]PO Report'!$A:$Z,15,0)</f>
        <v>35.130000000000003</v>
      </c>
      <c r="H246">
        <f t="shared" si="6"/>
        <v>0</v>
      </c>
      <c r="J246">
        <f t="shared" si="7"/>
        <v>0</v>
      </c>
    </row>
    <row r="247" spans="1:10" x14ac:dyDescent="0.25">
      <c r="A247" t="s">
        <v>1143</v>
      </c>
      <c r="B247">
        <v>8</v>
      </c>
      <c r="C247">
        <f>_xlfn.XLOOKUP(Recon!A247,[1]Backup!AJ:AJ,[1]Backup!L:L)</f>
        <v>15.82</v>
      </c>
      <c r="D247">
        <f>_xlfn.XLOOKUP(Recon!A247,[1]Backup!AJ:AJ,[1]Backup!K:K)</f>
        <v>0.53788000000000002</v>
      </c>
      <c r="E247">
        <f>SUMIF('[1]PO Report'!A:A,Recon!A247,'[1]PO Report'!P:P)</f>
        <v>8</v>
      </c>
      <c r="F247">
        <f>VLOOKUP(A247,'[1]PO Report'!$A:$Z,15,0)</f>
        <v>15.82</v>
      </c>
      <c r="H247">
        <f t="shared" si="6"/>
        <v>0</v>
      </c>
      <c r="J247">
        <f t="shared" si="7"/>
        <v>0</v>
      </c>
    </row>
    <row r="248" spans="1:10" x14ac:dyDescent="0.25">
      <c r="A248" t="s">
        <v>1144</v>
      </c>
      <c r="B248">
        <v>8</v>
      </c>
      <c r="C248">
        <f>_xlfn.XLOOKUP(Recon!A248,[1]Backup!AJ:AJ,[1]Backup!L:L)</f>
        <v>144.44999999999999</v>
      </c>
      <c r="D248">
        <f>_xlfn.XLOOKUP(Recon!A248,[1]Backup!AJ:AJ,[1]Backup!K:K)</f>
        <v>4.9112999999999998</v>
      </c>
      <c r="E248">
        <f>SUMIF('[1]PO Report'!A:A,Recon!A248,'[1]PO Report'!P:P)</f>
        <v>8</v>
      </c>
      <c r="F248">
        <f>VLOOKUP(A248,'[1]PO Report'!$A:$Z,15,0)</f>
        <v>144.44999999999999</v>
      </c>
      <c r="H248">
        <f t="shared" si="6"/>
        <v>0</v>
      </c>
      <c r="J248">
        <f t="shared" si="7"/>
        <v>0</v>
      </c>
    </row>
    <row r="249" spans="1:10" x14ac:dyDescent="0.25">
      <c r="A249" t="s">
        <v>1145</v>
      </c>
      <c r="B249">
        <v>4</v>
      </c>
      <c r="C249">
        <f>_xlfn.XLOOKUP(Recon!A249,[1]Backup!AJ:AJ,[1]Backup!L:L)</f>
        <v>42.2</v>
      </c>
      <c r="D249">
        <f>_xlfn.XLOOKUP(Recon!A249,[1]Backup!AJ:AJ,[1]Backup!K:K)</f>
        <v>1.4348000000000001</v>
      </c>
      <c r="E249">
        <f>SUMIF('[1]PO Report'!A:A,Recon!A249,'[1]PO Report'!P:P)</f>
        <v>4</v>
      </c>
      <c r="F249">
        <f>VLOOKUP(A249,'[1]PO Report'!$A:$Z,15,0)</f>
        <v>42.2</v>
      </c>
      <c r="H249">
        <f t="shared" si="6"/>
        <v>0</v>
      </c>
      <c r="J249">
        <f t="shared" si="7"/>
        <v>0</v>
      </c>
    </row>
    <row r="250" spans="1:10" x14ac:dyDescent="0.25">
      <c r="A250" t="s">
        <v>1146</v>
      </c>
      <c r="B250">
        <v>8</v>
      </c>
      <c r="C250">
        <f>_xlfn.XLOOKUP(Recon!A250,[1]Backup!AJ:AJ,[1]Backup!L:L)</f>
        <v>52.76</v>
      </c>
      <c r="D250">
        <f>_xlfn.XLOOKUP(Recon!A250,[1]Backup!AJ:AJ,[1]Backup!K:K)</f>
        <v>1.7938400000000001</v>
      </c>
      <c r="E250">
        <f>SUMIF('[1]PO Report'!A:A,Recon!A250,'[1]PO Report'!P:P)</f>
        <v>8</v>
      </c>
      <c r="F250">
        <f>VLOOKUP(A250,'[1]PO Report'!$A:$Z,15,0)</f>
        <v>52.76</v>
      </c>
      <c r="H250">
        <f t="shared" si="6"/>
        <v>0</v>
      </c>
      <c r="J250">
        <f t="shared" si="7"/>
        <v>0</v>
      </c>
    </row>
    <row r="251" spans="1:10" x14ac:dyDescent="0.25">
      <c r="A251" t="s">
        <v>1147</v>
      </c>
      <c r="B251">
        <v>8</v>
      </c>
      <c r="C251">
        <f>_xlfn.XLOOKUP(Recon!A251,[1]Backup!AJ:AJ,[1]Backup!L:L)</f>
        <v>29.28</v>
      </c>
      <c r="D251">
        <f>_xlfn.XLOOKUP(Recon!A251,[1]Backup!AJ:AJ,[1]Backup!K:K)</f>
        <v>0.99551999999999996</v>
      </c>
      <c r="E251">
        <f>SUMIF('[1]PO Report'!A:A,Recon!A251,'[1]PO Report'!P:P)</f>
        <v>8</v>
      </c>
      <c r="F251">
        <f>VLOOKUP(A251,'[1]PO Report'!$A:$Z,15,0)</f>
        <v>29.28</v>
      </c>
      <c r="H251">
        <f t="shared" si="6"/>
        <v>0</v>
      </c>
      <c r="J251">
        <f t="shared" si="7"/>
        <v>0</v>
      </c>
    </row>
    <row r="252" spans="1:10" x14ac:dyDescent="0.25">
      <c r="A252" t="s">
        <v>1148</v>
      </c>
      <c r="B252">
        <v>8</v>
      </c>
      <c r="C252">
        <f>_xlfn.XLOOKUP(Recon!A252,[1]Backup!AJ:AJ,[1]Backup!L:L)</f>
        <v>42.2</v>
      </c>
      <c r="D252">
        <f>_xlfn.XLOOKUP(Recon!A252,[1]Backup!AJ:AJ,[1]Backup!K:K)</f>
        <v>1.4348000000000001</v>
      </c>
      <c r="E252">
        <f>SUMIF('[1]PO Report'!A:A,Recon!A252,'[1]PO Report'!P:P)</f>
        <v>8</v>
      </c>
      <c r="F252">
        <f>VLOOKUP(A252,'[1]PO Report'!$A:$Z,15,0)</f>
        <v>42.2</v>
      </c>
      <c r="H252">
        <f t="shared" si="6"/>
        <v>0</v>
      </c>
      <c r="J252">
        <f t="shared" si="7"/>
        <v>0</v>
      </c>
    </row>
    <row r="253" spans="1:10" x14ac:dyDescent="0.25">
      <c r="A253" t="s">
        <v>1149</v>
      </c>
      <c r="B253">
        <v>4</v>
      </c>
      <c r="C253">
        <f>_xlfn.XLOOKUP(Recon!A253,[1]Backup!AJ:AJ,[1]Backup!L:L)</f>
        <v>47.48</v>
      </c>
      <c r="D253">
        <f>_xlfn.XLOOKUP(Recon!A253,[1]Backup!AJ:AJ,[1]Backup!K:K)</f>
        <v>1.61432</v>
      </c>
      <c r="E253">
        <f>SUMIF('[1]PO Report'!A:A,Recon!A253,'[1]PO Report'!P:P)</f>
        <v>4</v>
      </c>
      <c r="F253">
        <f>VLOOKUP(A253,'[1]PO Report'!$A:$Z,15,0)</f>
        <v>47.48</v>
      </c>
      <c r="H253">
        <f t="shared" si="6"/>
        <v>0</v>
      </c>
      <c r="J253">
        <f t="shared" si="7"/>
        <v>0</v>
      </c>
    </row>
    <row r="254" spans="1:10" x14ac:dyDescent="0.25">
      <c r="A254" t="s">
        <v>1150</v>
      </c>
      <c r="B254">
        <v>10</v>
      </c>
      <c r="C254">
        <f>_xlfn.XLOOKUP(Recon!A254,[1]Backup!AJ:AJ,[1]Backup!L:L)</f>
        <v>26.369999999999997</v>
      </c>
      <c r="D254">
        <f>_xlfn.XLOOKUP(Recon!A254,[1]Backup!AJ:AJ,[1]Backup!K:K)</f>
        <v>0.89657999999999993</v>
      </c>
      <c r="E254">
        <f>SUMIF('[1]PO Report'!A:A,Recon!A254,'[1]PO Report'!P:P)</f>
        <v>10</v>
      </c>
      <c r="F254">
        <f>VLOOKUP(A254,'[1]PO Report'!$A:$Z,15,0)</f>
        <v>26.37</v>
      </c>
      <c r="H254">
        <f t="shared" si="6"/>
        <v>0</v>
      </c>
      <c r="J254">
        <f t="shared" si="7"/>
        <v>0</v>
      </c>
    </row>
    <row r="255" spans="1:10" x14ac:dyDescent="0.25">
      <c r="A255" t="s">
        <v>1151</v>
      </c>
      <c r="B255">
        <v>8</v>
      </c>
      <c r="C255">
        <f>_xlfn.XLOOKUP(Recon!A255,[1]Backup!AJ:AJ,[1]Backup!L:L)</f>
        <v>116.02</v>
      </c>
      <c r="D255">
        <f>_xlfn.XLOOKUP(Recon!A255,[1]Backup!AJ:AJ,[1]Backup!K:K)</f>
        <v>3.94468</v>
      </c>
      <c r="E255">
        <f>SUMIF('[1]PO Report'!A:A,Recon!A255,'[1]PO Report'!P:P)</f>
        <v>8</v>
      </c>
      <c r="F255">
        <f>VLOOKUP(A255,'[1]PO Report'!$A:$Z,15,0)</f>
        <v>116.02</v>
      </c>
      <c r="H255">
        <f t="shared" si="6"/>
        <v>0</v>
      </c>
      <c r="J255">
        <f t="shared" si="7"/>
        <v>0</v>
      </c>
    </row>
    <row r="256" spans="1:10" x14ac:dyDescent="0.25">
      <c r="A256" t="s">
        <v>1152</v>
      </c>
      <c r="B256">
        <v>10</v>
      </c>
      <c r="C256">
        <f>_xlfn.XLOOKUP(Recon!A256,[1]Backup!AJ:AJ,[1]Backup!L:L)</f>
        <v>58</v>
      </c>
      <c r="D256">
        <f>_xlfn.XLOOKUP(Recon!A256,[1]Backup!AJ:AJ,[1]Backup!K:K)</f>
        <v>1.972</v>
      </c>
      <c r="E256">
        <f>SUMIF('[1]PO Report'!A:A,Recon!A256,'[1]PO Report'!P:P)</f>
        <v>10</v>
      </c>
      <c r="F256">
        <f>VLOOKUP(A256,'[1]PO Report'!$A:$Z,15,0)</f>
        <v>58</v>
      </c>
      <c r="H256">
        <f t="shared" si="6"/>
        <v>0</v>
      </c>
      <c r="J256">
        <f t="shared" si="7"/>
        <v>0</v>
      </c>
    </row>
    <row r="257" spans="1:10" x14ac:dyDescent="0.25">
      <c r="A257" t="s">
        <v>1153</v>
      </c>
      <c r="B257">
        <v>10</v>
      </c>
      <c r="C257">
        <f>_xlfn.XLOOKUP(Recon!A257,[1]Backup!AJ:AJ,[1]Backup!L:L)</f>
        <v>9.9499999999999993</v>
      </c>
      <c r="D257">
        <f>_xlfn.XLOOKUP(Recon!A257,[1]Backup!AJ:AJ,[1]Backup!K:K)</f>
        <v>0.33829999999999999</v>
      </c>
      <c r="E257">
        <f>SUMIF('[1]PO Report'!A:A,Recon!A257,'[1]PO Report'!P:P)</f>
        <v>10</v>
      </c>
      <c r="F257">
        <f>VLOOKUP(A257,'[1]PO Report'!$A:$Z,15,0)</f>
        <v>9.9499999999999993</v>
      </c>
      <c r="H257">
        <f t="shared" si="6"/>
        <v>0</v>
      </c>
      <c r="J257">
        <f t="shared" si="7"/>
        <v>0</v>
      </c>
    </row>
    <row r="258" spans="1:10" x14ac:dyDescent="0.25">
      <c r="A258" t="s">
        <v>1154</v>
      </c>
      <c r="B258">
        <v>30</v>
      </c>
      <c r="C258">
        <f>_xlfn.XLOOKUP(Recon!A258,[1]Backup!AJ:AJ,[1]Backup!L:L)</f>
        <v>8.7799999999999994</v>
      </c>
      <c r="D258">
        <f>_xlfn.XLOOKUP(Recon!A258,[1]Backup!AJ:AJ,[1]Backup!K:K)</f>
        <v>0.29852000000000001</v>
      </c>
      <c r="E258">
        <f>SUMIF('[1]PO Report'!A:A,Recon!A258,'[1]PO Report'!P:P)</f>
        <v>30</v>
      </c>
      <c r="F258">
        <f>VLOOKUP(A258,'[1]PO Report'!$A:$Z,15,0)</f>
        <v>8.7799999999999994</v>
      </c>
      <c r="H258">
        <f t="shared" si="6"/>
        <v>0</v>
      </c>
      <c r="J258">
        <f t="shared" si="7"/>
        <v>0</v>
      </c>
    </row>
    <row r="259" spans="1:10" x14ac:dyDescent="0.25">
      <c r="A259" t="s">
        <v>1155</v>
      </c>
      <c r="B259">
        <v>20</v>
      </c>
      <c r="C259">
        <f>_xlfn.XLOOKUP(Recon!A259,[1]Backup!AJ:AJ,[1]Backup!L:L)</f>
        <v>14.64</v>
      </c>
      <c r="D259">
        <f>_xlfn.XLOOKUP(Recon!A259,[1]Backup!AJ:AJ,[1]Backup!K:K)</f>
        <v>0.49775999999999998</v>
      </c>
      <c r="E259">
        <f>SUMIF('[1]PO Report'!A:A,Recon!A259,'[1]PO Report'!P:P)</f>
        <v>20</v>
      </c>
      <c r="F259">
        <f>VLOOKUP(A259,'[1]PO Report'!$A:$Z,15,0)</f>
        <v>14.64</v>
      </c>
      <c r="H259">
        <f t="shared" si="6"/>
        <v>0</v>
      </c>
      <c r="J259">
        <f t="shared" si="7"/>
        <v>0</v>
      </c>
    </row>
    <row r="260" spans="1:10" x14ac:dyDescent="0.25">
      <c r="A260" t="s">
        <v>1156</v>
      </c>
      <c r="B260">
        <v>4</v>
      </c>
      <c r="C260">
        <f>_xlfn.XLOOKUP(Recon!A260,[1]Backup!AJ:AJ,[1]Backup!L:L)</f>
        <v>83.89</v>
      </c>
      <c r="D260">
        <f>_xlfn.XLOOKUP(Recon!A260,[1]Backup!AJ:AJ,[1]Backup!K:K)</f>
        <v>2.8522599999999998</v>
      </c>
      <c r="E260">
        <f>SUMIF('[1]PO Report'!A:A,Recon!A260,'[1]PO Report'!P:P)</f>
        <v>4</v>
      </c>
      <c r="F260">
        <f>VLOOKUP(A260,'[1]PO Report'!$A:$Z,15,0)</f>
        <v>83.89</v>
      </c>
      <c r="H260">
        <f t="shared" ref="H260:H323" si="8">B260-E260</f>
        <v>0</v>
      </c>
      <c r="J260">
        <f t="shared" ref="J260:J323" si="9">C260-F260</f>
        <v>0</v>
      </c>
    </row>
    <row r="261" spans="1:10" x14ac:dyDescent="0.25">
      <c r="A261" t="s">
        <v>1157</v>
      </c>
      <c r="B261">
        <v>8</v>
      </c>
      <c r="C261">
        <f>_xlfn.XLOOKUP(Recon!A261,[1]Backup!AJ:AJ,[1]Backup!L:L)</f>
        <v>159.09</v>
      </c>
      <c r="D261">
        <f>_xlfn.XLOOKUP(Recon!A261,[1]Backup!AJ:AJ,[1]Backup!K:K)</f>
        <v>5.4090600000000002</v>
      </c>
      <c r="E261">
        <f>SUMIF('[1]PO Report'!A:A,Recon!A261,'[1]PO Report'!P:P)</f>
        <v>8</v>
      </c>
      <c r="F261">
        <f>VLOOKUP(A261,'[1]PO Report'!$A:$Z,15,0)</f>
        <v>159.09</v>
      </c>
      <c r="H261">
        <f t="shared" si="8"/>
        <v>0</v>
      </c>
      <c r="J261">
        <f t="shared" si="9"/>
        <v>0</v>
      </c>
    </row>
    <row r="262" spans="1:10" x14ac:dyDescent="0.25">
      <c r="A262" t="s">
        <v>1158</v>
      </c>
      <c r="B262">
        <v>8</v>
      </c>
      <c r="C262">
        <f>_xlfn.XLOOKUP(Recon!A262,[1]Backup!AJ:AJ,[1]Backup!L:L)</f>
        <v>147.21</v>
      </c>
      <c r="D262">
        <f>_xlfn.XLOOKUP(Recon!A262,[1]Backup!AJ:AJ,[1]Backup!K:K)</f>
        <v>5.0051399999999999</v>
      </c>
      <c r="E262">
        <f>SUMIF('[1]PO Report'!A:A,Recon!A262,'[1]PO Report'!P:P)</f>
        <v>8</v>
      </c>
      <c r="F262">
        <f>VLOOKUP(A262,'[1]PO Report'!$A:$Z,15,0)</f>
        <v>147.21</v>
      </c>
      <c r="H262">
        <f t="shared" si="8"/>
        <v>0</v>
      </c>
      <c r="J262">
        <f t="shared" si="9"/>
        <v>0</v>
      </c>
    </row>
    <row r="263" spans="1:10" x14ac:dyDescent="0.25">
      <c r="A263" t="s">
        <v>1159</v>
      </c>
      <c r="B263">
        <v>28</v>
      </c>
      <c r="C263">
        <f>_xlfn.XLOOKUP(Recon!A263,[1]Backup!AJ:AJ,[1]Backup!L:L)</f>
        <v>35.130000000000003</v>
      </c>
      <c r="D263">
        <f>_xlfn.XLOOKUP(Recon!A263,[1]Backup!AJ:AJ,[1]Backup!K:K)</f>
        <v>1.1944199999999998</v>
      </c>
      <c r="E263">
        <f>SUMIF('[1]PO Report'!A:A,Recon!A263,'[1]PO Report'!P:P)</f>
        <v>28</v>
      </c>
      <c r="F263">
        <f>VLOOKUP(A263,'[1]PO Report'!$A:$Z,15,0)</f>
        <v>35.130000000000003</v>
      </c>
      <c r="H263">
        <f t="shared" si="8"/>
        <v>0</v>
      </c>
      <c r="J263">
        <f t="shared" si="9"/>
        <v>0</v>
      </c>
    </row>
    <row r="264" spans="1:10" x14ac:dyDescent="0.25">
      <c r="A264" t="s">
        <v>1160</v>
      </c>
      <c r="B264">
        <v>40</v>
      </c>
      <c r="C264">
        <f>_xlfn.XLOOKUP(Recon!A264,[1]Backup!AJ:AJ,[1]Backup!L:L)</f>
        <v>14.64</v>
      </c>
      <c r="D264">
        <f>_xlfn.XLOOKUP(Recon!A264,[1]Backup!AJ:AJ,[1]Backup!K:K)</f>
        <v>0.49775999999999998</v>
      </c>
      <c r="E264">
        <f>SUMIF('[1]PO Report'!A:A,Recon!A264,'[1]PO Report'!P:P)</f>
        <v>40</v>
      </c>
      <c r="F264">
        <f>VLOOKUP(A264,'[1]PO Report'!$A:$Z,15,0)</f>
        <v>14.64</v>
      </c>
      <c r="H264">
        <f t="shared" si="8"/>
        <v>0</v>
      </c>
      <c r="J264">
        <f t="shared" si="9"/>
        <v>0</v>
      </c>
    </row>
    <row r="265" spans="1:10" x14ac:dyDescent="0.25">
      <c r="A265" t="s">
        <v>1161</v>
      </c>
      <c r="B265">
        <v>340</v>
      </c>
      <c r="C265">
        <f>_xlfn.XLOOKUP(Recon!A265,[1]Backup!AJ:AJ,[1]Backup!L:L)</f>
        <v>9.9499999999999993</v>
      </c>
      <c r="D265">
        <f>_xlfn.XLOOKUP(Recon!A265,[1]Backup!AJ:AJ,[1]Backup!K:K)</f>
        <v>0.33829999999999999</v>
      </c>
      <c r="E265">
        <f>SUMIF('[1]PO Report'!A:A,Recon!A265,'[1]PO Report'!P:P)</f>
        <v>340</v>
      </c>
      <c r="F265">
        <f>VLOOKUP(A265,'[1]PO Report'!$A:$Z,15,0)</f>
        <v>9.9499999999999993</v>
      </c>
      <c r="H265">
        <f t="shared" si="8"/>
        <v>0</v>
      </c>
      <c r="J265">
        <f t="shared" si="9"/>
        <v>0</v>
      </c>
    </row>
    <row r="266" spans="1:10" x14ac:dyDescent="0.25">
      <c r="A266" t="s">
        <v>1162</v>
      </c>
      <c r="B266">
        <v>8</v>
      </c>
      <c r="C266">
        <f>_xlfn.XLOOKUP(Recon!A266,[1]Backup!AJ:AJ,[1]Backup!L:L)</f>
        <v>11.71</v>
      </c>
      <c r="D266">
        <f>_xlfn.XLOOKUP(Recon!A266,[1]Backup!AJ:AJ,[1]Backup!K:K)</f>
        <v>0.39813999999999999</v>
      </c>
      <c r="E266">
        <f>SUMIF('[1]PO Report'!A:A,Recon!A266,'[1]PO Report'!P:P)</f>
        <v>8</v>
      </c>
      <c r="F266">
        <f>VLOOKUP(A266,'[1]PO Report'!$A:$Z,15,0)</f>
        <v>11.71</v>
      </c>
      <c r="H266">
        <f t="shared" si="8"/>
        <v>0</v>
      </c>
      <c r="J266">
        <f t="shared" si="9"/>
        <v>0</v>
      </c>
    </row>
    <row r="267" spans="1:10" x14ac:dyDescent="0.25">
      <c r="A267" t="s">
        <v>1163</v>
      </c>
      <c r="B267">
        <v>16</v>
      </c>
      <c r="C267">
        <f>_xlfn.XLOOKUP(Recon!A267,[1]Backup!AJ:AJ,[1]Backup!L:L)</f>
        <v>29.28</v>
      </c>
      <c r="D267">
        <f>_xlfn.XLOOKUP(Recon!A267,[1]Backup!AJ:AJ,[1]Backup!K:K)</f>
        <v>0.99551999999999996</v>
      </c>
      <c r="E267">
        <f>SUMIF('[1]PO Report'!A:A,Recon!A267,'[1]PO Report'!P:P)</f>
        <v>16</v>
      </c>
      <c r="F267">
        <f>VLOOKUP(A267,'[1]PO Report'!$A:$Z,15,0)</f>
        <v>29.28</v>
      </c>
      <c r="H267">
        <f t="shared" si="8"/>
        <v>0</v>
      </c>
      <c r="J267">
        <f t="shared" si="9"/>
        <v>0</v>
      </c>
    </row>
    <row r="268" spans="1:10" x14ac:dyDescent="0.25">
      <c r="A268" t="s">
        <v>1164</v>
      </c>
      <c r="B268">
        <v>24</v>
      </c>
      <c r="C268">
        <f>_xlfn.XLOOKUP(Recon!A268,[1]Backup!AJ:AJ,[1]Backup!L:L)</f>
        <v>29.28</v>
      </c>
      <c r="D268">
        <f>_xlfn.XLOOKUP(Recon!A268,[1]Backup!AJ:AJ,[1]Backup!K:K)</f>
        <v>0.99551999999999996</v>
      </c>
      <c r="E268">
        <f>SUMIF('[1]PO Report'!A:A,Recon!A268,'[1]PO Report'!P:P)</f>
        <v>24</v>
      </c>
      <c r="F268">
        <f>VLOOKUP(A268,'[1]PO Report'!$A:$Z,15,0)</f>
        <v>29.28</v>
      </c>
      <c r="H268">
        <f t="shared" si="8"/>
        <v>0</v>
      </c>
      <c r="J268">
        <f t="shared" si="9"/>
        <v>0</v>
      </c>
    </row>
    <row r="269" spans="1:10" x14ac:dyDescent="0.25">
      <c r="A269" t="s">
        <v>1165</v>
      </c>
      <c r="B269">
        <v>8</v>
      </c>
      <c r="C269">
        <f>_xlfn.XLOOKUP(Recon!A269,[1]Backup!AJ:AJ,[1]Backup!L:L)</f>
        <v>36.93</v>
      </c>
      <c r="D269">
        <f>_xlfn.XLOOKUP(Recon!A269,[1]Backup!AJ:AJ,[1]Backup!K:K)</f>
        <v>1.25562</v>
      </c>
      <c r="E269">
        <f>SUMIF('[1]PO Report'!A:A,Recon!A269,'[1]PO Report'!P:P)</f>
        <v>8</v>
      </c>
      <c r="F269">
        <f>VLOOKUP(A269,'[1]PO Report'!$A:$Z,15,0)</f>
        <v>36.93</v>
      </c>
      <c r="H269">
        <f t="shared" si="8"/>
        <v>0</v>
      </c>
      <c r="J269">
        <f t="shared" si="9"/>
        <v>0</v>
      </c>
    </row>
    <row r="270" spans="1:10" x14ac:dyDescent="0.25">
      <c r="A270" t="s">
        <v>1166</v>
      </c>
      <c r="B270">
        <v>20</v>
      </c>
      <c r="C270">
        <f>_xlfn.XLOOKUP(Recon!A270,[1]Backup!AJ:AJ,[1]Backup!L:L)</f>
        <v>23.740000000000002</v>
      </c>
      <c r="D270">
        <f>_xlfn.XLOOKUP(Recon!A270,[1]Backup!AJ:AJ,[1]Backup!K:K)</f>
        <v>0.80715999999999999</v>
      </c>
      <c r="E270">
        <f>SUMIF('[1]PO Report'!A:A,Recon!A270,'[1]PO Report'!P:P)</f>
        <v>20</v>
      </c>
      <c r="F270">
        <f>VLOOKUP(A270,'[1]PO Report'!$A:$Z,15,0)</f>
        <v>23.74</v>
      </c>
      <c r="H270">
        <f t="shared" si="8"/>
        <v>0</v>
      </c>
      <c r="J270">
        <f t="shared" si="9"/>
        <v>0</v>
      </c>
    </row>
    <row r="271" spans="1:10" x14ac:dyDescent="0.25">
      <c r="A271" t="s">
        <v>1167</v>
      </c>
      <c r="B271">
        <v>50</v>
      </c>
      <c r="C271">
        <f>_xlfn.XLOOKUP(Recon!A271,[1]Backup!AJ:AJ,[1]Backup!L:L)</f>
        <v>29.28</v>
      </c>
      <c r="D271">
        <f>_xlfn.XLOOKUP(Recon!A271,[1]Backup!AJ:AJ,[1]Backup!K:K)</f>
        <v>0.99552000000000007</v>
      </c>
      <c r="E271">
        <f>SUMIF('[1]PO Report'!A:A,Recon!A271,'[1]PO Report'!P:P)</f>
        <v>50</v>
      </c>
      <c r="F271">
        <f>VLOOKUP(A271,'[1]PO Report'!$A:$Z,15,0)</f>
        <v>29.28</v>
      </c>
      <c r="H271">
        <f t="shared" si="8"/>
        <v>0</v>
      </c>
      <c r="J271">
        <f t="shared" si="9"/>
        <v>0</v>
      </c>
    </row>
    <row r="272" spans="1:10" x14ac:dyDescent="0.25">
      <c r="A272" t="s">
        <v>1168</v>
      </c>
      <c r="B272">
        <v>8</v>
      </c>
      <c r="C272">
        <f>_xlfn.XLOOKUP(Recon!A272,[1]Backup!AJ:AJ,[1]Backup!L:L)</f>
        <v>29.28</v>
      </c>
      <c r="D272">
        <f>_xlfn.XLOOKUP(Recon!A272,[1]Backup!AJ:AJ,[1]Backup!K:K)</f>
        <v>0.99551999999999996</v>
      </c>
      <c r="E272">
        <f>SUMIF('[1]PO Report'!A:A,Recon!A272,'[1]PO Report'!P:P)</f>
        <v>8</v>
      </c>
      <c r="F272">
        <f>VLOOKUP(A272,'[1]PO Report'!$A:$Z,15,0)</f>
        <v>29.28</v>
      </c>
      <c r="H272">
        <f t="shared" si="8"/>
        <v>0</v>
      </c>
      <c r="J272">
        <f t="shared" si="9"/>
        <v>0</v>
      </c>
    </row>
    <row r="273" spans="1:10" x14ac:dyDescent="0.25">
      <c r="A273" t="s">
        <v>1169</v>
      </c>
      <c r="B273">
        <v>16</v>
      </c>
      <c r="C273">
        <f>_xlfn.XLOOKUP(Recon!A273,[1]Backup!AJ:AJ,[1]Backup!L:L)</f>
        <v>29.28</v>
      </c>
      <c r="D273">
        <f>_xlfn.XLOOKUP(Recon!A273,[1]Backup!AJ:AJ,[1]Backup!K:K)</f>
        <v>0.99551999999999996</v>
      </c>
      <c r="E273">
        <f>SUMIF('[1]PO Report'!A:A,Recon!A273,'[1]PO Report'!P:P)</f>
        <v>16</v>
      </c>
      <c r="F273">
        <f>VLOOKUP(A273,'[1]PO Report'!$A:$Z,15,0)</f>
        <v>29.28</v>
      </c>
      <c r="H273">
        <f t="shared" si="8"/>
        <v>0</v>
      </c>
      <c r="J273">
        <f t="shared" si="9"/>
        <v>0</v>
      </c>
    </row>
    <row r="274" spans="1:10" x14ac:dyDescent="0.25">
      <c r="A274" t="s">
        <v>1170</v>
      </c>
      <c r="B274">
        <v>8</v>
      </c>
      <c r="C274">
        <f>_xlfn.XLOOKUP(Recon!A274,[1]Backup!AJ:AJ,[1]Backup!L:L)</f>
        <v>15.82</v>
      </c>
      <c r="D274">
        <f>_xlfn.XLOOKUP(Recon!A274,[1]Backup!AJ:AJ,[1]Backup!K:K)</f>
        <v>0.53788000000000002</v>
      </c>
      <c r="E274">
        <f>SUMIF('[1]PO Report'!A:A,Recon!A274,'[1]PO Report'!P:P)</f>
        <v>8</v>
      </c>
      <c r="F274">
        <f>VLOOKUP(A274,'[1]PO Report'!$A:$Z,15,0)</f>
        <v>15.82</v>
      </c>
      <c r="H274">
        <f t="shared" si="8"/>
        <v>0</v>
      </c>
      <c r="J274">
        <f t="shared" si="9"/>
        <v>0</v>
      </c>
    </row>
    <row r="275" spans="1:10" x14ac:dyDescent="0.25">
      <c r="A275" t="s">
        <v>1171</v>
      </c>
      <c r="B275">
        <v>80</v>
      </c>
      <c r="C275">
        <f>_xlfn.XLOOKUP(Recon!A275,[1]Backup!AJ:AJ,[1]Backup!L:L)</f>
        <v>14.64</v>
      </c>
      <c r="D275">
        <f>_xlfn.XLOOKUP(Recon!A275,[1]Backup!AJ:AJ,[1]Backup!K:K)</f>
        <v>0.49775999999999998</v>
      </c>
      <c r="E275">
        <f>SUMIF('[1]PO Report'!A:A,Recon!A275,'[1]PO Report'!P:P)</f>
        <v>80</v>
      </c>
      <c r="F275">
        <f>VLOOKUP(A275,'[1]PO Report'!$A:$Z,15,0)</f>
        <v>14.64</v>
      </c>
      <c r="H275">
        <f t="shared" si="8"/>
        <v>0</v>
      </c>
      <c r="J275">
        <f t="shared" si="9"/>
        <v>0</v>
      </c>
    </row>
    <row r="276" spans="1:10" x14ac:dyDescent="0.25">
      <c r="A276" t="s">
        <v>1172</v>
      </c>
      <c r="B276">
        <v>110</v>
      </c>
      <c r="C276">
        <f>_xlfn.XLOOKUP(Recon!A276,[1]Backup!AJ:AJ,[1]Backup!L:L)</f>
        <v>23.42</v>
      </c>
      <c r="D276">
        <f>_xlfn.XLOOKUP(Recon!A276,[1]Backup!AJ:AJ,[1]Backup!K:K)</f>
        <v>0.79627999999999999</v>
      </c>
      <c r="E276">
        <f>SUMIF('[1]PO Report'!A:A,Recon!A276,'[1]PO Report'!P:P)</f>
        <v>110</v>
      </c>
      <c r="F276">
        <f>VLOOKUP(A276,'[1]PO Report'!$A:$Z,15,0)</f>
        <v>23.42</v>
      </c>
      <c r="H276">
        <f t="shared" si="8"/>
        <v>0</v>
      </c>
      <c r="J276">
        <f t="shared" si="9"/>
        <v>0</v>
      </c>
    </row>
    <row r="277" spans="1:10" x14ac:dyDescent="0.25">
      <c r="A277" t="s">
        <v>1173</v>
      </c>
      <c r="B277">
        <v>20</v>
      </c>
      <c r="C277">
        <f>_xlfn.XLOOKUP(Recon!A277,[1]Backup!AJ:AJ,[1]Backup!L:L)</f>
        <v>14.64</v>
      </c>
      <c r="D277">
        <f>_xlfn.XLOOKUP(Recon!A277,[1]Backup!AJ:AJ,[1]Backup!K:K)</f>
        <v>0.49775999999999998</v>
      </c>
      <c r="E277">
        <f>SUMIF('[1]PO Report'!A:A,Recon!A277,'[1]PO Report'!P:P)</f>
        <v>20</v>
      </c>
      <c r="F277">
        <f>VLOOKUP(A277,'[1]PO Report'!$A:$Z,15,0)</f>
        <v>14.64</v>
      </c>
      <c r="H277">
        <f t="shared" si="8"/>
        <v>0</v>
      </c>
      <c r="J277">
        <f t="shared" si="9"/>
        <v>0</v>
      </c>
    </row>
    <row r="278" spans="1:10" x14ac:dyDescent="0.25">
      <c r="A278" t="s">
        <v>1174</v>
      </c>
      <c r="B278">
        <v>24</v>
      </c>
      <c r="C278">
        <f>_xlfn.XLOOKUP(Recon!A278,[1]Backup!AJ:AJ,[1]Backup!L:L)</f>
        <v>17.559999999999999</v>
      </c>
      <c r="D278">
        <f>_xlfn.XLOOKUP(Recon!A278,[1]Backup!AJ:AJ,[1]Backup!K:K)</f>
        <v>0.59704000000000002</v>
      </c>
      <c r="E278">
        <f>SUMIF('[1]PO Report'!A:A,Recon!A278,'[1]PO Report'!P:P)</f>
        <v>32</v>
      </c>
      <c r="F278">
        <f>VLOOKUP(A278,'[1]PO Report'!$A:$Z,15,0)</f>
        <v>17.559999999999999</v>
      </c>
      <c r="H278">
        <f t="shared" si="8"/>
        <v>-8</v>
      </c>
      <c r="J278">
        <f t="shared" si="9"/>
        <v>0</v>
      </c>
    </row>
    <row r="279" spans="1:10" x14ac:dyDescent="0.25">
      <c r="A279" t="s">
        <v>1175</v>
      </c>
      <c r="B279">
        <v>24</v>
      </c>
      <c r="C279">
        <f>_xlfn.XLOOKUP(Recon!A279,[1]Backup!AJ:AJ,[1]Backup!L:L)</f>
        <v>87.84</v>
      </c>
      <c r="D279">
        <f>_xlfn.XLOOKUP(Recon!A279,[1]Backup!AJ:AJ,[1]Backup!K:K)</f>
        <v>2.9865599999999999</v>
      </c>
      <c r="E279">
        <f>SUMIF('[1]PO Report'!A:A,Recon!A279,'[1]PO Report'!P:P)</f>
        <v>24</v>
      </c>
      <c r="F279">
        <f>VLOOKUP(A279,'[1]PO Report'!$A:$Z,15,0)</f>
        <v>87.84</v>
      </c>
      <c r="H279">
        <f t="shared" si="8"/>
        <v>0</v>
      </c>
      <c r="J279">
        <f t="shared" si="9"/>
        <v>0</v>
      </c>
    </row>
    <row r="280" spans="1:10" x14ac:dyDescent="0.25">
      <c r="A280" t="s">
        <v>1176</v>
      </c>
      <c r="B280">
        <v>28</v>
      </c>
      <c r="C280">
        <f>_xlfn.XLOOKUP(Recon!A280,[1]Backup!AJ:AJ,[1]Backup!L:L)</f>
        <v>31.650000000000002</v>
      </c>
      <c r="D280">
        <f>_xlfn.XLOOKUP(Recon!A280,[1]Backup!AJ:AJ,[1]Backup!K:K)</f>
        <v>1.0761000000000001</v>
      </c>
      <c r="E280">
        <f>SUMIF('[1]PO Report'!A:A,Recon!A280,'[1]PO Report'!P:P)</f>
        <v>28</v>
      </c>
      <c r="F280">
        <f>VLOOKUP(A280,'[1]PO Report'!$A:$Z,15,0)</f>
        <v>31.65</v>
      </c>
      <c r="H280">
        <f t="shared" si="8"/>
        <v>0</v>
      </c>
      <c r="J280">
        <f t="shared" si="9"/>
        <v>0</v>
      </c>
    </row>
    <row r="281" spans="1:10" x14ac:dyDescent="0.25">
      <c r="A281" t="s">
        <v>1177</v>
      </c>
      <c r="B281">
        <v>4</v>
      </c>
      <c r="C281">
        <f>_xlfn.XLOOKUP(Recon!A281,[1]Backup!AJ:AJ,[1]Backup!L:L)</f>
        <v>68.06</v>
      </c>
      <c r="D281">
        <f>_xlfn.XLOOKUP(Recon!A281,[1]Backup!AJ:AJ,[1]Backup!K:K)</f>
        <v>2.3140399999999999</v>
      </c>
      <c r="E281">
        <f>SUMIF('[1]PO Report'!A:A,Recon!A281,'[1]PO Report'!P:P)</f>
        <v>4</v>
      </c>
      <c r="F281">
        <f>VLOOKUP(A281,'[1]PO Report'!$A:$Z,15,0)</f>
        <v>68.06</v>
      </c>
      <c r="H281">
        <f t="shared" si="8"/>
        <v>0</v>
      </c>
      <c r="J281">
        <f t="shared" si="9"/>
        <v>0</v>
      </c>
    </row>
    <row r="282" spans="1:10" x14ac:dyDescent="0.25">
      <c r="A282" t="s">
        <v>1178</v>
      </c>
      <c r="B282">
        <v>30</v>
      </c>
      <c r="C282">
        <f>_xlfn.XLOOKUP(Recon!A282,[1]Backup!AJ:AJ,[1]Backup!L:L)</f>
        <v>8.7799999999999994</v>
      </c>
      <c r="D282">
        <f>_xlfn.XLOOKUP(Recon!A282,[1]Backup!AJ:AJ,[1]Backup!K:K)</f>
        <v>0.29852000000000001</v>
      </c>
      <c r="E282">
        <f>SUMIF('[1]PO Report'!A:A,Recon!A282,'[1]PO Report'!P:P)</f>
        <v>30</v>
      </c>
      <c r="F282">
        <f>VLOOKUP(A282,'[1]PO Report'!$A:$Z,15,0)</f>
        <v>8.7799999999999994</v>
      </c>
      <c r="H282">
        <f t="shared" si="8"/>
        <v>0</v>
      </c>
      <c r="J282">
        <f t="shared" si="9"/>
        <v>0</v>
      </c>
    </row>
    <row r="283" spans="1:10" x14ac:dyDescent="0.25">
      <c r="A283" t="s">
        <v>1179</v>
      </c>
      <c r="B283">
        <v>12</v>
      </c>
      <c r="C283">
        <f>_xlfn.XLOOKUP(Recon!A283,[1]Backup!AJ:AJ,[1]Backup!L:L)</f>
        <v>42.860000000000007</v>
      </c>
      <c r="D283">
        <f>_xlfn.XLOOKUP(Recon!A283,[1]Backup!AJ:AJ,[1]Backup!K:K)</f>
        <v>1.4572399999999999</v>
      </c>
      <c r="E283">
        <f>SUMIF('[1]PO Report'!A:A,Recon!A283,'[1]PO Report'!P:P)</f>
        <v>12</v>
      </c>
      <c r="F283">
        <f>VLOOKUP(A283,'[1]PO Report'!$A:$Z,15,0)</f>
        <v>42.86</v>
      </c>
      <c r="H283">
        <f t="shared" si="8"/>
        <v>0</v>
      </c>
      <c r="J283">
        <f t="shared" si="9"/>
        <v>0</v>
      </c>
    </row>
    <row r="284" spans="1:10" x14ac:dyDescent="0.25">
      <c r="A284" t="s">
        <v>1180</v>
      </c>
      <c r="B284">
        <v>124</v>
      </c>
      <c r="C284">
        <f>_xlfn.XLOOKUP(Recon!A284,[1]Backup!AJ:AJ,[1]Backup!L:L)</f>
        <v>52.76</v>
      </c>
      <c r="D284">
        <f>_xlfn.XLOOKUP(Recon!A284,[1]Backup!AJ:AJ,[1]Backup!K:K)</f>
        <v>1.7938400000000001</v>
      </c>
      <c r="E284">
        <f>SUMIF('[1]PO Report'!A:A,Recon!A284,'[1]PO Report'!P:P)</f>
        <v>124</v>
      </c>
      <c r="F284">
        <f>VLOOKUP(A284,'[1]PO Report'!$A:$Z,15,0)</f>
        <v>52.76</v>
      </c>
      <c r="H284">
        <f t="shared" si="8"/>
        <v>0</v>
      </c>
      <c r="J284">
        <f t="shared" si="9"/>
        <v>0</v>
      </c>
    </row>
    <row r="285" spans="1:10" x14ac:dyDescent="0.25">
      <c r="A285" t="s">
        <v>1181</v>
      </c>
      <c r="B285">
        <v>36</v>
      </c>
      <c r="C285">
        <f>_xlfn.XLOOKUP(Recon!A285,[1]Backup!AJ:AJ,[1]Backup!L:L)</f>
        <v>78.62</v>
      </c>
      <c r="D285">
        <f>_xlfn.XLOOKUP(Recon!A285,[1]Backup!AJ:AJ,[1]Backup!K:K)</f>
        <v>2.6730800000000001</v>
      </c>
      <c r="E285">
        <f>SUMIF('[1]PO Report'!A:A,Recon!A285,'[1]PO Report'!P:P)</f>
        <v>36</v>
      </c>
      <c r="F285">
        <f>VLOOKUP(A285,'[1]PO Report'!$A:$Z,15,0)</f>
        <v>78.62</v>
      </c>
      <c r="H285">
        <f t="shared" si="8"/>
        <v>0</v>
      </c>
      <c r="J285">
        <f t="shared" si="9"/>
        <v>0</v>
      </c>
    </row>
    <row r="286" spans="1:10" x14ac:dyDescent="0.25">
      <c r="A286" t="s">
        <v>1182</v>
      </c>
      <c r="B286">
        <v>8</v>
      </c>
      <c r="C286">
        <f>_xlfn.XLOOKUP(Recon!A286,[1]Backup!AJ:AJ,[1]Backup!L:L)</f>
        <v>52.76</v>
      </c>
      <c r="D286">
        <f>_xlfn.XLOOKUP(Recon!A286,[1]Backup!AJ:AJ,[1]Backup!K:K)</f>
        <v>1.7938400000000001</v>
      </c>
      <c r="E286">
        <f>SUMIF('[1]PO Report'!A:A,Recon!A286,'[1]PO Report'!P:P)</f>
        <v>8</v>
      </c>
      <c r="F286">
        <f>VLOOKUP(A286,'[1]PO Report'!$A:$Z,15,0)</f>
        <v>52.76</v>
      </c>
      <c r="H286">
        <f t="shared" si="8"/>
        <v>0</v>
      </c>
      <c r="J286">
        <f t="shared" si="9"/>
        <v>0</v>
      </c>
    </row>
    <row r="287" spans="1:10" x14ac:dyDescent="0.25">
      <c r="A287" t="s">
        <v>1183</v>
      </c>
      <c r="B287">
        <v>36</v>
      </c>
      <c r="C287">
        <f>_xlfn.XLOOKUP(Recon!A287,[1]Backup!AJ:AJ,[1]Backup!L:L)</f>
        <v>35.130000000000003</v>
      </c>
      <c r="D287">
        <f>_xlfn.XLOOKUP(Recon!A287,[1]Backup!AJ:AJ,[1]Backup!K:K)</f>
        <v>1.19442</v>
      </c>
      <c r="E287">
        <f>SUMIF('[1]PO Report'!A:A,Recon!A287,'[1]PO Report'!P:P)</f>
        <v>36</v>
      </c>
      <c r="F287">
        <f>VLOOKUP(A287,'[1]PO Report'!$A:$Z,15,0)</f>
        <v>35.130000000000003</v>
      </c>
      <c r="H287">
        <f t="shared" si="8"/>
        <v>0</v>
      </c>
      <c r="J287">
        <f t="shared" si="9"/>
        <v>0</v>
      </c>
    </row>
    <row r="288" spans="1:10" x14ac:dyDescent="0.25">
      <c r="A288" t="s">
        <v>1184</v>
      </c>
      <c r="B288">
        <v>120</v>
      </c>
      <c r="C288">
        <f>_xlfn.XLOOKUP(Recon!A288,[1]Backup!AJ:AJ,[1]Backup!L:L)</f>
        <v>14.639999999999999</v>
      </c>
      <c r="D288">
        <f>_xlfn.XLOOKUP(Recon!A288,[1]Backup!AJ:AJ,[1]Backup!K:K)</f>
        <v>0.49776000000000004</v>
      </c>
      <c r="E288">
        <f>SUMIF('[1]PO Report'!A:A,Recon!A288,'[1]PO Report'!P:P)</f>
        <v>120</v>
      </c>
      <c r="F288">
        <f>VLOOKUP(A288,'[1]PO Report'!$A:$Z,15,0)</f>
        <v>14.64</v>
      </c>
      <c r="H288">
        <f t="shared" si="8"/>
        <v>0</v>
      </c>
      <c r="J288">
        <f t="shared" si="9"/>
        <v>0</v>
      </c>
    </row>
    <row r="289" spans="1:10" x14ac:dyDescent="0.25">
      <c r="A289" t="s">
        <v>1185</v>
      </c>
      <c r="B289">
        <v>12</v>
      </c>
      <c r="C289">
        <f>_xlfn.XLOOKUP(Recon!A289,[1]Backup!AJ:AJ,[1]Backup!L:L)</f>
        <v>35.130000000000003</v>
      </c>
      <c r="D289">
        <f>_xlfn.XLOOKUP(Recon!A289,[1]Backup!AJ:AJ,[1]Backup!K:K)</f>
        <v>1.19442</v>
      </c>
      <c r="E289">
        <f>SUMIF('[1]PO Report'!A:A,Recon!A289,'[1]PO Report'!P:P)</f>
        <v>12</v>
      </c>
      <c r="F289">
        <f>VLOOKUP(A289,'[1]PO Report'!$A:$Z,15,0)</f>
        <v>35.130000000000003</v>
      </c>
      <c r="H289">
        <f t="shared" si="8"/>
        <v>0</v>
      </c>
      <c r="J289">
        <f t="shared" si="9"/>
        <v>0</v>
      </c>
    </row>
    <row r="290" spans="1:10" x14ac:dyDescent="0.25">
      <c r="A290" t="s">
        <v>1186</v>
      </c>
      <c r="B290">
        <v>8</v>
      </c>
      <c r="C290">
        <f>_xlfn.XLOOKUP(Recon!A290,[1]Backup!AJ:AJ,[1]Backup!L:L)</f>
        <v>46.4</v>
      </c>
      <c r="D290">
        <f>_xlfn.XLOOKUP(Recon!A290,[1]Backup!AJ:AJ,[1]Backup!K:K)</f>
        <v>1.5775999999999999</v>
      </c>
      <c r="E290">
        <f>SUMIF('[1]PO Report'!A:A,Recon!A290,'[1]PO Report'!P:P)</f>
        <v>8</v>
      </c>
      <c r="F290">
        <f>VLOOKUP(A290,'[1]PO Report'!$A:$Z,15,0)</f>
        <v>46.4</v>
      </c>
      <c r="H290">
        <f t="shared" si="8"/>
        <v>0</v>
      </c>
      <c r="J290">
        <f t="shared" si="9"/>
        <v>0</v>
      </c>
    </row>
    <row r="291" spans="1:10" x14ac:dyDescent="0.25">
      <c r="A291" t="s">
        <v>1187</v>
      </c>
      <c r="B291">
        <v>70</v>
      </c>
      <c r="C291">
        <f>_xlfn.XLOOKUP(Recon!A291,[1]Backup!AJ:AJ,[1]Backup!L:L)</f>
        <v>8.7800000000000011</v>
      </c>
      <c r="D291">
        <f>_xlfn.XLOOKUP(Recon!A291,[1]Backup!AJ:AJ,[1]Backup!K:K)</f>
        <v>0.29852000000000001</v>
      </c>
      <c r="E291">
        <f>SUMIF('[1]PO Report'!A:A,Recon!A291,'[1]PO Report'!P:P)</f>
        <v>80</v>
      </c>
      <c r="F291">
        <f>VLOOKUP(A291,'[1]PO Report'!$A:$Z,15,0)</f>
        <v>8.7799999999999994</v>
      </c>
      <c r="H291">
        <f t="shared" si="8"/>
        <v>-10</v>
      </c>
      <c r="J291">
        <f t="shared" si="9"/>
        <v>0</v>
      </c>
    </row>
    <row r="292" spans="1:10" x14ac:dyDescent="0.25">
      <c r="A292" t="s">
        <v>1188</v>
      </c>
      <c r="B292">
        <v>4</v>
      </c>
      <c r="C292">
        <f>_xlfn.XLOOKUP(Recon!A292,[1]Backup!AJ:AJ,[1]Backup!L:L)</f>
        <v>78.62</v>
      </c>
      <c r="D292">
        <f>_xlfn.XLOOKUP(Recon!A292,[1]Backup!AJ:AJ,[1]Backup!K:K)</f>
        <v>2.6730800000000001</v>
      </c>
      <c r="E292">
        <f>SUMIF('[1]PO Report'!A:A,Recon!A292,'[1]PO Report'!P:P)</f>
        <v>4</v>
      </c>
      <c r="F292">
        <f>VLOOKUP(A292,'[1]PO Report'!$A:$Z,15,0)</f>
        <v>78.62</v>
      </c>
      <c r="H292">
        <f t="shared" si="8"/>
        <v>0</v>
      </c>
      <c r="J292">
        <f t="shared" si="9"/>
        <v>0</v>
      </c>
    </row>
    <row r="293" spans="1:10" x14ac:dyDescent="0.25">
      <c r="A293" t="s">
        <v>1189</v>
      </c>
      <c r="B293">
        <v>4</v>
      </c>
      <c r="C293">
        <f>_xlfn.XLOOKUP(Recon!A293,[1]Backup!AJ:AJ,[1]Backup!L:L)</f>
        <v>31.65</v>
      </c>
      <c r="D293">
        <f>_xlfn.XLOOKUP(Recon!A293,[1]Backup!AJ:AJ,[1]Backup!K:K)</f>
        <v>1.0761000000000001</v>
      </c>
      <c r="E293">
        <f>SUMIF('[1]PO Report'!A:A,Recon!A293,'[1]PO Report'!P:P)</f>
        <v>4</v>
      </c>
      <c r="F293">
        <f>VLOOKUP(A293,'[1]PO Report'!$A:$Z,15,0)</f>
        <v>31.65</v>
      </c>
      <c r="H293">
        <f t="shared" si="8"/>
        <v>0</v>
      </c>
      <c r="J293">
        <f t="shared" si="9"/>
        <v>0</v>
      </c>
    </row>
    <row r="294" spans="1:10" x14ac:dyDescent="0.25">
      <c r="A294" t="s">
        <v>1190</v>
      </c>
      <c r="B294">
        <v>8</v>
      </c>
      <c r="C294">
        <f>_xlfn.XLOOKUP(Recon!A294,[1]Backup!AJ:AJ,[1]Backup!L:L)</f>
        <v>146.71</v>
      </c>
      <c r="D294">
        <f>_xlfn.XLOOKUP(Recon!A294,[1]Backup!AJ:AJ,[1]Backup!K:K)</f>
        <v>4.9881399999999996</v>
      </c>
      <c r="E294">
        <f>SUMIF('[1]PO Report'!A:A,Recon!A294,'[1]PO Report'!P:P)</f>
        <v>8</v>
      </c>
      <c r="F294">
        <f>VLOOKUP(A294,'[1]PO Report'!$A:$Z,15,0)</f>
        <v>146.71</v>
      </c>
      <c r="H294">
        <f t="shared" si="8"/>
        <v>0</v>
      </c>
      <c r="J294">
        <f t="shared" si="9"/>
        <v>0</v>
      </c>
    </row>
    <row r="295" spans="1:10" x14ac:dyDescent="0.25">
      <c r="A295" t="s">
        <v>1191</v>
      </c>
      <c r="B295">
        <v>8</v>
      </c>
      <c r="C295">
        <f>_xlfn.XLOOKUP(Recon!A295,[1]Backup!AJ:AJ,[1]Backup!L:L)</f>
        <v>29.28</v>
      </c>
      <c r="D295">
        <f>_xlfn.XLOOKUP(Recon!A295,[1]Backup!AJ:AJ,[1]Backup!K:K)</f>
        <v>0.99551999999999996</v>
      </c>
      <c r="E295">
        <f>SUMIF('[1]PO Report'!A:A,Recon!A295,'[1]PO Report'!P:P)</f>
        <v>8</v>
      </c>
      <c r="F295">
        <f>VLOOKUP(A295,'[1]PO Report'!$A:$Z,15,0)</f>
        <v>29.28</v>
      </c>
      <c r="H295">
        <f t="shared" si="8"/>
        <v>0</v>
      </c>
      <c r="J295">
        <f t="shared" si="9"/>
        <v>0</v>
      </c>
    </row>
    <row r="296" spans="1:10" x14ac:dyDescent="0.25">
      <c r="A296" t="s">
        <v>1192</v>
      </c>
      <c r="B296">
        <v>4</v>
      </c>
      <c r="C296">
        <f>_xlfn.XLOOKUP(Recon!A296,[1]Backup!AJ:AJ,[1]Backup!L:L)</f>
        <v>75.41</v>
      </c>
      <c r="D296">
        <f>_xlfn.XLOOKUP(Recon!A296,[1]Backup!AJ:AJ,[1]Backup!K:K)</f>
        <v>2.5639400000000001</v>
      </c>
      <c r="E296">
        <f>SUMIF('[1]PO Report'!A:A,Recon!A296,'[1]PO Report'!P:P)</f>
        <v>4</v>
      </c>
      <c r="F296">
        <f>VLOOKUP(A296,'[1]PO Report'!$A:$Z,15,0)</f>
        <v>75.41</v>
      </c>
      <c r="H296">
        <f t="shared" si="8"/>
        <v>0</v>
      </c>
      <c r="J296">
        <f t="shared" si="9"/>
        <v>0</v>
      </c>
    </row>
    <row r="297" spans="1:10" x14ac:dyDescent="0.25">
      <c r="A297" t="s">
        <v>1193</v>
      </c>
      <c r="B297">
        <v>8</v>
      </c>
      <c r="C297">
        <f>_xlfn.XLOOKUP(Recon!A297,[1]Backup!AJ:AJ,[1]Backup!L:L)</f>
        <v>29.28</v>
      </c>
      <c r="D297">
        <f>_xlfn.XLOOKUP(Recon!A297,[1]Backup!AJ:AJ,[1]Backup!K:K)</f>
        <v>0.99551999999999996</v>
      </c>
      <c r="E297">
        <f>SUMIF('[1]PO Report'!A:A,Recon!A297,'[1]PO Report'!P:P)</f>
        <v>8</v>
      </c>
      <c r="F297">
        <f>VLOOKUP(A297,'[1]PO Report'!$A:$Z,15,0)</f>
        <v>29.28</v>
      </c>
      <c r="H297">
        <f t="shared" si="8"/>
        <v>0</v>
      </c>
      <c r="J297">
        <f t="shared" si="9"/>
        <v>0</v>
      </c>
    </row>
    <row r="298" spans="1:10" x14ac:dyDescent="0.25">
      <c r="A298" t="s">
        <v>1194</v>
      </c>
      <c r="B298">
        <v>4</v>
      </c>
      <c r="C298">
        <f>_xlfn.XLOOKUP(Recon!A298,[1]Backup!AJ:AJ,[1]Backup!L:L)</f>
        <v>120.83</v>
      </c>
      <c r="D298">
        <f>_xlfn.XLOOKUP(Recon!A298,[1]Backup!AJ:AJ,[1]Backup!K:K)</f>
        <v>4.1082200000000002</v>
      </c>
      <c r="E298">
        <f>SUMIF('[1]PO Report'!A:A,Recon!A298,'[1]PO Report'!P:P)</f>
        <v>4</v>
      </c>
      <c r="F298">
        <f>VLOOKUP(A298,'[1]PO Report'!$A:$Z,15,0)</f>
        <v>120.83</v>
      </c>
      <c r="H298">
        <f t="shared" si="8"/>
        <v>0</v>
      </c>
      <c r="J298">
        <f t="shared" si="9"/>
        <v>0</v>
      </c>
    </row>
    <row r="299" spans="1:10" x14ac:dyDescent="0.25">
      <c r="A299" t="s">
        <v>1195</v>
      </c>
      <c r="B299">
        <v>52</v>
      </c>
      <c r="C299">
        <f>_xlfn.XLOOKUP(Recon!A299,[1]Backup!AJ:AJ,[1]Backup!L:L)</f>
        <v>46.4</v>
      </c>
      <c r="D299">
        <f>_xlfn.XLOOKUP(Recon!A299,[1]Backup!AJ:AJ,[1]Backup!K:K)</f>
        <v>1.5776000000000001</v>
      </c>
      <c r="E299">
        <f>SUMIF('[1]PO Report'!A:A,Recon!A299,'[1]PO Report'!P:P)</f>
        <v>52</v>
      </c>
      <c r="F299">
        <f>VLOOKUP(A299,'[1]PO Report'!$A:$Z,15,0)</f>
        <v>46.4</v>
      </c>
      <c r="H299">
        <f t="shared" si="8"/>
        <v>0</v>
      </c>
      <c r="J299">
        <f t="shared" si="9"/>
        <v>0</v>
      </c>
    </row>
    <row r="300" spans="1:10" x14ac:dyDescent="0.25">
      <c r="A300" t="s">
        <v>1196</v>
      </c>
      <c r="B300">
        <v>40</v>
      </c>
      <c r="C300">
        <f>_xlfn.XLOOKUP(Recon!A300,[1]Backup!AJ:AJ,[1]Backup!L:L)</f>
        <v>73.36</v>
      </c>
      <c r="D300">
        <f>_xlfn.XLOOKUP(Recon!A300,[1]Backup!AJ:AJ,[1]Backup!K:K)</f>
        <v>2.49424</v>
      </c>
      <c r="E300">
        <f>SUMIF('[1]PO Report'!A:A,Recon!A300,'[1]PO Report'!P:P)</f>
        <v>40</v>
      </c>
      <c r="F300">
        <f>VLOOKUP(A300,'[1]PO Report'!$A:$Z,15,0)</f>
        <v>73.36</v>
      </c>
      <c r="H300">
        <f t="shared" si="8"/>
        <v>0</v>
      </c>
      <c r="J300">
        <f t="shared" si="9"/>
        <v>0</v>
      </c>
    </row>
    <row r="301" spans="1:10" x14ac:dyDescent="0.25">
      <c r="A301" t="s">
        <v>1197</v>
      </c>
      <c r="B301">
        <v>76</v>
      </c>
      <c r="C301">
        <f>_xlfn.XLOOKUP(Recon!A301,[1]Backup!AJ:AJ,[1]Backup!L:L)</f>
        <v>31.650000000000002</v>
      </c>
      <c r="D301">
        <f>_xlfn.XLOOKUP(Recon!A301,[1]Backup!AJ:AJ,[1]Backup!K:K)</f>
        <v>1.0761000000000001</v>
      </c>
      <c r="E301">
        <f>SUMIF('[1]PO Report'!A:A,Recon!A301,'[1]PO Report'!P:P)</f>
        <v>84</v>
      </c>
      <c r="F301">
        <f>VLOOKUP(A301,'[1]PO Report'!$A:$Z,15,0)</f>
        <v>31.65</v>
      </c>
      <c r="H301">
        <f t="shared" si="8"/>
        <v>-8</v>
      </c>
      <c r="J301">
        <f t="shared" si="9"/>
        <v>0</v>
      </c>
    </row>
    <row r="302" spans="1:10" x14ac:dyDescent="0.25">
      <c r="A302" t="s">
        <v>1198</v>
      </c>
      <c r="B302">
        <v>16</v>
      </c>
      <c r="C302">
        <f>_xlfn.XLOOKUP(Recon!A302,[1]Backup!AJ:AJ,[1]Backup!L:L)</f>
        <v>116.02</v>
      </c>
      <c r="D302">
        <f>_xlfn.XLOOKUP(Recon!A302,[1]Backup!AJ:AJ,[1]Backup!K:K)</f>
        <v>3.94468</v>
      </c>
      <c r="E302">
        <f>SUMIF('[1]PO Report'!A:A,Recon!A302,'[1]PO Report'!P:P)</f>
        <v>16</v>
      </c>
      <c r="F302">
        <f>VLOOKUP(A302,'[1]PO Report'!$A:$Z,15,0)</f>
        <v>116.02</v>
      </c>
      <c r="H302">
        <f t="shared" si="8"/>
        <v>0</v>
      </c>
      <c r="J302">
        <f t="shared" si="9"/>
        <v>0</v>
      </c>
    </row>
    <row r="303" spans="1:10" x14ac:dyDescent="0.25">
      <c r="A303" t="s">
        <v>1199</v>
      </c>
      <c r="B303">
        <v>20</v>
      </c>
      <c r="C303">
        <f>_xlfn.XLOOKUP(Recon!A303,[1]Backup!AJ:AJ,[1]Backup!L:L)</f>
        <v>52.760000000000005</v>
      </c>
      <c r="D303">
        <f>_xlfn.XLOOKUP(Recon!A303,[1]Backup!AJ:AJ,[1]Backup!K:K)</f>
        <v>1.7938400000000001</v>
      </c>
      <c r="E303">
        <f>SUMIF('[1]PO Report'!A:A,Recon!A303,'[1]PO Report'!P:P)</f>
        <v>20</v>
      </c>
      <c r="F303">
        <f>VLOOKUP(A303,'[1]PO Report'!$A:$Z,15,0)</f>
        <v>52.76</v>
      </c>
      <c r="H303">
        <f t="shared" si="8"/>
        <v>0</v>
      </c>
      <c r="J303">
        <f t="shared" si="9"/>
        <v>0</v>
      </c>
    </row>
    <row r="304" spans="1:10" x14ac:dyDescent="0.25">
      <c r="A304" t="s">
        <v>1200</v>
      </c>
      <c r="B304">
        <v>16</v>
      </c>
      <c r="C304">
        <f>_xlfn.XLOOKUP(Recon!A304,[1]Backup!AJ:AJ,[1]Backup!L:L)</f>
        <v>46.4</v>
      </c>
      <c r="D304">
        <f>_xlfn.XLOOKUP(Recon!A304,[1]Backup!AJ:AJ,[1]Backup!K:K)</f>
        <v>1.5775999999999999</v>
      </c>
      <c r="E304">
        <f>SUMIF('[1]PO Report'!A:A,Recon!A304,'[1]PO Report'!P:P)</f>
        <v>16</v>
      </c>
      <c r="F304">
        <f>VLOOKUP(A304,'[1]PO Report'!$A:$Z,15,0)</f>
        <v>46.4</v>
      </c>
      <c r="H304">
        <f t="shared" si="8"/>
        <v>0</v>
      </c>
      <c r="J304">
        <f t="shared" si="9"/>
        <v>0</v>
      </c>
    </row>
    <row r="305" spans="1:10" x14ac:dyDescent="0.25">
      <c r="A305" t="s">
        <v>1201</v>
      </c>
      <c r="B305">
        <v>12</v>
      </c>
      <c r="C305">
        <f>_xlfn.XLOOKUP(Recon!A305,[1]Backup!AJ:AJ,[1]Backup!L:L)</f>
        <v>42.199999999999996</v>
      </c>
      <c r="D305">
        <f>_xlfn.XLOOKUP(Recon!A305,[1]Backup!AJ:AJ,[1]Backup!K:K)</f>
        <v>1.4348000000000001</v>
      </c>
      <c r="E305">
        <f>SUMIF('[1]PO Report'!A:A,Recon!A305,'[1]PO Report'!P:P)</f>
        <v>12</v>
      </c>
      <c r="F305">
        <f>VLOOKUP(A305,'[1]PO Report'!$A:$Z,15,0)</f>
        <v>42.2</v>
      </c>
      <c r="H305">
        <f t="shared" si="8"/>
        <v>0</v>
      </c>
      <c r="J305">
        <f t="shared" si="9"/>
        <v>0</v>
      </c>
    </row>
    <row r="306" spans="1:10" x14ac:dyDescent="0.25">
      <c r="A306" t="s">
        <v>1202</v>
      </c>
      <c r="B306">
        <v>10</v>
      </c>
      <c r="C306">
        <f>_xlfn.XLOOKUP(Recon!A306,[1]Backup!AJ:AJ,[1]Backup!L:L)</f>
        <v>26.35</v>
      </c>
      <c r="D306">
        <f>_xlfn.XLOOKUP(Recon!A306,[1]Backup!AJ:AJ,[1]Backup!K:K)</f>
        <v>0.89589999999999992</v>
      </c>
      <c r="E306">
        <f>SUMIF('[1]PO Report'!A:A,Recon!A306,'[1]PO Report'!P:P)</f>
        <v>10</v>
      </c>
      <c r="F306">
        <f>VLOOKUP(A306,'[1]PO Report'!$A:$Z,15,0)</f>
        <v>26.35</v>
      </c>
      <c r="H306">
        <f t="shared" si="8"/>
        <v>0</v>
      </c>
      <c r="J306">
        <f t="shared" si="9"/>
        <v>0</v>
      </c>
    </row>
    <row r="307" spans="1:10" x14ac:dyDescent="0.25">
      <c r="A307" t="s">
        <v>1203</v>
      </c>
      <c r="B307">
        <v>12</v>
      </c>
      <c r="C307">
        <f>_xlfn.XLOOKUP(Recon!A307,[1]Backup!AJ:AJ,[1]Backup!L:L)</f>
        <v>63.81</v>
      </c>
      <c r="D307">
        <f>_xlfn.XLOOKUP(Recon!A307,[1]Backup!AJ:AJ,[1]Backup!K:K)</f>
        <v>2.16954</v>
      </c>
      <c r="E307">
        <f>SUMIF('[1]PO Report'!A:A,Recon!A307,'[1]PO Report'!P:P)</f>
        <v>12</v>
      </c>
      <c r="F307">
        <f>VLOOKUP(A307,'[1]PO Report'!$A:$Z,15,0)</f>
        <v>63.81</v>
      </c>
      <c r="H307">
        <f t="shared" si="8"/>
        <v>0</v>
      </c>
      <c r="J307">
        <f t="shared" si="9"/>
        <v>0</v>
      </c>
    </row>
    <row r="308" spans="1:10" x14ac:dyDescent="0.25">
      <c r="A308" t="s">
        <v>1204</v>
      </c>
      <c r="B308">
        <v>8</v>
      </c>
      <c r="C308">
        <f>_xlfn.XLOOKUP(Recon!A308,[1]Backup!AJ:AJ,[1]Backup!L:L)</f>
        <v>29.28</v>
      </c>
      <c r="D308">
        <f>_xlfn.XLOOKUP(Recon!A308,[1]Backup!AJ:AJ,[1]Backup!K:K)</f>
        <v>0.99551999999999996</v>
      </c>
      <c r="E308">
        <f>SUMIF('[1]PO Report'!A:A,Recon!A308,'[1]PO Report'!P:P)</f>
        <v>8</v>
      </c>
      <c r="F308">
        <f>VLOOKUP(A308,'[1]PO Report'!$A:$Z,15,0)</f>
        <v>29.28</v>
      </c>
      <c r="H308">
        <f t="shared" si="8"/>
        <v>0</v>
      </c>
      <c r="J308">
        <f t="shared" si="9"/>
        <v>0</v>
      </c>
    </row>
    <row r="309" spans="1:10" x14ac:dyDescent="0.25">
      <c r="A309" t="s">
        <v>1205</v>
      </c>
      <c r="B309">
        <v>120</v>
      </c>
      <c r="C309">
        <f>_xlfn.XLOOKUP(Recon!A309,[1]Backup!AJ:AJ,[1]Backup!L:L)</f>
        <v>8.7799999999999994</v>
      </c>
      <c r="D309">
        <f>_xlfn.XLOOKUP(Recon!A309,[1]Backup!AJ:AJ,[1]Backup!K:K)</f>
        <v>0.29852000000000001</v>
      </c>
      <c r="E309">
        <f>SUMIF('[1]PO Report'!A:A,Recon!A309,'[1]PO Report'!P:P)</f>
        <v>120</v>
      </c>
      <c r="F309">
        <f>VLOOKUP(A309,'[1]PO Report'!$A:$Z,15,0)</f>
        <v>8.7799999999999994</v>
      </c>
      <c r="H309">
        <f t="shared" si="8"/>
        <v>0</v>
      </c>
      <c r="J309">
        <f t="shared" si="9"/>
        <v>0</v>
      </c>
    </row>
    <row r="310" spans="1:10" x14ac:dyDescent="0.25">
      <c r="A310" t="s">
        <v>1206</v>
      </c>
      <c r="B310">
        <v>28</v>
      </c>
      <c r="C310">
        <f>_xlfn.XLOOKUP(Recon!A310,[1]Backup!AJ:AJ,[1]Backup!L:L)</f>
        <v>46.4</v>
      </c>
      <c r="D310">
        <f>_xlfn.XLOOKUP(Recon!A310,[1]Backup!AJ:AJ,[1]Backup!K:K)</f>
        <v>1.5776000000000001</v>
      </c>
      <c r="E310">
        <f>SUMIF('[1]PO Report'!A:A,Recon!A310,'[1]PO Report'!P:P)</f>
        <v>28</v>
      </c>
      <c r="F310">
        <f>VLOOKUP(A310,'[1]PO Report'!$A:$Z,15,0)</f>
        <v>46.4</v>
      </c>
      <c r="H310">
        <f t="shared" si="8"/>
        <v>0</v>
      </c>
      <c r="J310">
        <f t="shared" si="9"/>
        <v>0</v>
      </c>
    </row>
    <row r="311" spans="1:10" x14ac:dyDescent="0.25">
      <c r="A311" t="s">
        <v>1207</v>
      </c>
      <c r="B311">
        <v>22</v>
      </c>
      <c r="C311">
        <f>_xlfn.XLOOKUP(Recon!A311,[1]Backup!AJ:AJ,[1]Backup!L:L)</f>
        <v>35.130000000000003</v>
      </c>
      <c r="D311">
        <f>_xlfn.XLOOKUP(Recon!A311,[1]Backup!AJ:AJ,[1]Backup!K:K)</f>
        <v>1.19442</v>
      </c>
      <c r="E311">
        <f>SUMIF('[1]PO Report'!A:A,Recon!A311,'[1]PO Report'!P:P)</f>
        <v>22</v>
      </c>
      <c r="F311">
        <f>VLOOKUP(A311,'[1]PO Report'!$A:$Z,15,0)</f>
        <v>35.130000000000003</v>
      </c>
      <c r="H311">
        <f t="shared" si="8"/>
        <v>0</v>
      </c>
      <c r="J311">
        <f t="shared" si="9"/>
        <v>0</v>
      </c>
    </row>
    <row r="312" spans="1:10" x14ac:dyDescent="0.25">
      <c r="A312" t="s">
        <v>1208</v>
      </c>
      <c r="B312">
        <v>40</v>
      </c>
      <c r="C312">
        <f>_xlfn.XLOOKUP(Recon!A312,[1]Backup!AJ:AJ,[1]Backup!L:L)</f>
        <v>14.64</v>
      </c>
      <c r="D312">
        <f>_xlfn.XLOOKUP(Recon!A312,[1]Backup!AJ:AJ,[1]Backup!K:K)</f>
        <v>0.49775999999999998</v>
      </c>
      <c r="E312">
        <f>SUMIF('[1]PO Report'!A:A,Recon!A312,'[1]PO Report'!P:P)</f>
        <v>40</v>
      </c>
      <c r="F312">
        <f>VLOOKUP(A312,'[1]PO Report'!$A:$Z,15,0)</f>
        <v>14.64</v>
      </c>
      <c r="H312">
        <f t="shared" si="8"/>
        <v>0</v>
      </c>
      <c r="J312">
        <f t="shared" si="9"/>
        <v>0</v>
      </c>
    </row>
    <row r="313" spans="1:10" x14ac:dyDescent="0.25">
      <c r="A313" t="s">
        <v>1209</v>
      </c>
      <c r="B313">
        <v>20</v>
      </c>
      <c r="C313">
        <f>_xlfn.XLOOKUP(Recon!A313,[1]Backup!AJ:AJ,[1]Backup!L:L)</f>
        <v>23.419999999999998</v>
      </c>
      <c r="D313">
        <f>_xlfn.XLOOKUP(Recon!A313,[1]Backup!AJ:AJ,[1]Backup!K:K)</f>
        <v>0.79627999999999999</v>
      </c>
      <c r="E313">
        <f>SUMIF('[1]PO Report'!A:A,Recon!A313,'[1]PO Report'!P:P)</f>
        <v>20</v>
      </c>
      <c r="F313">
        <f>VLOOKUP(A313,'[1]PO Report'!$A:$Z,15,0)</f>
        <v>23.42</v>
      </c>
      <c r="H313">
        <f t="shared" si="8"/>
        <v>0</v>
      </c>
      <c r="J313">
        <f t="shared" si="9"/>
        <v>0</v>
      </c>
    </row>
    <row r="314" spans="1:10" x14ac:dyDescent="0.25">
      <c r="A314" t="s">
        <v>1210</v>
      </c>
      <c r="B314">
        <v>10</v>
      </c>
      <c r="C314">
        <f>_xlfn.XLOOKUP(Recon!A314,[1]Backup!AJ:AJ,[1]Backup!L:L)</f>
        <v>9.9499999999999993</v>
      </c>
      <c r="D314">
        <f>_xlfn.XLOOKUP(Recon!A314,[1]Backup!AJ:AJ,[1]Backup!K:K)</f>
        <v>0.33829999999999999</v>
      </c>
      <c r="E314">
        <f>SUMIF('[1]PO Report'!A:A,Recon!A314,'[1]PO Report'!P:P)</f>
        <v>10</v>
      </c>
      <c r="F314">
        <f>VLOOKUP(A314,'[1]PO Report'!$A:$Z,15,0)</f>
        <v>9.9499999999999993</v>
      </c>
      <c r="H314">
        <f t="shared" si="8"/>
        <v>0</v>
      </c>
      <c r="J314">
        <f t="shared" si="9"/>
        <v>0</v>
      </c>
    </row>
    <row r="315" spans="1:10" x14ac:dyDescent="0.25">
      <c r="A315" t="s">
        <v>1211</v>
      </c>
      <c r="B315">
        <v>24</v>
      </c>
      <c r="C315">
        <f>_xlfn.XLOOKUP(Recon!A315,[1]Backup!AJ:AJ,[1]Backup!L:L)</f>
        <v>166</v>
      </c>
      <c r="D315">
        <f>_xlfn.XLOOKUP(Recon!A315,[1]Backup!AJ:AJ,[1]Backup!K:K)</f>
        <v>5.6439999999999992</v>
      </c>
      <c r="E315">
        <f>SUMIF('[1]PO Report'!A:A,Recon!A315,'[1]PO Report'!P:P)</f>
        <v>24</v>
      </c>
      <c r="F315">
        <f>VLOOKUP(A315,'[1]PO Report'!$A:$Z,15,0)</f>
        <v>166</v>
      </c>
      <c r="H315">
        <f t="shared" si="8"/>
        <v>0</v>
      </c>
      <c r="J315">
        <f t="shared" si="9"/>
        <v>0</v>
      </c>
    </row>
    <row r="316" spans="1:10" x14ac:dyDescent="0.25">
      <c r="A316" t="s">
        <v>1212</v>
      </c>
      <c r="B316">
        <v>32</v>
      </c>
      <c r="C316">
        <f>_xlfn.XLOOKUP(Recon!A316,[1]Backup!AJ:AJ,[1]Backup!L:L)</f>
        <v>20.5</v>
      </c>
      <c r="D316">
        <f>_xlfn.XLOOKUP(Recon!A316,[1]Backup!AJ:AJ,[1]Backup!K:K)</f>
        <v>0.69699999999999995</v>
      </c>
      <c r="E316">
        <f>SUMIF('[1]PO Report'!A:A,Recon!A316,'[1]PO Report'!P:P)</f>
        <v>32</v>
      </c>
      <c r="F316">
        <f>VLOOKUP(A316,'[1]PO Report'!$A:$Z,15,0)</f>
        <v>20.5</v>
      </c>
      <c r="H316">
        <f t="shared" si="8"/>
        <v>0</v>
      </c>
      <c r="J316">
        <f t="shared" si="9"/>
        <v>0</v>
      </c>
    </row>
    <row r="317" spans="1:10" x14ac:dyDescent="0.25">
      <c r="A317" t="s">
        <v>1213</v>
      </c>
      <c r="B317">
        <v>4</v>
      </c>
      <c r="C317">
        <f>_xlfn.XLOOKUP(Recon!A317,[1]Backup!AJ:AJ,[1]Backup!L:L)</f>
        <v>35.130000000000003</v>
      </c>
      <c r="D317">
        <f>_xlfn.XLOOKUP(Recon!A317,[1]Backup!AJ:AJ,[1]Backup!K:K)</f>
        <v>1.19442</v>
      </c>
      <c r="E317">
        <f>SUMIF('[1]PO Report'!A:A,Recon!A317,'[1]PO Report'!P:P)</f>
        <v>4</v>
      </c>
      <c r="F317">
        <f>VLOOKUP(A317,'[1]PO Report'!$A:$Z,15,0)</f>
        <v>35.130000000000003</v>
      </c>
      <c r="H317">
        <f t="shared" si="8"/>
        <v>0</v>
      </c>
      <c r="J317">
        <f t="shared" si="9"/>
        <v>0</v>
      </c>
    </row>
    <row r="318" spans="1:10" x14ac:dyDescent="0.25">
      <c r="A318" t="s">
        <v>1214</v>
      </c>
      <c r="B318">
        <v>24</v>
      </c>
      <c r="C318">
        <f>_xlfn.XLOOKUP(Recon!A318,[1]Backup!AJ:AJ,[1]Backup!L:L)</f>
        <v>332.67</v>
      </c>
      <c r="D318">
        <f>_xlfn.XLOOKUP(Recon!A318,[1]Backup!AJ:AJ,[1]Backup!K:K)</f>
        <v>11.310779999999999</v>
      </c>
      <c r="E318">
        <f>SUMIF('[1]PO Report'!A:A,Recon!A318,'[1]PO Report'!P:P)</f>
        <v>24</v>
      </c>
      <c r="F318">
        <f>VLOOKUP(A318,'[1]PO Report'!$A:$Z,15,0)</f>
        <v>332.67</v>
      </c>
      <c r="H318">
        <f t="shared" si="8"/>
        <v>0</v>
      </c>
      <c r="J318">
        <f t="shared" si="9"/>
        <v>0</v>
      </c>
    </row>
    <row r="319" spans="1:10" x14ac:dyDescent="0.25">
      <c r="A319" t="s">
        <v>1215</v>
      </c>
      <c r="B319">
        <v>24</v>
      </c>
      <c r="C319">
        <f>_xlfn.XLOOKUP(Recon!A319,[1]Backup!AJ:AJ,[1]Backup!L:L)</f>
        <v>29.28</v>
      </c>
      <c r="D319">
        <f>_xlfn.XLOOKUP(Recon!A319,[1]Backup!AJ:AJ,[1]Backup!K:K)</f>
        <v>0.99551999999999996</v>
      </c>
      <c r="E319">
        <f>SUMIF('[1]PO Report'!A:A,Recon!A319,'[1]PO Report'!P:P)</f>
        <v>24</v>
      </c>
      <c r="F319">
        <f>VLOOKUP(A319,'[1]PO Report'!$A:$Z,15,0)</f>
        <v>29.28</v>
      </c>
      <c r="H319">
        <f t="shared" si="8"/>
        <v>0</v>
      </c>
      <c r="J319">
        <f t="shared" si="9"/>
        <v>0</v>
      </c>
    </row>
    <row r="320" spans="1:10" x14ac:dyDescent="0.25">
      <c r="A320" t="s">
        <v>1216</v>
      </c>
      <c r="B320">
        <v>8</v>
      </c>
      <c r="C320">
        <f>_xlfn.XLOOKUP(Recon!A320,[1]Backup!AJ:AJ,[1]Backup!L:L)</f>
        <v>15.82</v>
      </c>
      <c r="D320">
        <f>_xlfn.XLOOKUP(Recon!A320,[1]Backup!AJ:AJ,[1]Backup!K:K)</f>
        <v>0.53788000000000002</v>
      </c>
      <c r="E320">
        <f>SUMIF('[1]PO Report'!A:A,Recon!A320,'[1]PO Report'!P:P)</f>
        <v>8</v>
      </c>
      <c r="F320">
        <f>VLOOKUP(A320,'[1]PO Report'!$A:$Z,15,0)</f>
        <v>15.82</v>
      </c>
      <c r="H320">
        <f t="shared" si="8"/>
        <v>0</v>
      </c>
      <c r="J320">
        <f t="shared" si="9"/>
        <v>0</v>
      </c>
    </row>
    <row r="321" spans="1:10" x14ac:dyDescent="0.25">
      <c r="A321" t="s">
        <v>1217</v>
      </c>
      <c r="B321">
        <v>120</v>
      </c>
      <c r="C321">
        <f>_xlfn.XLOOKUP(Recon!A321,[1]Backup!AJ:AJ,[1]Backup!L:L)</f>
        <v>14.639999999999999</v>
      </c>
      <c r="D321">
        <f>_xlfn.XLOOKUP(Recon!A321,[1]Backup!AJ:AJ,[1]Backup!K:K)</f>
        <v>0.49776000000000004</v>
      </c>
      <c r="E321">
        <f>SUMIF('[1]PO Report'!A:A,Recon!A321,'[1]PO Report'!P:P)</f>
        <v>120</v>
      </c>
      <c r="F321">
        <f>VLOOKUP(A321,'[1]PO Report'!$A:$Z,15,0)</f>
        <v>14.64</v>
      </c>
      <c r="H321">
        <f t="shared" si="8"/>
        <v>0</v>
      </c>
      <c r="J321">
        <f t="shared" si="9"/>
        <v>0</v>
      </c>
    </row>
    <row r="322" spans="1:10" x14ac:dyDescent="0.25">
      <c r="A322" t="s">
        <v>1218</v>
      </c>
      <c r="B322">
        <v>10</v>
      </c>
      <c r="C322">
        <f>_xlfn.XLOOKUP(Recon!A322,[1]Backup!AJ:AJ,[1]Backup!L:L)</f>
        <v>7.6099999999999994</v>
      </c>
      <c r="D322">
        <f>_xlfn.XLOOKUP(Recon!A322,[1]Backup!AJ:AJ,[1]Backup!K:K)</f>
        <v>0.25874000000000003</v>
      </c>
      <c r="E322">
        <f>SUMIF('[1]PO Report'!A:A,Recon!A322,'[1]PO Report'!P:P)</f>
        <v>10</v>
      </c>
      <c r="F322">
        <f>VLOOKUP(A322,'[1]PO Report'!$A:$Z,15,0)</f>
        <v>7.61</v>
      </c>
      <c r="H322">
        <f t="shared" si="8"/>
        <v>0</v>
      </c>
      <c r="J322">
        <f t="shared" si="9"/>
        <v>0</v>
      </c>
    </row>
    <row r="323" spans="1:10" x14ac:dyDescent="0.25">
      <c r="A323" t="s">
        <v>1219</v>
      </c>
      <c r="B323">
        <v>8</v>
      </c>
      <c r="C323">
        <f>_xlfn.XLOOKUP(Recon!A323,[1]Backup!AJ:AJ,[1]Backup!L:L)</f>
        <v>17.559999999999999</v>
      </c>
      <c r="D323">
        <f>_xlfn.XLOOKUP(Recon!A323,[1]Backup!AJ:AJ,[1]Backup!K:K)</f>
        <v>0.59704000000000002</v>
      </c>
      <c r="E323">
        <f>SUMIF('[1]PO Report'!A:A,Recon!A323,'[1]PO Report'!P:P)</f>
        <v>8</v>
      </c>
      <c r="F323">
        <f>VLOOKUP(A323,'[1]PO Report'!$A:$Z,15,0)</f>
        <v>17.559999999999999</v>
      </c>
      <c r="H323">
        <f t="shared" si="8"/>
        <v>0</v>
      </c>
      <c r="J323">
        <f t="shared" si="9"/>
        <v>0</v>
      </c>
    </row>
    <row r="324" spans="1:10" x14ac:dyDescent="0.25">
      <c r="A324" t="s">
        <v>1220</v>
      </c>
      <c r="B324">
        <v>12</v>
      </c>
      <c r="C324">
        <f>_xlfn.XLOOKUP(Recon!A324,[1]Backup!AJ:AJ,[1]Backup!L:L)</f>
        <v>68.06</v>
      </c>
      <c r="D324">
        <f>_xlfn.XLOOKUP(Recon!A324,[1]Backup!AJ:AJ,[1]Backup!K:K)</f>
        <v>2.3140399999999999</v>
      </c>
      <c r="E324">
        <f>SUMIF('[1]PO Report'!A:A,Recon!A324,'[1]PO Report'!P:P)</f>
        <v>12</v>
      </c>
      <c r="F324">
        <f>VLOOKUP(A324,'[1]PO Report'!$A:$Z,15,0)</f>
        <v>68.06</v>
      </c>
      <c r="H324">
        <f t="shared" ref="H324:H387" si="10">B324-E324</f>
        <v>0</v>
      </c>
      <c r="J324">
        <f t="shared" ref="J324:J387" si="11">C324-F324</f>
        <v>0</v>
      </c>
    </row>
    <row r="325" spans="1:10" x14ac:dyDescent="0.25">
      <c r="A325" t="s">
        <v>1221</v>
      </c>
      <c r="B325">
        <v>4</v>
      </c>
      <c r="C325">
        <f>_xlfn.XLOOKUP(Recon!A325,[1]Backup!AJ:AJ,[1]Backup!L:L)</f>
        <v>106.49</v>
      </c>
      <c r="D325">
        <f>_xlfn.XLOOKUP(Recon!A325,[1]Backup!AJ:AJ,[1]Backup!K:K)</f>
        <v>3.62066</v>
      </c>
      <c r="E325">
        <f>SUMIF('[1]PO Report'!A:A,Recon!A325,'[1]PO Report'!P:P)</f>
        <v>4</v>
      </c>
      <c r="F325">
        <f>VLOOKUP(A325,'[1]PO Report'!$A:$Z,15,0)</f>
        <v>106.49</v>
      </c>
      <c r="H325">
        <f t="shared" si="10"/>
        <v>0</v>
      </c>
      <c r="J325">
        <f t="shared" si="11"/>
        <v>0</v>
      </c>
    </row>
    <row r="326" spans="1:10" x14ac:dyDescent="0.25">
      <c r="A326" t="s">
        <v>1222</v>
      </c>
      <c r="B326">
        <v>20</v>
      </c>
      <c r="C326">
        <f>_xlfn.XLOOKUP(Recon!A326,[1]Backup!AJ:AJ,[1]Backup!L:L)</f>
        <v>106.49000000000001</v>
      </c>
      <c r="D326">
        <f>_xlfn.XLOOKUP(Recon!A326,[1]Backup!AJ:AJ,[1]Backup!K:K)</f>
        <v>3.62066</v>
      </c>
      <c r="E326">
        <f>SUMIF('[1]PO Report'!A:A,Recon!A326,'[1]PO Report'!P:P)</f>
        <v>20</v>
      </c>
      <c r="F326">
        <f>VLOOKUP(A326,'[1]PO Report'!$A:$Z,15,0)</f>
        <v>106.49</v>
      </c>
      <c r="H326">
        <f t="shared" si="10"/>
        <v>0</v>
      </c>
      <c r="J326">
        <f t="shared" si="11"/>
        <v>0</v>
      </c>
    </row>
    <row r="327" spans="1:10" x14ac:dyDescent="0.25">
      <c r="A327" t="s">
        <v>1223</v>
      </c>
      <c r="B327">
        <v>70</v>
      </c>
      <c r="C327">
        <f>_xlfn.XLOOKUP(Recon!A327,[1]Backup!AJ:AJ,[1]Backup!L:L)</f>
        <v>8.7800000000000011</v>
      </c>
      <c r="D327">
        <f>_xlfn.XLOOKUP(Recon!A327,[1]Backup!AJ:AJ,[1]Backup!K:K)</f>
        <v>0.29852000000000001</v>
      </c>
      <c r="E327">
        <f>SUMIF('[1]PO Report'!A:A,Recon!A327,'[1]PO Report'!P:P)</f>
        <v>70</v>
      </c>
      <c r="F327">
        <f>VLOOKUP(A327,'[1]PO Report'!$A:$Z,15,0)</f>
        <v>8.7799999999999994</v>
      </c>
      <c r="H327">
        <f t="shared" si="10"/>
        <v>0</v>
      </c>
      <c r="J327">
        <f t="shared" si="11"/>
        <v>0</v>
      </c>
    </row>
    <row r="328" spans="1:10" x14ac:dyDescent="0.25">
      <c r="A328" t="s">
        <v>1224</v>
      </c>
      <c r="B328">
        <v>8</v>
      </c>
      <c r="C328">
        <f>_xlfn.XLOOKUP(Recon!A328,[1]Backup!AJ:AJ,[1]Backup!L:L)</f>
        <v>35.130000000000003</v>
      </c>
      <c r="D328">
        <f>_xlfn.XLOOKUP(Recon!A328,[1]Backup!AJ:AJ,[1]Backup!K:K)</f>
        <v>1.19442</v>
      </c>
      <c r="E328">
        <f>SUMIF('[1]PO Report'!A:A,Recon!A328,'[1]PO Report'!P:P)</f>
        <v>8</v>
      </c>
      <c r="F328">
        <f>VLOOKUP(A328,'[1]PO Report'!$A:$Z,15,0)</f>
        <v>35.130000000000003</v>
      </c>
      <c r="H328">
        <f t="shared" si="10"/>
        <v>0</v>
      </c>
      <c r="J328">
        <f t="shared" si="11"/>
        <v>0</v>
      </c>
    </row>
    <row r="329" spans="1:10" x14ac:dyDescent="0.25">
      <c r="A329" t="s">
        <v>1225</v>
      </c>
      <c r="B329">
        <v>24</v>
      </c>
      <c r="C329">
        <f>_xlfn.XLOOKUP(Recon!A329,[1]Backup!AJ:AJ,[1]Backup!L:L)</f>
        <v>29.28</v>
      </c>
      <c r="D329">
        <f>_xlfn.XLOOKUP(Recon!A329,[1]Backup!AJ:AJ,[1]Backup!K:K)</f>
        <v>0.99551999999999996</v>
      </c>
      <c r="E329">
        <f>SUMIF('[1]PO Report'!A:A,Recon!A329,'[1]PO Report'!P:P)</f>
        <v>24</v>
      </c>
      <c r="F329">
        <f>VLOOKUP(A329,'[1]PO Report'!$A:$Z,15,0)</f>
        <v>29.28</v>
      </c>
      <c r="H329">
        <f t="shared" si="10"/>
        <v>0</v>
      </c>
      <c r="J329">
        <f t="shared" si="11"/>
        <v>0</v>
      </c>
    </row>
    <row r="330" spans="1:10" x14ac:dyDescent="0.25">
      <c r="A330" t="s">
        <v>1226</v>
      </c>
      <c r="B330">
        <v>80</v>
      </c>
      <c r="C330">
        <f>_xlfn.XLOOKUP(Recon!A330,[1]Backup!AJ:AJ,[1]Backup!L:L)</f>
        <v>35.130000000000003</v>
      </c>
      <c r="D330">
        <f>_xlfn.XLOOKUP(Recon!A330,[1]Backup!AJ:AJ,[1]Backup!K:K)</f>
        <v>1.19442</v>
      </c>
      <c r="E330">
        <f>SUMIF('[1]PO Report'!A:A,Recon!A330,'[1]PO Report'!P:P)</f>
        <v>80</v>
      </c>
      <c r="F330">
        <f>VLOOKUP(A330,'[1]PO Report'!$A:$Z,15,0)</f>
        <v>35.130000000000003</v>
      </c>
      <c r="H330">
        <f t="shared" si="10"/>
        <v>0</v>
      </c>
      <c r="J330">
        <f t="shared" si="11"/>
        <v>0</v>
      </c>
    </row>
    <row r="331" spans="1:10" x14ac:dyDescent="0.25">
      <c r="A331" t="s">
        <v>1227</v>
      </c>
      <c r="B331">
        <v>100</v>
      </c>
      <c r="C331">
        <f>_xlfn.XLOOKUP(Recon!A331,[1]Backup!AJ:AJ,[1]Backup!L:L)</f>
        <v>8.7799999999999994</v>
      </c>
      <c r="D331">
        <f>_xlfn.XLOOKUP(Recon!A331,[1]Backup!AJ:AJ,[1]Backup!K:K)</f>
        <v>0.29852000000000001</v>
      </c>
      <c r="E331">
        <f>SUMIF('[1]PO Report'!A:A,Recon!A331,'[1]PO Report'!P:P)</f>
        <v>100</v>
      </c>
      <c r="F331">
        <f>VLOOKUP(A331,'[1]PO Report'!$A:$Z,15,0)</f>
        <v>8.7799999999999994</v>
      </c>
      <c r="H331">
        <f t="shared" si="10"/>
        <v>0</v>
      </c>
      <c r="J331">
        <f t="shared" si="11"/>
        <v>0</v>
      </c>
    </row>
    <row r="332" spans="1:10" x14ac:dyDescent="0.25">
      <c r="A332" t="s">
        <v>1228</v>
      </c>
      <c r="B332">
        <v>30</v>
      </c>
      <c r="C332">
        <f>_xlfn.XLOOKUP(Recon!A332,[1]Backup!AJ:AJ,[1]Backup!L:L)</f>
        <v>29</v>
      </c>
      <c r="D332">
        <f>_xlfn.XLOOKUP(Recon!A332,[1]Backup!AJ:AJ,[1]Backup!K:K)</f>
        <v>0.98599999999999999</v>
      </c>
      <c r="E332">
        <f>SUMIF('[1]PO Report'!A:A,Recon!A332,'[1]PO Report'!P:P)</f>
        <v>30</v>
      </c>
      <c r="F332">
        <f>VLOOKUP(A332,'[1]PO Report'!$A:$Z,15,0)</f>
        <v>29</v>
      </c>
      <c r="H332">
        <f t="shared" si="10"/>
        <v>0</v>
      </c>
      <c r="J332">
        <f t="shared" si="11"/>
        <v>0</v>
      </c>
    </row>
    <row r="333" spans="1:10" x14ac:dyDescent="0.25">
      <c r="A333" t="s">
        <v>1229</v>
      </c>
      <c r="B333">
        <v>8</v>
      </c>
      <c r="C333">
        <f>_xlfn.XLOOKUP(Recon!A333,[1]Backup!AJ:AJ,[1]Backup!L:L)</f>
        <v>92.24</v>
      </c>
      <c r="D333">
        <f>_xlfn.XLOOKUP(Recon!A333,[1]Backup!AJ:AJ,[1]Backup!K:K)</f>
        <v>3.1361599999999998</v>
      </c>
      <c r="E333">
        <f>SUMIF('[1]PO Report'!A:A,Recon!A333,'[1]PO Report'!P:P)</f>
        <v>8</v>
      </c>
      <c r="F333">
        <f>VLOOKUP(A333,'[1]PO Report'!$A:$Z,15,0)</f>
        <v>92.24</v>
      </c>
      <c r="H333">
        <f t="shared" si="10"/>
        <v>0</v>
      </c>
      <c r="J333">
        <f t="shared" si="11"/>
        <v>0</v>
      </c>
    </row>
    <row r="334" spans="1:10" x14ac:dyDescent="0.25">
      <c r="A334" t="s">
        <v>1230</v>
      </c>
      <c r="B334">
        <v>24</v>
      </c>
      <c r="C334">
        <f>_xlfn.XLOOKUP(Recon!A334,[1]Backup!AJ:AJ,[1]Backup!L:L)</f>
        <v>40.03</v>
      </c>
      <c r="D334">
        <f>_xlfn.XLOOKUP(Recon!A334,[1]Backup!AJ:AJ,[1]Backup!K:K)</f>
        <v>1.3610199999999999</v>
      </c>
      <c r="E334">
        <f>SUMIF('[1]PO Report'!A:A,Recon!A334,'[1]PO Report'!P:P)</f>
        <v>24</v>
      </c>
      <c r="F334">
        <f>VLOOKUP(A334,'[1]PO Report'!$A:$Z,15,0)</f>
        <v>40.03</v>
      </c>
      <c r="H334">
        <f t="shared" si="10"/>
        <v>0</v>
      </c>
      <c r="J334">
        <f t="shared" si="11"/>
        <v>0</v>
      </c>
    </row>
    <row r="335" spans="1:10" x14ac:dyDescent="0.25">
      <c r="A335" t="s">
        <v>1231</v>
      </c>
      <c r="B335">
        <v>24</v>
      </c>
      <c r="C335">
        <f>_xlfn.XLOOKUP(Recon!A335,[1]Backup!AJ:AJ,[1]Backup!L:L)</f>
        <v>29.28</v>
      </c>
      <c r="D335">
        <f>_xlfn.XLOOKUP(Recon!A335,[1]Backup!AJ:AJ,[1]Backup!K:K)</f>
        <v>0.99551999999999996</v>
      </c>
      <c r="E335">
        <f>SUMIF('[1]PO Report'!A:A,Recon!A335,'[1]PO Report'!P:P)</f>
        <v>24</v>
      </c>
      <c r="F335">
        <f>VLOOKUP(A335,'[1]PO Report'!$A:$Z,15,0)</f>
        <v>29.28</v>
      </c>
      <c r="H335">
        <f t="shared" si="10"/>
        <v>0</v>
      </c>
      <c r="J335">
        <f t="shared" si="11"/>
        <v>0</v>
      </c>
    </row>
    <row r="336" spans="1:10" x14ac:dyDescent="0.25">
      <c r="A336" t="s">
        <v>1232</v>
      </c>
      <c r="B336">
        <v>56</v>
      </c>
      <c r="C336">
        <f>_xlfn.XLOOKUP(Recon!A336,[1]Backup!AJ:AJ,[1]Backup!L:L)</f>
        <v>75.41</v>
      </c>
      <c r="D336">
        <f>_xlfn.XLOOKUP(Recon!A336,[1]Backup!AJ:AJ,[1]Backup!K:K)</f>
        <v>2.5639399999999997</v>
      </c>
      <c r="E336">
        <f>SUMIF('[1]PO Report'!A:A,Recon!A336,'[1]PO Report'!P:P)</f>
        <v>56</v>
      </c>
      <c r="F336">
        <f>VLOOKUP(A336,'[1]PO Report'!$A:$Z,15,0)</f>
        <v>75.41</v>
      </c>
      <c r="H336">
        <f t="shared" si="10"/>
        <v>0</v>
      </c>
      <c r="J336">
        <f t="shared" si="11"/>
        <v>0</v>
      </c>
    </row>
    <row r="337" spans="1:10" x14ac:dyDescent="0.25">
      <c r="A337" t="s">
        <v>1233</v>
      </c>
      <c r="B337">
        <v>4</v>
      </c>
      <c r="C337">
        <f>_xlfn.XLOOKUP(Recon!A337,[1]Backup!AJ:AJ,[1]Backup!L:L)</f>
        <v>83.89</v>
      </c>
      <c r="D337">
        <f>_xlfn.XLOOKUP(Recon!A337,[1]Backup!AJ:AJ,[1]Backup!K:K)</f>
        <v>2.8522599999999998</v>
      </c>
      <c r="E337">
        <f>SUMIF('[1]PO Report'!A:A,Recon!A337,'[1]PO Report'!P:P)</f>
        <v>4</v>
      </c>
      <c r="F337">
        <f>VLOOKUP(A337,'[1]PO Report'!$A:$Z,15,0)</f>
        <v>83.89</v>
      </c>
      <c r="H337">
        <f t="shared" si="10"/>
        <v>0</v>
      </c>
      <c r="J337">
        <f t="shared" si="11"/>
        <v>0</v>
      </c>
    </row>
    <row r="338" spans="1:10" x14ac:dyDescent="0.25">
      <c r="A338" t="s">
        <v>1234</v>
      </c>
      <c r="B338">
        <v>16</v>
      </c>
      <c r="C338">
        <f>_xlfn.XLOOKUP(Recon!A338,[1]Backup!AJ:AJ,[1]Backup!L:L)</f>
        <v>86.99</v>
      </c>
      <c r="D338">
        <f>_xlfn.XLOOKUP(Recon!A338,[1]Backup!AJ:AJ,[1]Backup!K:K)</f>
        <v>2.9576600000000002</v>
      </c>
      <c r="E338">
        <f>SUMIF('[1]PO Report'!A:A,Recon!A338,'[1]PO Report'!P:P)</f>
        <v>16</v>
      </c>
      <c r="F338">
        <f>VLOOKUP(A338,'[1]PO Report'!$A:$Z,15,0)</f>
        <v>86.99</v>
      </c>
      <c r="H338">
        <f t="shared" si="10"/>
        <v>0</v>
      </c>
      <c r="J338">
        <f t="shared" si="11"/>
        <v>0</v>
      </c>
    </row>
    <row r="339" spans="1:10" x14ac:dyDescent="0.25">
      <c r="A339" t="s">
        <v>1235</v>
      </c>
      <c r="B339">
        <v>32</v>
      </c>
      <c r="C339">
        <f>_xlfn.XLOOKUP(Recon!A339,[1]Backup!AJ:AJ,[1]Backup!L:L)</f>
        <v>29.28</v>
      </c>
      <c r="D339">
        <f>_xlfn.XLOOKUP(Recon!A339,[1]Backup!AJ:AJ,[1]Backup!K:K)</f>
        <v>0.99551999999999996</v>
      </c>
      <c r="E339">
        <f>SUMIF('[1]PO Report'!A:A,Recon!A339,'[1]PO Report'!P:P)</f>
        <v>32</v>
      </c>
      <c r="F339">
        <f>VLOOKUP(A339,'[1]PO Report'!$A:$Z,15,0)</f>
        <v>29.28</v>
      </c>
      <c r="H339">
        <f t="shared" si="10"/>
        <v>0</v>
      </c>
      <c r="J339">
        <f t="shared" si="11"/>
        <v>0</v>
      </c>
    </row>
    <row r="340" spans="1:10" x14ac:dyDescent="0.25">
      <c r="A340" t="s">
        <v>1236</v>
      </c>
      <c r="B340">
        <v>4</v>
      </c>
      <c r="C340">
        <f>_xlfn.XLOOKUP(Recon!A340,[1]Backup!AJ:AJ,[1]Backup!L:L)</f>
        <v>47.48</v>
      </c>
      <c r="D340">
        <f>_xlfn.XLOOKUP(Recon!A340,[1]Backup!AJ:AJ,[1]Backup!K:K)</f>
        <v>1.61432</v>
      </c>
      <c r="E340">
        <f>SUMIF('[1]PO Report'!A:A,Recon!A340,'[1]PO Report'!P:P)</f>
        <v>4</v>
      </c>
      <c r="F340">
        <f>VLOOKUP(A340,'[1]PO Report'!$A:$Z,15,0)</f>
        <v>47.48</v>
      </c>
      <c r="H340">
        <f t="shared" si="10"/>
        <v>0</v>
      </c>
      <c r="J340">
        <f t="shared" si="11"/>
        <v>0</v>
      </c>
    </row>
    <row r="341" spans="1:10" x14ac:dyDescent="0.25">
      <c r="A341" t="s">
        <v>1237</v>
      </c>
      <c r="B341">
        <v>340</v>
      </c>
      <c r="C341">
        <f>_xlfn.XLOOKUP(Recon!A341,[1]Backup!AJ:AJ,[1]Backup!L:L)</f>
        <v>23.42</v>
      </c>
      <c r="D341">
        <f>_xlfn.XLOOKUP(Recon!A341,[1]Backup!AJ:AJ,[1]Backup!K:K)</f>
        <v>0.79627999999999999</v>
      </c>
      <c r="E341">
        <f>SUMIF('[1]PO Report'!A:A,Recon!A341,'[1]PO Report'!P:P)</f>
        <v>340</v>
      </c>
      <c r="F341">
        <f>VLOOKUP(A341,'[1]PO Report'!$A:$Z,15,0)</f>
        <v>23.42</v>
      </c>
      <c r="H341">
        <f t="shared" si="10"/>
        <v>0</v>
      </c>
      <c r="J341">
        <f t="shared" si="11"/>
        <v>0</v>
      </c>
    </row>
    <row r="342" spans="1:10" x14ac:dyDescent="0.25">
      <c r="A342" t="s">
        <v>1238</v>
      </c>
      <c r="B342">
        <v>8</v>
      </c>
      <c r="C342">
        <f>_xlfn.XLOOKUP(Recon!A342,[1]Backup!AJ:AJ,[1]Backup!L:L)</f>
        <v>46.4</v>
      </c>
      <c r="D342">
        <f>_xlfn.XLOOKUP(Recon!A342,[1]Backup!AJ:AJ,[1]Backup!K:K)</f>
        <v>1.5775999999999999</v>
      </c>
      <c r="E342">
        <f>SUMIF('[1]PO Report'!A:A,Recon!A342,'[1]PO Report'!P:P)</f>
        <v>8</v>
      </c>
      <c r="F342">
        <f>VLOOKUP(A342,'[1]PO Report'!$A:$Z,15,0)</f>
        <v>46.4</v>
      </c>
      <c r="H342">
        <f t="shared" si="10"/>
        <v>0</v>
      </c>
      <c r="J342">
        <f t="shared" si="11"/>
        <v>0</v>
      </c>
    </row>
    <row r="343" spans="1:10" x14ac:dyDescent="0.25">
      <c r="A343" t="s">
        <v>1239</v>
      </c>
      <c r="B343">
        <v>8</v>
      </c>
      <c r="C343">
        <f>_xlfn.XLOOKUP(Recon!A343,[1]Backup!AJ:AJ,[1]Backup!L:L)</f>
        <v>133.41999999999999</v>
      </c>
      <c r="D343">
        <f>_xlfn.XLOOKUP(Recon!A343,[1]Backup!AJ:AJ,[1]Backup!K:K)</f>
        <v>4.5362799999999996</v>
      </c>
      <c r="E343">
        <f>SUMIF('[1]PO Report'!A:A,Recon!A343,'[1]PO Report'!P:P)</f>
        <v>8</v>
      </c>
      <c r="F343">
        <f>VLOOKUP(A343,'[1]PO Report'!$A:$Z,15,0)</f>
        <v>133.41999999999999</v>
      </c>
      <c r="H343">
        <f t="shared" si="10"/>
        <v>0</v>
      </c>
      <c r="J343">
        <f t="shared" si="11"/>
        <v>0</v>
      </c>
    </row>
    <row r="344" spans="1:10" x14ac:dyDescent="0.25">
      <c r="A344" t="s">
        <v>1240</v>
      </c>
      <c r="B344">
        <v>8</v>
      </c>
      <c r="C344">
        <f>_xlfn.XLOOKUP(Recon!A344,[1]Backup!AJ:AJ,[1]Backup!L:L)</f>
        <v>63.81</v>
      </c>
      <c r="D344">
        <f>_xlfn.XLOOKUP(Recon!A344,[1]Backup!AJ:AJ,[1]Backup!K:K)</f>
        <v>2.16954</v>
      </c>
      <c r="E344">
        <f>SUMIF('[1]PO Report'!A:A,Recon!A344,'[1]PO Report'!P:P)</f>
        <v>8</v>
      </c>
      <c r="F344">
        <f>VLOOKUP(A344,'[1]PO Report'!$A:$Z,15,0)</f>
        <v>63.81</v>
      </c>
      <c r="H344">
        <f t="shared" si="10"/>
        <v>0</v>
      </c>
      <c r="J344">
        <f t="shared" si="11"/>
        <v>0</v>
      </c>
    </row>
    <row r="345" spans="1:10" x14ac:dyDescent="0.25">
      <c r="A345" t="s">
        <v>1241</v>
      </c>
      <c r="B345">
        <v>10</v>
      </c>
      <c r="C345">
        <f>_xlfn.XLOOKUP(Recon!A345,[1]Backup!AJ:AJ,[1]Backup!L:L)</f>
        <v>58</v>
      </c>
      <c r="D345">
        <f>_xlfn.XLOOKUP(Recon!A345,[1]Backup!AJ:AJ,[1]Backup!K:K)</f>
        <v>1.972</v>
      </c>
      <c r="E345">
        <f>SUMIF('[1]PO Report'!A:A,Recon!A345,'[1]PO Report'!P:P)</f>
        <v>10</v>
      </c>
      <c r="F345">
        <f>VLOOKUP(A345,'[1]PO Report'!$A:$Z,15,0)</f>
        <v>58</v>
      </c>
      <c r="H345">
        <f t="shared" si="10"/>
        <v>0</v>
      </c>
      <c r="J345">
        <f t="shared" si="11"/>
        <v>0</v>
      </c>
    </row>
    <row r="346" spans="1:10" x14ac:dyDescent="0.25">
      <c r="A346" t="s">
        <v>1242</v>
      </c>
      <c r="B346">
        <v>64</v>
      </c>
      <c r="C346">
        <f>_xlfn.XLOOKUP(Recon!A346,[1]Backup!AJ:AJ,[1]Backup!L:L)</f>
        <v>29.28</v>
      </c>
      <c r="D346">
        <f>_xlfn.XLOOKUP(Recon!A346,[1]Backup!AJ:AJ,[1]Backup!K:K)</f>
        <v>0.99551999999999996</v>
      </c>
      <c r="E346">
        <f>SUMIF('[1]PO Report'!A:A,Recon!A346,'[1]PO Report'!P:P)</f>
        <v>64</v>
      </c>
      <c r="F346">
        <f>VLOOKUP(A346,'[1]PO Report'!$A:$Z,15,0)</f>
        <v>29.28</v>
      </c>
      <c r="H346">
        <f t="shared" si="10"/>
        <v>0</v>
      </c>
      <c r="J346">
        <f t="shared" si="11"/>
        <v>0</v>
      </c>
    </row>
    <row r="347" spans="1:10" x14ac:dyDescent="0.25">
      <c r="A347" t="s">
        <v>1243</v>
      </c>
      <c r="B347">
        <v>4</v>
      </c>
      <c r="C347">
        <f>_xlfn.XLOOKUP(Recon!A347,[1]Backup!AJ:AJ,[1]Backup!L:L)</f>
        <v>120.83</v>
      </c>
      <c r="D347">
        <f>_xlfn.XLOOKUP(Recon!A347,[1]Backup!AJ:AJ,[1]Backup!K:K)</f>
        <v>4.1082200000000002</v>
      </c>
      <c r="E347">
        <f>SUMIF('[1]PO Report'!A:A,Recon!A347,'[1]PO Report'!P:P)</f>
        <v>4</v>
      </c>
      <c r="F347">
        <f>VLOOKUP(A347,'[1]PO Report'!$A:$Z,15,0)</f>
        <v>120.83</v>
      </c>
      <c r="H347">
        <f t="shared" si="10"/>
        <v>0</v>
      </c>
      <c r="J347">
        <f t="shared" si="11"/>
        <v>0</v>
      </c>
    </row>
    <row r="348" spans="1:10" x14ac:dyDescent="0.25">
      <c r="A348" t="s">
        <v>1244</v>
      </c>
      <c r="B348">
        <v>8</v>
      </c>
      <c r="C348">
        <f>_xlfn.XLOOKUP(Recon!A348,[1]Backup!AJ:AJ,[1]Backup!L:L)</f>
        <v>83.89</v>
      </c>
      <c r="D348">
        <f>_xlfn.XLOOKUP(Recon!A348,[1]Backup!AJ:AJ,[1]Backup!K:K)</f>
        <v>2.8522599999999998</v>
      </c>
      <c r="E348">
        <f>SUMIF('[1]PO Report'!A:A,Recon!A348,'[1]PO Report'!P:P)</f>
        <v>8</v>
      </c>
      <c r="F348">
        <f>VLOOKUP(A348,'[1]PO Report'!$A:$Z,15,0)</f>
        <v>83.89</v>
      </c>
      <c r="H348">
        <f t="shared" si="10"/>
        <v>0</v>
      </c>
      <c r="J348">
        <f t="shared" si="11"/>
        <v>0</v>
      </c>
    </row>
    <row r="349" spans="1:10" x14ac:dyDescent="0.25">
      <c r="A349" t="s">
        <v>1245</v>
      </c>
      <c r="B349">
        <v>48</v>
      </c>
      <c r="C349">
        <f>_xlfn.XLOOKUP(Recon!A349,[1]Backup!AJ:AJ,[1]Backup!L:L)</f>
        <v>46.4</v>
      </c>
      <c r="D349">
        <f>_xlfn.XLOOKUP(Recon!A349,[1]Backup!AJ:AJ,[1]Backup!K:K)</f>
        <v>1.5776000000000001</v>
      </c>
      <c r="E349">
        <f>SUMIF('[1]PO Report'!A:A,Recon!A349,'[1]PO Report'!P:P)</f>
        <v>48</v>
      </c>
      <c r="F349">
        <f>VLOOKUP(A349,'[1]PO Report'!$A:$Z,15,0)</f>
        <v>46.4</v>
      </c>
      <c r="H349">
        <f t="shared" si="10"/>
        <v>0</v>
      </c>
      <c r="J349">
        <f t="shared" si="11"/>
        <v>0</v>
      </c>
    </row>
    <row r="350" spans="1:10" x14ac:dyDescent="0.25">
      <c r="A350" t="s">
        <v>1246</v>
      </c>
      <c r="B350">
        <v>4</v>
      </c>
      <c r="C350">
        <f>_xlfn.XLOOKUP(Recon!A350,[1]Backup!AJ:AJ,[1]Backup!L:L)</f>
        <v>69.61</v>
      </c>
      <c r="D350">
        <f>_xlfn.XLOOKUP(Recon!A350,[1]Backup!AJ:AJ,[1]Backup!K:K)</f>
        <v>2.3667400000000001</v>
      </c>
      <c r="E350">
        <f>SUMIF('[1]PO Report'!A:A,Recon!A350,'[1]PO Report'!P:P)</f>
        <v>4</v>
      </c>
      <c r="F350">
        <f>VLOOKUP(A350,'[1]PO Report'!$A:$Z,15,0)</f>
        <v>69.61</v>
      </c>
      <c r="H350">
        <f t="shared" si="10"/>
        <v>0</v>
      </c>
      <c r="J350">
        <f t="shared" si="11"/>
        <v>0</v>
      </c>
    </row>
    <row r="351" spans="1:10" x14ac:dyDescent="0.25">
      <c r="A351" t="s">
        <v>1247</v>
      </c>
      <c r="B351">
        <v>970</v>
      </c>
      <c r="C351">
        <f>_xlfn.XLOOKUP(Recon!A351,[1]Backup!AJ:AJ,[1]Backup!L:L)</f>
        <v>14.639999999999999</v>
      </c>
      <c r="D351">
        <f>_xlfn.XLOOKUP(Recon!A351,[1]Backup!AJ:AJ,[1]Backup!K:K)</f>
        <v>0.49775999999999998</v>
      </c>
      <c r="E351">
        <f>SUMIF('[1]PO Report'!A:A,Recon!A351,'[1]PO Report'!P:P)</f>
        <v>970</v>
      </c>
      <c r="F351">
        <f>VLOOKUP(A351,'[1]PO Report'!$A:$Z,15,0)</f>
        <v>14.64</v>
      </c>
      <c r="H351">
        <f t="shared" si="10"/>
        <v>0</v>
      </c>
      <c r="J351">
        <f t="shared" si="11"/>
        <v>0</v>
      </c>
    </row>
    <row r="352" spans="1:10" x14ac:dyDescent="0.25">
      <c r="A352" t="s">
        <v>1248</v>
      </c>
      <c r="B352">
        <v>10</v>
      </c>
      <c r="C352">
        <f>_xlfn.XLOOKUP(Recon!A352,[1]Backup!AJ:AJ,[1]Backup!L:L)</f>
        <v>14.64</v>
      </c>
      <c r="D352">
        <f>_xlfn.XLOOKUP(Recon!A352,[1]Backup!AJ:AJ,[1]Backup!K:K)</f>
        <v>0.49775999999999998</v>
      </c>
      <c r="E352">
        <f>SUMIF('[1]PO Report'!A:A,Recon!A352,'[1]PO Report'!P:P)</f>
        <v>10</v>
      </c>
      <c r="F352">
        <f>VLOOKUP(A352,'[1]PO Report'!$A:$Z,15,0)</f>
        <v>14.64</v>
      </c>
      <c r="H352">
        <f t="shared" si="10"/>
        <v>0</v>
      </c>
      <c r="J352">
        <f t="shared" si="11"/>
        <v>0</v>
      </c>
    </row>
    <row r="353" spans="1:10" x14ac:dyDescent="0.25">
      <c r="A353" t="s">
        <v>1249</v>
      </c>
      <c r="B353">
        <v>8</v>
      </c>
      <c r="C353">
        <f>_xlfn.XLOOKUP(Recon!A353,[1]Backup!AJ:AJ,[1]Backup!L:L)</f>
        <v>106.49</v>
      </c>
      <c r="D353">
        <f>_xlfn.XLOOKUP(Recon!A353,[1]Backup!AJ:AJ,[1]Backup!K:K)</f>
        <v>3.62066</v>
      </c>
      <c r="E353">
        <f>SUMIF('[1]PO Report'!A:A,Recon!A353,'[1]PO Report'!P:P)</f>
        <v>8</v>
      </c>
      <c r="F353">
        <f>VLOOKUP(A353,'[1]PO Report'!$A:$Z,15,0)</f>
        <v>106.49</v>
      </c>
      <c r="H353">
        <f t="shared" si="10"/>
        <v>0</v>
      </c>
      <c r="J353">
        <f t="shared" si="11"/>
        <v>0</v>
      </c>
    </row>
    <row r="354" spans="1:10" x14ac:dyDescent="0.25">
      <c r="A354" t="s">
        <v>1250</v>
      </c>
      <c r="B354">
        <v>10</v>
      </c>
      <c r="C354">
        <f>_xlfn.XLOOKUP(Recon!A354,[1]Backup!AJ:AJ,[1]Backup!L:L)</f>
        <v>52.2</v>
      </c>
      <c r="D354">
        <f>_xlfn.XLOOKUP(Recon!A354,[1]Backup!AJ:AJ,[1]Backup!K:K)</f>
        <v>1.7748000000000002</v>
      </c>
      <c r="E354">
        <f>SUMIF('[1]PO Report'!A:A,Recon!A354,'[1]PO Report'!P:P)</f>
        <v>10</v>
      </c>
      <c r="F354">
        <f>VLOOKUP(A354,'[1]PO Report'!$A:$Z,15,0)</f>
        <v>52.2</v>
      </c>
      <c r="H354">
        <f t="shared" si="10"/>
        <v>0</v>
      </c>
      <c r="J354">
        <f t="shared" si="11"/>
        <v>0</v>
      </c>
    </row>
    <row r="355" spans="1:10" x14ac:dyDescent="0.25">
      <c r="A355" t="s">
        <v>1251</v>
      </c>
      <c r="B355">
        <v>270</v>
      </c>
      <c r="C355">
        <f>_xlfn.XLOOKUP(Recon!A355,[1]Backup!AJ:AJ,[1]Backup!L:L)</f>
        <v>14.64</v>
      </c>
      <c r="D355">
        <f>_xlfn.XLOOKUP(Recon!A355,[1]Backup!AJ:AJ,[1]Backup!K:K)</f>
        <v>0.49775999999999998</v>
      </c>
      <c r="E355">
        <f>SUMIF('[1]PO Report'!A:A,Recon!A355,'[1]PO Report'!P:P)</f>
        <v>270</v>
      </c>
      <c r="F355">
        <f>VLOOKUP(A355,'[1]PO Report'!$A:$Z,15,0)</f>
        <v>14.64</v>
      </c>
      <c r="H355">
        <f t="shared" si="10"/>
        <v>0</v>
      </c>
      <c r="J355">
        <f t="shared" si="11"/>
        <v>0</v>
      </c>
    </row>
    <row r="356" spans="1:10" x14ac:dyDescent="0.25">
      <c r="A356" t="s">
        <v>1252</v>
      </c>
      <c r="B356">
        <v>8</v>
      </c>
      <c r="C356">
        <f>_xlfn.XLOOKUP(Recon!A356,[1]Backup!AJ:AJ,[1]Backup!L:L)</f>
        <v>20.5</v>
      </c>
      <c r="D356">
        <f>_xlfn.XLOOKUP(Recon!A356,[1]Backup!AJ:AJ,[1]Backup!K:K)</f>
        <v>0.69699999999999995</v>
      </c>
      <c r="E356">
        <f>SUMIF('[1]PO Report'!A:A,Recon!A356,'[1]PO Report'!P:P)</f>
        <v>8</v>
      </c>
      <c r="F356">
        <f>VLOOKUP(A356,'[1]PO Report'!$A:$Z,15,0)</f>
        <v>20.5</v>
      </c>
      <c r="H356">
        <f t="shared" si="10"/>
        <v>0</v>
      </c>
      <c r="J356">
        <f t="shared" si="11"/>
        <v>0</v>
      </c>
    </row>
    <row r="357" spans="1:10" x14ac:dyDescent="0.25">
      <c r="A357" t="s">
        <v>1253</v>
      </c>
      <c r="B357">
        <v>4</v>
      </c>
      <c r="C357">
        <f>_xlfn.XLOOKUP(Recon!A357,[1]Backup!AJ:AJ,[1]Backup!L:L)</f>
        <v>75.41</v>
      </c>
      <c r="D357">
        <f>_xlfn.XLOOKUP(Recon!A357,[1]Backup!AJ:AJ,[1]Backup!K:K)</f>
        <v>2.5639400000000001</v>
      </c>
      <c r="E357">
        <f>SUMIF('[1]PO Report'!A:A,Recon!A357,'[1]PO Report'!P:P)</f>
        <v>4</v>
      </c>
      <c r="F357">
        <f>VLOOKUP(A357,'[1]PO Report'!$A:$Z,15,0)</f>
        <v>75.41</v>
      </c>
      <c r="H357">
        <f t="shared" si="10"/>
        <v>0</v>
      </c>
      <c r="J357">
        <f t="shared" si="11"/>
        <v>0</v>
      </c>
    </row>
    <row r="358" spans="1:10" x14ac:dyDescent="0.25">
      <c r="A358" t="s">
        <v>1254</v>
      </c>
      <c r="B358">
        <v>6</v>
      </c>
      <c r="C358">
        <f>_xlfn.XLOOKUP(Recon!A358,[1]Backup!AJ:AJ,[1]Backup!L:L)</f>
        <v>20.3</v>
      </c>
      <c r="D358">
        <f>_xlfn.XLOOKUP(Recon!A358,[1]Backup!AJ:AJ,[1]Backup!K:K)</f>
        <v>0.69020000000000004</v>
      </c>
      <c r="E358">
        <f>SUMIF('[1]PO Report'!A:A,Recon!A358,'[1]PO Report'!P:P)</f>
        <v>6</v>
      </c>
      <c r="F358">
        <f>VLOOKUP(A358,'[1]PO Report'!$A:$Z,15,0)</f>
        <v>20.3</v>
      </c>
      <c r="H358">
        <f t="shared" si="10"/>
        <v>0</v>
      </c>
      <c r="J358">
        <f t="shared" si="11"/>
        <v>0</v>
      </c>
    </row>
    <row r="359" spans="1:10" x14ac:dyDescent="0.25">
      <c r="A359" t="s">
        <v>1255</v>
      </c>
      <c r="B359">
        <v>4</v>
      </c>
      <c r="C359">
        <f>_xlfn.XLOOKUP(Recon!A359,[1]Backup!AJ:AJ,[1]Backup!L:L)</f>
        <v>42.2</v>
      </c>
      <c r="D359">
        <f>_xlfn.XLOOKUP(Recon!A359,[1]Backup!AJ:AJ,[1]Backup!K:K)</f>
        <v>1.4348000000000001</v>
      </c>
      <c r="E359">
        <f>SUMIF('[1]PO Report'!A:A,Recon!A359,'[1]PO Report'!P:P)</f>
        <v>4</v>
      </c>
      <c r="F359">
        <f>VLOOKUP(A359,'[1]PO Report'!$A:$Z,15,0)</f>
        <v>42.2</v>
      </c>
      <c r="H359">
        <f t="shared" si="10"/>
        <v>0</v>
      </c>
      <c r="J359">
        <f t="shared" si="11"/>
        <v>0</v>
      </c>
    </row>
    <row r="360" spans="1:10" x14ac:dyDescent="0.25">
      <c r="A360" t="s">
        <v>1256</v>
      </c>
      <c r="B360">
        <v>4</v>
      </c>
      <c r="C360">
        <f>_xlfn.XLOOKUP(Recon!A360,[1]Backup!AJ:AJ,[1]Backup!L:L)</f>
        <v>69.61</v>
      </c>
      <c r="D360">
        <f>_xlfn.XLOOKUP(Recon!A360,[1]Backup!AJ:AJ,[1]Backup!K:K)</f>
        <v>2.3667400000000001</v>
      </c>
      <c r="E360">
        <f>SUMIF('[1]PO Report'!A:A,Recon!A360,'[1]PO Report'!P:P)</f>
        <v>4</v>
      </c>
      <c r="F360">
        <f>VLOOKUP(A360,'[1]PO Report'!$A:$Z,15,0)</f>
        <v>69.61</v>
      </c>
      <c r="H360">
        <f t="shared" si="10"/>
        <v>0</v>
      </c>
      <c r="J360">
        <f t="shared" si="11"/>
        <v>0</v>
      </c>
    </row>
    <row r="361" spans="1:10" x14ac:dyDescent="0.25">
      <c r="A361" t="s">
        <v>1257</v>
      </c>
      <c r="B361">
        <v>10</v>
      </c>
      <c r="C361">
        <f>_xlfn.XLOOKUP(Recon!A361,[1]Backup!AJ:AJ,[1]Backup!L:L)</f>
        <v>9.9499999999999993</v>
      </c>
      <c r="D361">
        <f>_xlfn.XLOOKUP(Recon!A361,[1]Backup!AJ:AJ,[1]Backup!K:K)</f>
        <v>0.33829999999999999</v>
      </c>
      <c r="E361">
        <f>SUMIF('[1]PO Report'!A:A,Recon!A361,'[1]PO Report'!P:P)</f>
        <v>10</v>
      </c>
      <c r="F361">
        <f>VLOOKUP(A361,'[1]PO Report'!$A:$Z,15,0)</f>
        <v>9.9499999999999993</v>
      </c>
      <c r="H361">
        <f t="shared" si="10"/>
        <v>0</v>
      </c>
      <c r="J361">
        <f t="shared" si="11"/>
        <v>0</v>
      </c>
    </row>
    <row r="362" spans="1:10" x14ac:dyDescent="0.25">
      <c r="A362" t="s">
        <v>1258</v>
      </c>
      <c r="B362">
        <v>10</v>
      </c>
      <c r="C362">
        <f>_xlfn.XLOOKUP(Recon!A362,[1]Backup!AJ:AJ,[1]Backup!L:L)</f>
        <v>9.9499999999999993</v>
      </c>
      <c r="D362">
        <f>_xlfn.XLOOKUP(Recon!A362,[1]Backup!AJ:AJ,[1]Backup!K:K)</f>
        <v>0.33829999999999999</v>
      </c>
      <c r="E362">
        <f>SUMIF('[1]PO Report'!A:A,Recon!A362,'[1]PO Report'!P:P)</f>
        <v>10</v>
      </c>
      <c r="F362">
        <f>VLOOKUP(A362,'[1]PO Report'!$A:$Z,15,0)</f>
        <v>9.9499999999999993</v>
      </c>
      <c r="H362">
        <f t="shared" si="10"/>
        <v>0</v>
      </c>
      <c r="J362">
        <f t="shared" si="11"/>
        <v>0</v>
      </c>
    </row>
    <row r="363" spans="1:10" x14ac:dyDescent="0.25">
      <c r="A363" t="s">
        <v>1259</v>
      </c>
      <c r="B363">
        <v>18</v>
      </c>
      <c r="C363">
        <f>_xlfn.XLOOKUP(Recon!A363,[1]Backup!AJ:AJ,[1]Backup!L:L)</f>
        <v>115.44</v>
      </c>
      <c r="D363">
        <f>_xlfn.XLOOKUP(Recon!A363,[1]Backup!AJ:AJ,[1]Backup!K:K)</f>
        <v>3.9249600000000004</v>
      </c>
      <c r="E363">
        <f>SUMIF('[1]PO Report'!A:A,Recon!A363,'[1]PO Report'!P:P)</f>
        <v>18</v>
      </c>
      <c r="F363">
        <f>VLOOKUP(A363,'[1]PO Report'!$A:$Z,15,0)</f>
        <v>115.44</v>
      </c>
      <c r="H363">
        <f t="shared" si="10"/>
        <v>0</v>
      </c>
      <c r="J363">
        <f t="shared" si="11"/>
        <v>0</v>
      </c>
    </row>
    <row r="364" spans="1:10" x14ac:dyDescent="0.25">
      <c r="A364" t="s">
        <v>1260</v>
      </c>
      <c r="B364">
        <v>10</v>
      </c>
      <c r="C364">
        <f>_xlfn.XLOOKUP(Recon!A364,[1]Backup!AJ:AJ,[1]Backup!L:L)</f>
        <v>9.9499999999999993</v>
      </c>
      <c r="D364">
        <f>_xlfn.XLOOKUP(Recon!A364,[1]Backup!AJ:AJ,[1]Backup!K:K)</f>
        <v>0.33829999999999999</v>
      </c>
      <c r="E364">
        <f>SUMIF('[1]PO Report'!A:A,Recon!A364,'[1]PO Report'!P:P)</f>
        <v>10</v>
      </c>
      <c r="F364">
        <f>VLOOKUP(A364,'[1]PO Report'!$A:$Z,15,0)</f>
        <v>9.9499999999999993</v>
      </c>
      <c r="H364">
        <f t="shared" si="10"/>
        <v>0</v>
      </c>
      <c r="J364">
        <f t="shared" si="11"/>
        <v>0</v>
      </c>
    </row>
    <row r="365" spans="1:10" x14ac:dyDescent="0.25">
      <c r="A365" t="s">
        <v>1261</v>
      </c>
      <c r="B365">
        <v>10</v>
      </c>
      <c r="C365">
        <f>_xlfn.XLOOKUP(Recon!A365,[1]Backup!AJ:AJ,[1]Backup!L:L)</f>
        <v>14.64</v>
      </c>
      <c r="D365">
        <f>_xlfn.XLOOKUP(Recon!A365,[1]Backup!AJ:AJ,[1]Backup!K:K)</f>
        <v>0.49775999999999998</v>
      </c>
      <c r="E365">
        <f>SUMIF('[1]PO Report'!A:A,Recon!A365,'[1]PO Report'!P:P)</f>
        <v>10</v>
      </c>
      <c r="F365">
        <f>VLOOKUP(A365,'[1]PO Report'!$A:$Z,15,0)</f>
        <v>14.64</v>
      </c>
      <c r="H365">
        <f t="shared" si="10"/>
        <v>0</v>
      </c>
      <c r="J365">
        <f t="shared" si="11"/>
        <v>0</v>
      </c>
    </row>
    <row r="366" spans="1:10" x14ac:dyDescent="0.25">
      <c r="A366" t="s">
        <v>1262</v>
      </c>
      <c r="B366">
        <v>8</v>
      </c>
      <c r="C366">
        <f>_xlfn.XLOOKUP(Recon!A366,[1]Backup!AJ:AJ,[1]Backup!L:L)</f>
        <v>231.47</v>
      </c>
      <c r="D366">
        <f>_xlfn.XLOOKUP(Recon!A366,[1]Backup!AJ:AJ,[1]Backup!K:K)</f>
        <v>7.86998</v>
      </c>
      <c r="E366">
        <f>SUMIF('[1]PO Report'!A:A,Recon!A366,'[1]PO Report'!P:P)</f>
        <v>8</v>
      </c>
      <c r="F366">
        <f>VLOOKUP(A366,'[1]PO Report'!$A:$Z,15,0)</f>
        <v>231.47</v>
      </c>
      <c r="H366">
        <f t="shared" si="10"/>
        <v>0</v>
      </c>
      <c r="J366">
        <f t="shared" si="11"/>
        <v>0</v>
      </c>
    </row>
    <row r="367" spans="1:10" x14ac:dyDescent="0.25">
      <c r="A367" t="s">
        <v>1263</v>
      </c>
      <c r="B367">
        <v>270</v>
      </c>
      <c r="C367">
        <f>_xlfn.XLOOKUP(Recon!A367,[1]Backup!AJ:AJ,[1]Backup!L:L)</f>
        <v>8.1999999999999993</v>
      </c>
      <c r="D367">
        <f>_xlfn.XLOOKUP(Recon!A367,[1]Backup!AJ:AJ,[1]Backup!K:K)</f>
        <v>0.27879999999999999</v>
      </c>
      <c r="E367">
        <f>SUMIF('[1]PO Report'!A:A,Recon!A367,'[1]PO Report'!P:P)</f>
        <v>270</v>
      </c>
      <c r="F367">
        <f>VLOOKUP(A367,'[1]PO Report'!$A:$Z,15,0)</f>
        <v>8.1999999999999993</v>
      </c>
      <c r="H367">
        <f t="shared" si="10"/>
        <v>0</v>
      </c>
      <c r="J367">
        <f t="shared" si="11"/>
        <v>0</v>
      </c>
    </row>
    <row r="368" spans="1:10" x14ac:dyDescent="0.25">
      <c r="A368" t="s">
        <v>1264</v>
      </c>
      <c r="B368">
        <v>10</v>
      </c>
      <c r="C368">
        <f>_xlfn.XLOOKUP(Recon!A368,[1]Backup!AJ:AJ,[1]Backup!L:L)</f>
        <v>9.9499999999999993</v>
      </c>
      <c r="D368">
        <f>_xlfn.XLOOKUP(Recon!A368,[1]Backup!AJ:AJ,[1]Backup!K:K)</f>
        <v>0.33829999999999999</v>
      </c>
      <c r="E368">
        <f>SUMIF('[1]PO Report'!A:A,Recon!A368,'[1]PO Report'!P:P)</f>
        <v>10</v>
      </c>
      <c r="F368">
        <f>VLOOKUP(A368,'[1]PO Report'!$A:$Z,15,0)</f>
        <v>9.9499999999999993</v>
      </c>
      <c r="H368">
        <f t="shared" si="10"/>
        <v>0</v>
      </c>
      <c r="J368">
        <f t="shared" si="11"/>
        <v>0</v>
      </c>
    </row>
    <row r="369" spans="1:10" x14ac:dyDescent="0.25">
      <c r="A369" t="s">
        <v>1265</v>
      </c>
      <c r="B369">
        <v>20</v>
      </c>
      <c r="C369">
        <f>_xlfn.XLOOKUP(Recon!A369,[1]Backup!AJ:AJ,[1]Backup!L:L)</f>
        <v>14.64</v>
      </c>
      <c r="D369">
        <f>_xlfn.XLOOKUP(Recon!A369,[1]Backup!AJ:AJ,[1]Backup!K:K)</f>
        <v>0.49775999999999998</v>
      </c>
      <c r="E369">
        <f>SUMIF('[1]PO Report'!A:A,Recon!A369,'[1]PO Report'!P:P)</f>
        <v>20</v>
      </c>
      <c r="F369">
        <f>VLOOKUP(A369,'[1]PO Report'!$A:$Z,15,0)</f>
        <v>14.64</v>
      </c>
      <c r="H369">
        <f t="shared" si="10"/>
        <v>0</v>
      </c>
      <c r="J369">
        <f t="shared" si="11"/>
        <v>0</v>
      </c>
    </row>
    <row r="370" spans="1:10" x14ac:dyDescent="0.25">
      <c r="A370" t="s">
        <v>1266</v>
      </c>
      <c r="B370">
        <v>36</v>
      </c>
      <c r="C370">
        <f>_xlfn.XLOOKUP(Recon!A370,[1]Backup!AJ:AJ,[1]Backup!L:L)</f>
        <v>23.42</v>
      </c>
      <c r="D370">
        <f>_xlfn.XLOOKUP(Recon!A370,[1]Backup!AJ:AJ,[1]Backup!K:K)</f>
        <v>0.79627999999999999</v>
      </c>
      <c r="E370">
        <f>SUMIF('[1]PO Report'!A:A,Recon!A370,'[1]PO Report'!P:P)</f>
        <v>36</v>
      </c>
      <c r="F370">
        <f>VLOOKUP(A370,'[1]PO Report'!$A:$Z,15,0)</f>
        <v>23.42</v>
      </c>
      <c r="H370">
        <f t="shared" si="10"/>
        <v>0</v>
      </c>
      <c r="J370">
        <f t="shared" si="11"/>
        <v>0</v>
      </c>
    </row>
    <row r="371" spans="1:10" x14ac:dyDescent="0.25">
      <c r="A371" t="s">
        <v>1267</v>
      </c>
      <c r="B371">
        <v>4</v>
      </c>
      <c r="C371">
        <f>_xlfn.XLOOKUP(Recon!A371,[1]Backup!AJ:AJ,[1]Backup!L:L)</f>
        <v>46.85</v>
      </c>
      <c r="D371">
        <f>_xlfn.XLOOKUP(Recon!A371,[1]Backup!AJ:AJ,[1]Backup!K:K)</f>
        <v>1.5929</v>
      </c>
      <c r="E371">
        <f>SUMIF('[1]PO Report'!A:A,Recon!A371,'[1]PO Report'!P:P)</f>
        <v>4</v>
      </c>
      <c r="F371">
        <f>VLOOKUP(A371,'[1]PO Report'!$A:$Z,15,0)</f>
        <v>46.85</v>
      </c>
      <c r="H371">
        <f t="shared" si="10"/>
        <v>0</v>
      </c>
      <c r="J371">
        <f t="shared" si="11"/>
        <v>0</v>
      </c>
    </row>
    <row r="372" spans="1:10" x14ac:dyDescent="0.25">
      <c r="A372" t="s">
        <v>1268</v>
      </c>
      <c r="B372">
        <v>27</v>
      </c>
      <c r="C372">
        <f>_xlfn.XLOOKUP(Recon!A372,[1]Backup!AJ:AJ,[1]Backup!L:L)</f>
        <v>210.52</v>
      </c>
      <c r="D372">
        <f>_xlfn.XLOOKUP(Recon!A372,[1]Backup!AJ:AJ,[1]Backup!K:K)</f>
        <v>7.15768</v>
      </c>
      <c r="E372">
        <f>SUMIF('[1]PO Report'!A:A,Recon!A372,'[1]PO Report'!P:P)</f>
        <v>27</v>
      </c>
      <c r="F372">
        <f>VLOOKUP(A372,'[1]PO Report'!$A:$Z,15,0)</f>
        <v>210.52</v>
      </c>
      <c r="H372">
        <f t="shared" si="10"/>
        <v>0</v>
      </c>
      <c r="J372">
        <f t="shared" si="11"/>
        <v>0</v>
      </c>
    </row>
    <row r="373" spans="1:10" x14ac:dyDescent="0.25">
      <c r="A373" t="s">
        <v>1269</v>
      </c>
      <c r="B373">
        <v>48</v>
      </c>
      <c r="C373">
        <f>_xlfn.XLOOKUP(Recon!A373,[1]Backup!AJ:AJ,[1]Backup!L:L)</f>
        <v>20.5</v>
      </c>
      <c r="D373">
        <f>_xlfn.XLOOKUP(Recon!A373,[1]Backup!AJ:AJ,[1]Backup!K:K)</f>
        <v>0.69700000000000006</v>
      </c>
      <c r="E373">
        <f>SUMIF('[1]PO Report'!A:A,Recon!A373,'[1]PO Report'!P:P)</f>
        <v>48</v>
      </c>
      <c r="F373">
        <f>VLOOKUP(A373,'[1]PO Report'!$A:$Z,15,0)</f>
        <v>20.5</v>
      </c>
      <c r="H373">
        <f t="shared" si="10"/>
        <v>0</v>
      </c>
      <c r="J373">
        <f t="shared" si="11"/>
        <v>0</v>
      </c>
    </row>
    <row r="374" spans="1:10" x14ac:dyDescent="0.25">
      <c r="A374" t="s">
        <v>1270</v>
      </c>
      <c r="B374">
        <v>56</v>
      </c>
      <c r="C374">
        <f>_xlfn.XLOOKUP(Recon!A374,[1]Backup!AJ:AJ,[1]Backup!L:L)</f>
        <v>20.5</v>
      </c>
      <c r="D374">
        <f>_xlfn.XLOOKUP(Recon!A374,[1]Backup!AJ:AJ,[1]Backup!K:K)</f>
        <v>0.69699999999999995</v>
      </c>
      <c r="E374">
        <f>SUMIF('[1]PO Report'!A:A,Recon!A374,'[1]PO Report'!P:P)</f>
        <v>56</v>
      </c>
      <c r="F374">
        <f>VLOOKUP(A374,'[1]PO Report'!$A:$Z,15,0)</f>
        <v>20.5</v>
      </c>
      <c r="H374">
        <f t="shared" si="10"/>
        <v>0</v>
      </c>
      <c r="J374">
        <f t="shared" si="11"/>
        <v>0</v>
      </c>
    </row>
    <row r="375" spans="1:10" x14ac:dyDescent="0.25">
      <c r="A375" t="s">
        <v>1271</v>
      </c>
      <c r="B375">
        <v>10</v>
      </c>
      <c r="C375">
        <f>_xlfn.XLOOKUP(Recon!A375,[1]Backup!AJ:AJ,[1]Backup!L:L)</f>
        <v>17.559999999999999</v>
      </c>
      <c r="D375">
        <f>_xlfn.XLOOKUP(Recon!A375,[1]Backup!AJ:AJ,[1]Backup!K:K)</f>
        <v>0.59704000000000002</v>
      </c>
      <c r="E375">
        <f>SUMIF('[1]PO Report'!A:A,Recon!A375,'[1]PO Report'!P:P)</f>
        <v>10</v>
      </c>
      <c r="F375">
        <f>VLOOKUP(A375,'[1]PO Report'!$A:$Z,15,0)</f>
        <v>17.559999999999999</v>
      </c>
      <c r="H375">
        <f t="shared" si="10"/>
        <v>0</v>
      </c>
      <c r="J375">
        <f t="shared" si="11"/>
        <v>0</v>
      </c>
    </row>
    <row r="376" spans="1:10" x14ac:dyDescent="0.25">
      <c r="A376" t="s">
        <v>1272</v>
      </c>
      <c r="B376">
        <v>10</v>
      </c>
      <c r="C376">
        <f>_xlfn.XLOOKUP(Recon!A376,[1]Backup!AJ:AJ,[1]Backup!L:L)</f>
        <v>14.64</v>
      </c>
      <c r="D376">
        <f>_xlfn.XLOOKUP(Recon!A376,[1]Backup!AJ:AJ,[1]Backup!K:K)</f>
        <v>0.49775999999999998</v>
      </c>
      <c r="E376">
        <f>SUMIF('[1]PO Report'!A:A,Recon!A376,'[1]PO Report'!P:P)</f>
        <v>10</v>
      </c>
      <c r="F376">
        <f>VLOOKUP(A376,'[1]PO Report'!$A:$Z,15,0)</f>
        <v>14.64</v>
      </c>
      <c r="H376">
        <f t="shared" si="10"/>
        <v>0</v>
      </c>
      <c r="J376">
        <f t="shared" si="11"/>
        <v>0</v>
      </c>
    </row>
    <row r="377" spans="1:10" x14ac:dyDescent="0.25">
      <c r="A377" t="s">
        <v>1273</v>
      </c>
      <c r="B377">
        <v>4</v>
      </c>
      <c r="C377">
        <f>_xlfn.XLOOKUP(Recon!A377,[1]Backup!AJ:AJ,[1]Backup!L:L)</f>
        <v>42.2</v>
      </c>
      <c r="D377">
        <f>_xlfn.XLOOKUP(Recon!A377,[1]Backup!AJ:AJ,[1]Backup!K:K)</f>
        <v>1.4348000000000001</v>
      </c>
      <c r="E377">
        <f>SUMIF('[1]PO Report'!A:A,Recon!A377,'[1]PO Report'!P:P)</f>
        <v>4</v>
      </c>
      <c r="F377">
        <f>VLOOKUP(A377,'[1]PO Report'!$A:$Z,15,0)</f>
        <v>42.2</v>
      </c>
      <c r="H377">
        <f t="shared" si="10"/>
        <v>0</v>
      </c>
      <c r="J377">
        <f t="shared" si="11"/>
        <v>0</v>
      </c>
    </row>
    <row r="378" spans="1:10" x14ac:dyDescent="0.25">
      <c r="A378" t="s">
        <v>1274</v>
      </c>
      <c r="B378">
        <v>4</v>
      </c>
      <c r="C378">
        <f>_xlfn.XLOOKUP(Recon!A378,[1]Backup!AJ:AJ,[1]Backup!L:L)</f>
        <v>75.41</v>
      </c>
      <c r="D378">
        <f>_xlfn.XLOOKUP(Recon!A378,[1]Backup!AJ:AJ,[1]Backup!K:K)</f>
        <v>2.5639400000000001</v>
      </c>
      <c r="E378">
        <f>SUMIF('[1]PO Report'!A:A,Recon!A378,'[1]PO Report'!P:P)</f>
        <v>4</v>
      </c>
      <c r="F378">
        <f>VLOOKUP(A378,'[1]PO Report'!$A:$Z,15,0)</f>
        <v>75.41</v>
      </c>
      <c r="H378">
        <f t="shared" si="10"/>
        <v>0</v>
      </c>
      <c r="J378">
        <f t="shared" si="11"/>
        <v>0</v>
      </c>
    </row>
    <row r="379" spans="1:10" x14ac:dyDescent="0.25">
      <c r="A379" t="s">
        <v>1275</v>
      </c>
      <c r="B379">
        <v>22</v>
      </c>
      <c r="C379">
        <f>_xlfn.XLOOKUP(Recon!A379,[1]Backup!AJ:AJ,[1]Backup!L:L)</f>
        <v>732.67</v>
      </c>
      <c r="D379">
        <f>_xlfn.XLOOKUP(Recon!A379,[1]Backup!AJ:AJ,[1]Backup!K:K)</f>
        <v>24.910779999999999</v>
      </c>
      <c r="E379">
        <f>SUMIF('[1]PO Report'!A:A,Recon!A379,'[1]PO Report'!P:P)</f>
        <v>22</v>
      </c>
      <c r="F379">
        <f>VLOOKUP(A379,'[1]PO Report'!$A:$Z,15,0)</f>
        <v>732.67</v>
      </c>
      <c r="H379">
        <f t="shared" si="10"/>
        <v>0</v>
      </c>
      <c r="J379">
        <f t="shared" si="11"/>
        <v>0</v>
      </c>
    </row>
    <row r="380" spans="1:10" x14ac:dyDescent="0.25">
      <c r="A380" t="s">
        <v>1276</v>
      </c>
      <c r="B380">
        <v>4</v>
      </c>
      <c r="C380">
        <f>_xlfn.XLOOKUP(Recon!A380,[1]Backup!AJ:AJ,[1]Backup!L:L)</f>
        <v>131.38</v>
      </c>
      <c r="D380">
        <f>_xlfn.XLOOKUP(Recon!A380,[1]Backup!AJ:AJ,[1]Backup!K:K)</f>
        <v>4.46692</v>
      </c>
      <c r="E380">
        <f>SUMIF('[1]PO Report'!A:A,Recon!A380,'[1]PO Report'!P:P)</f>
        <v>4</v>
      </c>
      <c r="F380">
        <f>VLOOKUP(A380,'[1]PO Report'!$A:$Z,15,0)</f>
        <v>131.38</v>
      </c>
      <c r="H380">
        <f t="shared" si="10"/>
        <v>0</v>
      </c>
      <c r="J380">
        <f t="shared" si="11"/>
        <v>0</v>
      </c>
    </row>
    <row r="381" spans="1:10" x14ac:dyDescent="0.25">
      <c r="A381" t="s">
        <v>1277</v>
      </c>
      <c r="B381">
        <v>4</v>
      </c>
      <c r="C381">
        <f>_xlfn.XLOOKUP(Recon!A381,[1]Backup!AJ:AJ,[1]Backup!L:L)</f>
        <v>62.79</v>
      </c>
      <c r="D381">
        <f>_xlfn.XLOOKUP(Recon!A381,[1]Backup!AJ:AJ,[1]Backup!K:K)</f>
        <v>2.1348600000000002</v>
      </c>
      <c r="E381">
        <f>SUMIF('[1]PO Report'!A:A,Recon!A381,'[1]PO Report'!P:P)</f>
        <v>4</v>
      </c>
      <c r="F381">
        <f>VLOOKUP(A381,'[1]PO Report'!$A:$Z,15,0)</f>
        <v>62.79</v>
      </c>
      <c r="H381">
        <f t="shared" si="10"/>
        <v>0</v>
      </c>
      <c r="J381">
        <f t="shared" si="11"/>
        <v>0</v>
      </c>
    </row>
    <row r="382" spans="1:10" x14ac:dyDescent="0.25">
      <c r="A382" t="s">
        <v>1278</v>
      </c>
      <c r="B382">
        <v>228</v>
      </c>
      <c r="C382">
        <f>_xlfn.XLOOKUP(Recon!A382,[1]Backup!AJ:AJ,[1]Backup!L:L)</f>
        <v>20.299999999999997</v>
      </c>
      <c r="D382">
        <f>_xlfn.XLOOKUP(Recon!A382,[1]Backup!AJ:AJ,[1]Backup!K:K)</f>
        <v>0.69020000000000004</v>
      </c>
      <c r="E382">
        <f>SUMIF('[1]PO Report'!A:A,Recon!A382,'[1]PO Report'!P:P)</f>
        <v>228</v>
      </c>
      <c r="F382">
        <f>VLOOKUP(A382,'[1]PO Report'!$A:$Z,15,0)</f>
        <v>20.3</v>
      </c>
      <c r="H382">
        <f t="shared" si="10"/>
        <v>0</v>
      </c>
      <c r="J382">
        <f t="shared" si="11"/>
        <v>0</v>
      </c>
    </row>
    <row r="383" spans="1:10" x14ac:dyDescent="0.25">
      <c r="A383" t="s">
        <v>1279</v>
      </c>
      <c r="B383">
        <v>24</v>
      </c>
      <c r="C383">
        <f>_xlfn.XLOOKUP(Recon!A383,[1]Backup!AJ:AJ,[1]Backup!L:L)</f>
        <v>42.199999999999996</v>
      </c>
      <c r="D383">
        <f>_xlfn.XLOOKUP(Recon!A383,[1]Backup!AJ:AJ,[1]Backup!K:K)</f>
        <v>1.4348000000000001</v>
      </c>
      <c r="E383">
        <f>SUMIF('[1]PO Report'!A:A,Recon!A383,'[1]PO Report'!P:P)</f>
        <v>24</v>
      </c>
      <c r="F383">
        <f>VLOOKUP(A383,'[1]PO Report'!$A:$Z,15,0)</f>
        <v>42.2</v>
      </c>
      <c r="H383">
        <f t="shared" si="10"/>
        <v>0</v>
      </c>
      <c r="J383">
        <f t="shared" si="11"/>
        <v>0</v>
      </c>
    </row>
    <row r="384" spans="1:10" x14ac:dyDescent="0.25">
      <c r="A384" t="s">
        <v>1280</v>
      </c>
      <c r="B384">
        <v>42</v>
      </c>
      <c r="C384">
        <f>_xlfn.XLOOKUP(Recon!A384,[1]Backup!AJ:AJ,[1]Backup!L:L)</f>
        <v>20.3</v>
      </c>
      <c r="D384">
        <f>_xlfn.XLOOKUP(Recon!A384,[1]Backup!AJ:AJ,[1]Backup!K:K)</f>
        <v>0.69019999999999992</v>
      </c>
      <c r="E384">
        <f>SUMIF('[1]PO Report'!A:A,Recon!A384,'[1]PO Report'!P:P)</f>
        <v>42</v>
      </c>
      <c r="F384">
        <f>VLOOKUP(A384,'[1]PO Report'!$A:$Z,15,0)</f>
        <v>20.3</v>
      </c>
      <c r="H384">
        <f t="shared" si="10"/>
        <v>0</v>
      </c>
      <c r="J384">
        <f t="shared" si="11"/>
        <v>0</v>
      </c>
    </row>
    <row r="385" spans="1:10" x14ac:dyDescent="0.25">
      <c r="A385" t="s">
        <v>1281</v>
      </c>
      <c r="B385">
        <v>240</v>
      </c>
      <c r="C385">
        <f>_xlfn.XLOOKUP(Recon!A385,[1]Backup!AJ:AJ,[1]Backup!L:L)</f>
        <v>5.2600000000000007</v>
      </c>
      <c r="D385">
        <f>_xlfn.XLOOKUP(Recon!A385,[1]Backup!AJ:AJ,[1]Backup!K:K)</f>
        <v>0.17884</v>
      </c>
      <c r="E385">
        <f>SUMIF('[1]PO Report'!A:A,Recon!A385,'[1]PO Report'!P:P)</f>
        <v>240</v>
      </c>
      <c r="F385">
        <f>VLOOKUP(A385,'[1]PO Report'!$A:$Z,15,0)</f>
        <v>5.26</v>
      </c>
      <c r="H385">
        <f t="shared" si="10"/>
        <v>0</v>
      </c>
      <c r="J385">
        <f t="shared" si="11"/>
        <v>0</v>
      </c>
    </row>
    <row r="386" spans="1:10" x14ac:dyDescent="0.25">
      <c r="A386" t="s">
        <v>1282</v>
      </c>
      <c r="B386">
        <v>100</v>
      </c>
      <c r="C386">
        <f>_xlfn.XLOOKUP(Recon!A386,[1]Backup!AJ:AJ,[1]Backup!L:L)</f>
        <v>5.85</v>
      </c>
      <c r="D386">
        <f>_xlfn.XLOOKUP(Recon!A386,[1]Backup!AJ:AJ,[1]Backup!K:K)</f>
        <v>0.19889999999999999</v>
      </c>
      <c r="E386">
        <f>SUMIF('[1]PO Report'!A:A,Recon!A386,'[1]PO Report'!P:P)</f>
        <v>100</v>
      </c>
      <c r="F386">
        <f>VLOOKUP(A386,'[1]PO Report'!$A:$Z,15,0)</f>
        <v>5.85</v>
      </c>
      <c r="H386">
        <f t="shared" si="10"/>
        <v>0</v>
      </c>
      <c r="J386">
        <f t="shared" si="11"/>
        <v>0</v>
      </c>
    </row>
    <row r="387" spans="1:10" x14ac:dyDescent="0.25">
      <c r="A387" t="s">
        <v>1283</v>
      </c>
      <c r="B387">
        <v>240</v>
      </c>
      <c r="C387">
        <f>_xlfn.XLOOKUP(Recon!A387,[1]Backup!AJ:AJ,[1]Backup!L:L)</f>
        <v>5.2600000000000007</v>
      </c>
      <c r="D387">
        <f>_xlfn.XLOOKUP(Recon!A387,[1]Backup!AJ:AJ,[1]Backup!K:K)</f>
        <v>0.17884</v>
      </c>
      <c r="E387">
        <f>SUMIF('[1]PO Report'!A:A,Recon!A387,'[1]PO Report'!P:P)</f>
        <v>240</v>
      </c>
      <c r="F387">
        <f>VLOOKUP(A387,'[1]PO Report'!$A:$Z,15,0)</f>
        <v>5.26</v>
      </c>
      <c r="H387">
        <f t="shared" si="10"/>
        <v>0</v>
      </c>
      <c r="J387">
        <f t="shared" si="11"/>
        <v>0</v>
      </c>
    </row>
    <row r="388" spans="1:10" x14ac:dyDescent="0.25">
      <c r="A388" t="s">
        <v>1284</v>
      </c>
      <c r="B388">
        <v>300</v>
      </c>
      <c r="C388">
        <f>_xlfn.XLOOKUP(Recon!A388,[1]Backup!AJ:AJ,[1]Backup!L:L)</f>
        <v>29.28</v>
      </c>
      <c r="D388">
        <f>_xlfn.XLOOKUP(Recon!A388,[1]Backup!AJ:AJ,[1]Backup!K:K)</f>
        <v>0.99552000000000007</v>
      </c>
      <c r="E388">
        <f>SUMIF('[1]PO Report'!A:A,Recon!A388,'[1]PO Report'!P:P)</f>
        <v>300</v>
      </c>
      <c r="F388">
        <f>VLOOKUP(A388,'[1]PO Report'!$A:$Z,15,0)</f>
        <v>29.28</v>
      </c>
      <c r="H388">
        <f t="shared" ref="H388:H450" si="12">B388-E388</f>
        <v>0</v>
      </c>
      <c r="J388">
        <f t="shared" ref="J388:J450" si="13">C388-F388</f>
        <v>0</v>
      </c>
    </row>
    <row r="389" spans="1:10" x14ac:dyDescent="0.25">
      <c r="A389" t="s">
        <v>1285</v>
      </c>
      <c r="B389">
        <v>261</v>
      </c>
      <c r="C389">
        <f>_xlfn.XLOOKUP(Recon!A389,[1]Backup!AJ:AJ,[1]Backup!L:L)</f>
        <v>210.52</v>
      </c>
      <c r="D389">
        <f>_xlfn.XLOOKUP(Recon!A389,[1]Backup!AJ:AJ,[1]Backup!K:K)</f>
        <v>7.15768</v>
      </c>
      <c r="E389">
        <f>SUMIF('[1]PO Report'!A:A,Recon!A389,'[1]PO Report'!P:P)</f>
        <v>261</v>
      </c>
      <c r="F389">
        <f>VLOOKUP(A389,'[1]PO Report'!$A:$Z,15,0)</f>
        <v>210.52</v>
      </c>
      <c r="H389">
        <f t="shared" si="12"/>
        <v>0</v>
      </c>
      <c r="J389">
        <f t="shared" si="13"/>
        <v>0</v>
      </c>
    </row>
    <row r="390" spans="1:10" x14ac:dyDescent="0.25">
      <c r="A390" t="s">
        <v>1286</v>
      </c>
      <c r="B390">
        <v>5</v>
      </c>
      <c r="C390">
        <f>_xlfn.XLOOKUP(Recon!A390,[1]Backup!AJ:AJ,[1]Backup!L:L)</f>
        <v>210.51999999999998</v>
      </c>
      <c r="D390">
        <f>_xlfn.XLOOKUP(Recon!A390,[1]Backup!AJ:AJ,[1]Backup!K:K)</f>
        <v>7.1576800000000009</v>
      </c>
      <c r="E390">
        <f>SUMIF('[1]PO Report'!A:A,Recon!A390,'[1]PO Report'!P:P)</f>
        <v>5</v>
      </c>
      <c r="F390">
        <f>VLOOKUP(A390,'[1]PO Report'!$A:$Z,15,0)</f>
        <v>210.52</v>
      </c>
      <c r="H390">
        <f t="shared" si="12"/>
        <v>0</v>
      </c>
      <c r="J390">
        <f t="shared" si="13"/>
        <v>0</v>
      </c>
    </row>
    <row r="391" spans="1:10" x14ac:dyDescent="0.25">
      <c r="A391" t="s">
        <v>1287</v>
      </c>
      <c r="B391">
        <v>20</v>
      </c>
      <c r="C391">
        <f>_xlfn.XLOOKUP(Recon!A391,[1]Backup!AJ:AJ,[1]Backup!L:L)</f>
        <v>42.2</v>
      </c>
      <c r="D391">
        <f>_xlfn.XLOOKUP(Recon!A391,[1]Backup!AJ:AJ,[1]Backup!K:K)</f>
        <v>1.4348000000000001</v>
      </c>
      <c r="E391">
        <f>SUMIF('[1]PO Report'!A:A,Recon!A391,'[1]PO Report'!P:P)</f>
        <v>20</v>
      </c>
      <c r="F391">
        <f>VLOOKUP(A391,'[1]PO Report'!$A:$Z,15,0)</f>
        <v>42.2</v>
      </c>
      <c r="H391">
        <f t="shared" si="12"/>
        <v>0</v>
      </c>
      <c r="J391">
        <f t="shared" si="13"/>
        <v>0</v>
      </c>
    </row>
    <row r="392" spans="1:10" x14ac:dyDescent="0.25">
      <c r="A392" t="s">
        <v>1288</v>
      </c>
      <c r="B392">
        <v>800</v>
      </c>
      <c r="C392">
        <f>_xlfn.XLOOKUP(Recon!A392,[1]Backup!AJ:AJ,[1]Backup!L:L)</f>
        <v>5.26</v>
      </c>
      <c r="D392">
        <f>_xlfn.XLOOKUP(Recon!A392,[1]Backup!AJ:AJ,[1]Backup!K:K)</f>
        <v>0.17884</v>
      </c>
      <c r="E392">
        <f>SUMIF('[1]PO Report'!A:A,Recon!A392,'[1]PO Report'!P:P)</f>
        <v>800</v>
      </c>
      <c r="F392">
        <f>VLOOKUP(A392,'[1]PO Report'!$A:$Z,15,0)</f>
        <v>5.26</v>
      </c>
      <c r="H392">
        <f t="shared" si="12"/>
        <v>0</v>
      </c>
      <c r="J392">
        <f t="shared" si="13"/>
        <v>0</v>
      </c>
    </row>
    <row r="393" spans="1:10" x14ac:dyDescent="0.25">
      <c r="A393" t="s">
        <v>1289</v>
      </c>
      <c r="B393">
        <v>4</v>
      </c>
      <c r="C393">
        <f>_xlfn.XLOOKUP(Recon!A393,[1]Backup!AJ:AJ,[1]Backup!L:L)</f>
        <v>18.46</v>
      </c>
      <c r="D393">
        <f>_xlfn.XLOOKUP(Recon!A393,[1]Backup!AJ:AJ,[1]Backup!K:K)</f>
        <v>0.62763999999999998</v>
      </c>
      <c r="E393">
        <f>SUMIF('[1]PO Report'!A:A,Recon!A393,'[1]PO Report'!P:P)</f>
        <v>56</v>
      </c>
      <c r="F393">
        <f>VLOOKUP(A393,'[1]PO Report'!$A:$Z,15,0)</f>
        <v>18.46</v>
      </c>
      <c r="H393">
        <f t="shared" si="12"/>
        <v>-52</v>
      </c>
      <c r="J393">
        <f t="shared" si="13"/>
        <v>0</v>
      </c>
    </row>
    <row r="394" spans="1:10" x14ac:dyDescent="0.25">
      <c r="A394" t="s">
        <v>1290</v>
      </c>
      <c r="B394">
        <v>2</v>
      </c>
      <c r="C394">
        <f>_xlfn.XLOOKUP(Recon!A394,[1]Backup!AJ:AJ,[1]Backup!L:L)</f>
        <v>76.13</v>
      </c>
      <c r="D394">
        <f>_xlfn.XLOOKUP(Recon!A394,[1]Backup!AJ:AJ,[1]Backup!K:K)</f>
        <v>2.5884200000000002</v>
      </c>
      <c r="E394">
        <f>SUMIF('[1]PO Report'!A:A,Recon!A394,'[1]PO Report'!P:P)</f>
        <v>2</v>
      </c>
      <c r="F394">
        <f>VLOOKUP(A394,'[1]PO Report'!$A:$Z,15,0)</f>
        <v>76.13</v>
      </c>
      <c r="H394">
        <f t="shared" si="12"/>
        <v>0</v>
      </c>
      <c r="J394">
        <f t="shared" si="13"/>
        <v>0</v>
      </c>
    </row>
    <row r="395" spans="1:10" x14ac:dyDescent="0.25">
      <c r="A395" t="s">
        <v>1291</v>
      </c>
      <c r="B395">
        <v>16</v>
      </c>
      <c r="C395">
        <f>_xlfn.XLOOKUP(Recon!A395,[1]Backup!AJ:AJ,[1]Backup!L:L)</f>
        <v>17.559999999999999</v>
      </c>
      <c r="D395">
        <f>_xlfn.XLOOKUP(Recon!A395,[1]Backup!AJ:AJ,[1]Backup!K:K)</f>
        <v>0.59704000000000002</v>
      </c>
      <c r="E395">
        <f>SUMIF('[1]PO Report'!A:A,Recon!A395,'[1]PO Report'!P:P)</f>
        <v>16</v>
      </c>
      <c r="F395">
        <f>VLOOKUP(A395,'[1]PO Report'!$A:$Z,15,0)</f>
        <v>17.559999999999999</v>
      </c>
      <c r="H395">
        <f t="shared" si="12"/>
        <v>0</v>
      </c>
      <c r="J395">
        <f t="shared" si="13"/>
        <v>0</v>
      </c>
    </row>
    <row r="396" spans="1:10" x14ac:dyDescent="0.25">
      <c r="A396" t="s">
        <v>1292</v>
      </c>
      <c r="B396">
        <v>40</v>
      </c>
      <c r="C396">
        <f>_xlfn.XLOOKUP(Recon!A396,[1]Backup!AJ:AJ,[1]Backup!L:L)</f>
        <v>9.9499999999999993</v>
      </c>
      <c r="D396">
        <f>_xlfn.XLOOKUP(Recon!A396,[1]Backup!AJ:AJ,[1]Backup!K:K)</f>
        <v>0.33829999999999999</v>
      </c>
      <c r="E396">
        <f>SUMIF('[1]PO Report'!A:A,Recon!A396,'[1]PO Report'!P:P)</f>
        <v>40</v>
      </c>
      <c r="F396">
        <f>VLOOKUP(A396,'[1]PO Report'!$A:$Z,15,0)</f>
        <v>9.9499999999999993</v>
      </c>
      <c r="H396">
        <f t="shared" si="12"/>
        <v>0</v>
      </c>
      <c r="J396">
        <f t="shared" si="13"/>
        <v>0</v>
      </c>
    </row>
    <row r="397" spans="1:10" x14ac:dyDescent="0.25">
      <c r="A397" t="s">
        <v>1293</v>
      </c>
      <c r="B397">
        <v>160</v>
      </c>
      <c r="C397">
        <f>_xlfn.XLOOKUP(Recon!A397,[1]Backup!AJ:AJ,[1]Backup!L:L)</f>
        <v>9.9499999999999993</v>
      </c>
      <c r="D397">
        <f>_xlfn.XLOOKUP(Recon!A397,[1]Backup!AJ:AJ,[1]Backup!K:K)</f>
        <v>0.33829999999999999</v>
      </c>
      <c r="E397">
        <f>SUMIF('[1]PO Report'!A:A,Recon!A397,'[1]PO Report'!P:P)</f>
        <v>160</v>
      </c>
      <c r="F397">
        <f>VLOOKUP(A397,'[1]PO Report'!$A:$Z,15,0)</f>
        <v>9.9499999999999993</v>
      </c>
      <c r="H397">
        <f t="shared" si="12"/>
        <v>0</v>
      </c>
      <c r="J397">
        <f t="shared" si="13"/>
        <v>0</v>
      </c>
    </row>
    <row r="398" spans="1:10" x14ac:dyDescent="0.25">
      <c r="A398" t="s">
        <v>1294</v>
      </c>
      <c r="B398">
        <v>20</v>
      </c>
      <c r="C398">
        <f>_xlfn.XLOOKUP(Recon!A398,[1]Backup!AJ:AJ,[1]Backup!L:L)</f>
        <v>29.28</v>
      </c>
      <c r="D398">
        <f>_xlfn.XLOOKUP(Recon!A398,[1]Backup!AJ:AJ,[1]Backup!K:K)</f>
        <v>0.99551999999999996</v>
      </c>
      <c r="E398">
        <f>SUMIF('[1]PO Report'!A:A,Recon!A398,'[1]PO Report'!P:P)</f>
        <v>20</v>
      </c>
      <c r="F398">
        <f>VLOOKUP(A398,'[1]PO Report'!$A:$Z,15,0)</f>
        <v>29.28</v>
      </c>
      <c r="H398">
        <f t="shared" si="12"/>
        <v>0</v>
      </c>
      <c r="J398">
        <f t="shared" si="13"/>
        <v>0</v>
      </c>
    </row>
    <row r="399" spans="1:10" x14ac:dyDescent="0.25">
      <c r="A399" t="s">
        <v>1295</v>
      </c>
      <c r="B399">
        <v>2</v>
      </c>
      <c r="C399">
        <f>_xlfn.XLOOKUP(Recon!A399,[1]Backup!AJ:AJ,[1]Backup!L:L)</f>
        <v>106.49</v>
      </c>
      <c r="D399">
        <f>_xlfn.XLOOKUP(Recon!A399,[1]Backup!AJ:AJ,[1]Backup!K:K)</f>
        <v>3.62066</v>
      </c>
      <c r="E399">
        <f>SUMIF('[1]PO Report'!A:A,Recon!A399,'[1]PO Report'!P:P)</f>
        <v>2</v>
      </c>
      <c r="F399">
        <f>VLOOKUP(A399,'[1]PO Report'!$A:$Z,15,0)</f>
        <v>106.49</v>
      </c>
      <c r="H399">
        <f t="shared" si="12"/>
        <v>0</v>
      </c>
      <c r="J399">
        <f t="shared" si="13"/>
        <v>0</v>
      </c>
    </row>
    <row r="400" spans="1:10" x14ac:dyDescent="0.25">
      <c r="A400" t="s">
        <v>1296</v>
      </c>
      <c r="B400">
        <v>250</v>
      </c>
      <c r="C400">
        <f>_xlfn.XLOOKUP(Recon!A400,[1]Backup!AJ:AJ,[1]Backup!L:L)</f>
        <v>29.28</v>
      </c>
      <c r="D400">
        <f>_xlfn.XLOOKUP(Recon!A400,[1]Backup!AJ:AJ,[1]Backup!K:K)</f>
        <v>0.99551999999999996</v>
      </c>
      <c r="E400">
        <f>SUMIF('[1]PO Report'!A:A,Recon!A400,'[1]PO Report'!P:P)</f>
        <v>250</v>
      </c>
      <c r="F400">
        <f>VLOOKUP(A400,'[1]PO Report'!$A:$Z,15,0)</f>
        <v>29.28</v>
      </c>
      <c r="H400">
        <f t="shared" si="12"/>
        <v>0</v>
      </c>
      <c r="J400">
        <f t="shared" si="13"/>
        <v>0</v>
      </c>
    </row>
    <row r="401" spans="1:10" x14ac:dyDescent="0.25">
      <c r="A401" t="s">
        <v>1297</v>
      </c>
      <c r="B401">
        <v>4</v>
      </c>
      <c r="C401">
        <f>_xlfn.XLOOKUP(Recon!A401,[1]Backup!AJ:AJ,[1]Backup!L:L)</f>
        <v>75.41</v>
      </c>
      <c r="D401">
        <f>_xlfn.XLOOKUP(Recon!A401,[1]Backup!AJ:AJ,[1]Backup!K:K)</f>
        <v>2.5639400000000001</v>
      </c>
      <c r="E401">
        <f>SUMIF('[1]PO Report'!A:A,Recon!A401,'[1]PO Report'!P:P)</f>
        <v>52</v>
      </c>
      <c r="F401">
        <f>VLOOKUP(A401,'[1]PO Report'!$A:$Z,15,0)</f>
        <v>75.41</v>
      </c>
      <c r="H401">
        <f t="shared" si="12"/>
        <v>-48</v>
      </c>
      <c r="J401">
        <f t="shared" si="13"/>
        <v>0</v>
      </c>
    </row>
    <row r="402" spans="1:10" x14ac:dyDescent="0.25">
      <c r="A402" t="s">
        <v>1298</v>
      </c>
      <c r="B402">
        <v>550</v>
      </c>
      <c r="C402">
        <f>_xlfn.XLOOKUP(Recon!A402,[1]Backup!AJ:AJ,[1]Backup!L:L)</f>
        <v>23.42</v>
      </c>
      <c r="D402">
        <f>_xlfn.XLOOKUP(Recon!A402,[1]Backup!AJ:AJ,[1]Backup!K:K)</f>
        <v>0.79627999999999999</v>
      </c>
      <c r="E402">
        <f>SUMIF('[1]PO Report'!A:A,Recon!A402,'[1]PO Report'!P:P)</f>
        <v>550</v>
      </c>
      <c r="F402">
        <f>VLOOKUP(A402,'[1]PO Report'!$A:$Z,15,0)</f>
        <v>23.42</v>
      </c>
      <c r="H402">
        <f t="shared" si="12"/>
        <v>0</v>
      </c>
      <c r="J402">
        <f t="shared" si="13"/>
        <v>0</v>
      </c>
    </row>
    <row r="403" spans="1:10" x14ac:dyDescent="0.25">
      <c r="A403" t="s">
        <v>1299</v>
      </c>
      <c r="B403">
        <v>4</v>
      </c>
      <c r="C403">
        <f>_xlfn.XLOOKUP(Recon!A403,[1]Backup!AJ:AJ,[1]Backup!L:L)</f>
        <v>75.41</v>
      </c>
      <c r="D403">
        <f>_xlfn.XLOOKUP(Recon!A403,[1]Backup!AJ:AJ,[1]Backup!K:K)</f>
        <v>2.5639400000000001</v>
      </c>
      <c r="E403">
        <f>SUMIF('[1]PO Report'!A:A,Recon!A403,'[1]PO Report'!P:P)</f>
        <v>380</v>
      </c>
      <c r="F403">
        <f>VLOOKUP(A403,'[1]PO Report'!$A:$Z,15,0)</f>
        <v>75.41</v>
      </c>
      <c r="H403">
        <f t="shared" si="12"/>
        <v>-376</v>
      </c>
      <c r="J403">
        <f t="shared" si="13"/>
        <v>0</v>
      </c>
    </row>
    <row r="404" spans="1:10" x14ac:dyDescent="0.25">
      <c r="A404" t="s">
        <v>1300</v>
      </c>
      <c r="B404">
        <v>8</v>
      </c>
      <c r="C404">
        <f>_xlfn.XLOOKUP(Recon!A404,[1]Backup!AJ:AJ,[1]Backup!L:L)</f>
        <v>116.02</v>
      </c>
      <c r="D404">
        <f>_xlfn.XLOOKUP(Recon!A404,[1]Backup!AJ:AJ,[1]Backup!K:K)</f>
        <v>3.94468</v>
      </c>
      <c r="E404">
        <f>SUMIF('[1]PO Report'!A:A,Recon!A404,'[1]PO Report'!P:P)</f>
        <v>24</v>
      </c>
      <c r="F404">
        <f>VLOOKUP(A404,'[1]PO Report'!$A:$Z,15,0)</f>
        <v>116.02</v>
      </c>
      <c r="H404">
        <f t="shared" si="12"/>
        <v>-16</v>
      </c>
      <c r="J404">
        <f t="shared" si="13"/>
        <v>0</v>
      </c>
    </row>
    <row r="405" spans="1:10" x14ac:dyDescent="0.25">
      <c r="A405" t="s">
        <v>1301</v>
      </c>
      <c r="B405">
        <v>8</v>
      </c>
      <c r="C405">
        <f>_xlfn.XLOOKUP(Recon!A405,[1]Backup!AJ:AJ,[1]Backup!L:L)</f>
        <v>96.83</v>
      </c>
      <c r="D405">
        <f>_xlfn.XLOOKUP(Recon!A405,[1]Backup!AJ:AJ,[1]Backup!K:K)</f>
        <v>3.2922199999999999</v>
      </c>
      <c r="E405">
        <f>SUMIF('[1]PO Report'!A:A,Recon!A405,'[1]PO Report'!P:P)</f>
        <v>8</v>
      </c>
      <c r="F405">
        <f>VLOOKUP(A405,'[1]PO Report'!$A:$Z,15,0)</f>
        <v>96.83</v>
      </c>
      <c r="H405">
        <f t="shared" si="12"/>
        <v>0</v>
      </c>
      <c r="J405">
        <f t="shared" si="13"/>
        <v>0</v>
      </c>
    </row>
    <row r="406" spans="1:10" x14ac:dyDescent="0.25">
      <c r="A406" t="s">
        <v>1302</v>
      </c>
      <c r="B406">
        <v>60</v>
      </c>
      <c r="C406">
        <f>_xlfn.XLOOKUP(Recon!A406,[1]Backup!AJ:AJ,[1]Backup!L:L)</f>
        <v>78.61999999999999</v>
      </c>
      <c r="D406">
        <f>_xlfn.XLOOKUP(Recon!A406,[1]Backup!AJ:AJ,[1]Backup!K:K)</f>
        <v>2.6730800000000001</v>
      </c>
      <c r="E406">
        <f>SUMIF('[1]PO Report'!A:A,Recon!A406,'[1]PO Report'!P:P)</f>
        <v>56</v>
      </c>
      <c r="F406">
        <f>VLOOKUP(A406,'[1]PO Report'!$A:$Z,15,0)</f>
        <v>78.62</v>
      </c>
      <c r="H406">
        <f t="shared" si="12"/>
        <v>4</v>
      </c>
      <c r="I406">
        <f>H406*D406</f>
        <v>10.69232</v>
      </c>
      <c r="J406">
        <f t="shared" si="13"/>
        <v>0</v>
      </c>
    </row>
    <row r="407" spans="1:10" x14ac:dyDescent="0.25">
      <c r="A407" t="s">
        <v>1303</v>
      </c>
      <c r="B407">
        <v>52</v>
      </c>
      <c r="C407">
        <f>_xlfn.XLOOKUP(Recon!A407,[1]Backup!AJ:AJ,[1]Backup!L:L)</f>
        <v>46.400000000000006</v>
      </c>
      <c r="D407">
        <f>_xlfn.XLOOKUP(Recon!A407,[1]Backup!AJ:AJ,[1]Backup!K:K)</f>
        <v>1.5776000000000001</v>
      </c>
      <c r="E407">
        <f>SUMIF('[1]PO Report'!A:A,Recon!A407,'[1]PO Report'!P:P)</f>
        <v>52</v>
      </c>
      <c r="F407">
        <f>VLOOKUP(A407,'[1]PO Report'!$A:$Z,15,0)</f>
        <v>46.4</v>
      </c>
      <c r="H407">
        <f t="shared" si="12"/>
        <v>0</v>
      </c>
      <c r="J407">
        <f t="shared" si="13"/>
        <v>0</v>
      </c>
    </row>
    <row r="408" spans="1:10" x14ac:dyDescent="0.25">
      <c r="A408" t="s">
        <v>1304</v>
      </c>
      <c r="B408">
        <v>140</v>
      </c>
      <c r="C408">
        <f>_xlfn.XLOOKUP(Recon!A408,[1]Backup!AJ:AJ,[1]Backup!L:L)</f>
        <v>26.35</v>
      </c>
      <c r="D408">
        <f>_xlfn.XLOOKUP(Recon!A408,[1]Backup!AJ:AJ,[1]Backup!K:K)</f>
        <v>0.89590000000000003</v>
      </c>
      <c r="E408">
        <f>SUMIF('[1]PO Report'!A:A,Recon!A408,'[1]PO Report'!P:P)</f>
        <v>140</v>
      </c>
      <c r="F408">
        <f>VLOOKUP(A408,'[1]PO Report'!$A:$Z,15,0)</f>
        <v>26.35</v>
      </c>
      <c r="H408">
        <f t="shared" si="12"/>
        <v>0</v>
      </c>
      <c r="J408">
        <f t="shared" si="13"/>
        <v>0</v>
      </c>
    </row>
    <row r="409" spans="1:10" x14ac:dyDescent="0.25">
      <c r="A409" t="s">
        <v>1305</v>
      </c>
      <c r="B409">
        <v>2</v>
      </c>
      <c r="C409">
        <f>_xlfn.XLOOKUP(Recon!A409,[1]Backup!AJ:AJ,[1]Backup!L:L)</f>
        <v>76.13</v>
      </c>
      <c r="D409">
        <f>_xlfn.XLOOKUP(Recon!A409,[1]Backup!AJ:AJ,[1]Backup!K:K)</f>
        <v>2.5884200000000002</v>
      </c>
      <c r="E409">
        <f>SUMIF('[1]PO Report'!A:A,Recon!A409,'[1]PO Report'!P:P)</f>
        <v>2</v>
      </c>
      <c r="F409">
        <f>VLOOKUP(A409,'[1]PO Report'!$A:$Z,15,0)</f>
        <v>76.13</v>
      </c>
      <c r="H409">
        <f t="shared" si="12"/>
        <v>0</v>
      </c>
      <c r="J409">
        <f t="shared" si="13"/>
        <v>0</v>
      </c>
    </row>
    <row r="410" spans="1:10" x14ac:dyDescent="0.25">
      <c r="A410" t="s">
        <v>1306</v>
      </c>
      <c r="B410">
        <v>440</v>
      </c>
      <c r="C410">
        <f>_xlfn.XLOOKUP(Recon!A410,[1]Backup!AJ:AJ,[1]Backup!L:L)</f>
        <v>120.83</v>
      </c>
      <c r="D410">
        <f>_xlfn.XLOOKUP(Recon!A410,[1]Backup!AJ:AJ,[1]Backup!K:K)</f>
        <v>4.1082200000000002</v>
      </c>
      <c r="E410">
        <f>SUMIF('[1]PO Report'!A:A,Recon!A410,'[1]PO Report'!P:P)</f>
        <v>440</v>
      </c>
      <c r="F410">
        <f>VLOOKUP(A410,'[1]PO Report'!$A:$Z,15,0)</f>
        <v>120.83</v>
      </c>
      <c r="H410">
        <f t="shared" si="12"/>
        <v>0</v>
      </c>
      <c r="J410">
        <f t="shared" si="13"/>
        <v>0</v>
      </c>
    </row>
    <row r="411" spans="1:10" x14ac:dyDescent="0.25">
      <c r="A411" t="s">
        <v>1307</v>
      </c>
      <c r="B411">
        <v>4</v>
      </c>
      <c r="C411">
        <f>_xlfn.XLOOKUP(Recon!A411,[1]Backup!AJ:AJ,[1]Backup!L:L)</f>
        <v>75.41</v>
      </c>
      <c r="D411">
        <f>_xlfn.XLOOKUP(Recon!A411,[1]Backup!AJ:AJ,[1]Backup!K:K)</f>
        <v>2.5639400000000001</v>
      </c>
      <c r="E411">
        <f>SUMIF('[1]PO Report'!A:A,Recon!A411,'[1]PO Report'!P:P)</f>
        <v>20</v>
      </c>
      <c r="F411">
        <f>VLOOKUP(A411,'[1]PO Report'!$A:$Z,15,0)</f>
        <v>75.41</v>
      </c>
      <c r="H411">
        <f t="shared" si="12"/>
        <v>-16</v>
      </c>
      <c r="J411">
        <f t="shared" si="13"/>
        <v>0</v>
      </c>
    </row>
    <row r="412" spans="1:10" x14ac:dyDescent="0.25">
      <c r="A412" t="s">
        <v>1308</v>
      </c>
      <c r="B412">
        <v>40</v>
      </c>
      <c r="C412">
        <f>_xlfn.XLOOKUP(Recon!A412,[1]Backup!AJ:AJ,[1]Backup!L:L)</f>
        <v>9.9499999999999993</v>
      </c>
      <c r="D412">
        <f>_xlfn.XLOOKUP(Recon!A412,[1]Backup!AJ:AJ,[1]Backup!K:K)</f>
        <v>0.33829999999999999</v>
      </c>
      <c r="E412">
        <f>SUMIF('[1]PO Report'!A:A,Recon!A412,'[1]PO Report'!P:P)</f>
        <v>40</v>
      </c>
      <c r="F412">
        <f>VLOOKUP(A412,'[1]PO Report'!$A:$Z,15,0)</f>
        <v>9.9499999999999993</v>
      </c>
      <c r="H412">
        <f t="shared" si="12"/>
        <v>0</v>
      </c>
      <c r="J412">
        <f t="shared" si="13"/>
        <v>0</v>
      </c>
    </row>
    <row r="413" spans="1:10" x14ac:dyDescent="0.25">
      <c r="A413" t="s">
        <v>1309</v>
      </c>
      <c r="B413">
        <v>264</v>
      </c>
      <c r="C413">
        <f>_xlfn.XLOOKUP(Recon!A413,[1]Backup!AJ:AJ,[1]Backup!L:L)</f>
        <v>29.28</v>
      </c>
      <c r="D413">
        <f>_xlfn.XLOOKUP(Recon!A413,[1]Backup!AJ:AJ,[1]Backup!K:K)</f>
        <v>0.99551999999999996</v>
      </c>
      <c r="E413">
        <f>SUMIF('[1]PO Report'!A:A,Recon!A413,'[1]PO Report'!P:P)</f>
        <v>264</v>
      </c>
      <c r="F413">
        <f>VLOOKUP(A413,'[1]PO Report'!$A:$Z,15,0)</f>
        <v>29.28</v>
      </c>
      <c r="H413">
        <f t="shared" si="12"/>
        <v>0</v>
      </c>
      <c r="J413">
        <f t="shared" si="13"/>
        <v>0</v>
      </c>
    </row>
    <row r="414" spans="1:10" x14ac:dyDescent="0.25">
      <c r="A414" t="s">
        <v>1310</v>
      </c>
      <c r="B414">
        <v>12</v>
      </c>
      <c r="C414">
        <f>_xlfn.XLOOKUP(Recon!A414,[1]Backup!AJ:AJ,[1]Backup!L:L)</f>
        <v>11.71</v>
      </c>
      <c r="D414">
        <f>_xlfn.XLOOKUP(Recon!A414,[1]Backup!AJ:AJ,[1]Backup!K:K)</f>
        <v>0.39813999999999999</v>
      </c>
      <c r="E414">
        <f>SUMIF('[1]PO Report'!A:A,Recon!A414,'[1]PO Report'!P:P)</f>
        <v>12</v>
      </c>
      <c r="F414">
        <f>VLOOKUP(A414,'[1]PO Report'!$A:$Z,15,0)</f>
        <v>11.71</v>
      </c>
      <c r="H414">
        <f t="shared" si="12"/>
        <v>0</v>
      </c>
      <c r="J414">
        <f t="shared" si="13"/>
        <v>0</v>
      </c>
    </row>
    <row r="415" spans="1:10" x14ac:dyDescent="0.25">
      <c r="A415" t="s">
        <v>1311</v>
      </c>
      <c r="B415">
        <v>16</v>
      </c>
      <c r="C415">
        <f>_xlfn.XLOOKUP(Recon!A415,[1]Backup!AJ:AJ,[1]Backup!L:L)</f>
        <v>11.71</v>
      </c>
      <c r="D415">
        <f>_xlfn.XLOOKUP(Recon!A415,[1]Backup!AJ:AJ,[1]Backup!K:K)</f>
        <v>0.39813999999999999</v>
      </c>
      <c r="E415">
        <f>SUMIF('[1]PO Report'!A:A,Recon!A415,'[1]PO Report'!P:P)</f>
        <v>16</v>
      </c>
      <c r="F415">
        <f>VLOOKUP(A415,'[1]PO Report'!$A:$Z,15,0)</f>
        <v>11.71</v>
      </c>
      <c r="H415">
        <f t="shared" si="12"/>
        <v>0</v>
      </c>
      <c r="J415">
        <f t="shared" si="13"/>
        <v>0</v>
      </c>
    </row>
    <row r="416" spans="1:10" x14ac:dyDescent="0.25">
      <c r="A416" t="s">
        <v>1312</v>
      </c>
      <c r="B416">
        <v>112</v>
      </c>
      <c r="C416">
        <f>_xlfn.XLOOKUP(Recon!A416,[1]Backup!AJ:AJ,[1]Backup!L:L)</f>
        <v>26.349999999999998</v>
      </c>
      <c r="D416">
        <f>_xlfn.XLOOKUP(Recon!A416,[1]Backup!AJ:AJ,[1]Backup!K:K)</f>
        <v>0.89590000000000003</v>
      </c>
      <c r="E416">
        <f>SUMIF('[1]PO Report'!A:A,Recon!A416,'[1]PO Report'!P:P)</f>
        <v>112</v>
      </c>
      <c r="F416">
        <f>VLOOKUP(A416,'[1]PO Report'!$A:$Z,15,0)</f>
        <v>26.35</v>
      </c>
      <c r="H416">
        <f t="shared" si="12"/>
        <v>0</v>
      </c>
      <c r="J416">
        <f t="shared" si="13"/>
        <v>0</v>
      </c>
    </row>
    <row r="417" spans="1:10" x14ac:dyDescent="0.25">
      <c r="A417" t="s">
        <v>1313</v>
      </c>
      <c r="B417">
        <v>8</v>
      </c>
      <c r="C417">
        <f>_xlfn.XLOOKUP(Recon!A417,[1]Backup!AJ:AJ,[1]Backup!L:L)</f>
        <v>18.46</v>
      </c>
      <c r="D417">
        <f>_xlfn.XLOOKUP(Recon!A417,[1]Backup!AJ:AJ,[1]Backup!K:K)</f>
        <v>0.62763999999999998</v>
      </c>
      <c r="E417">
        <f>SUMIF('[1]PO Report'!A:A,Recon!A417,'[1]PO Report'!P:P)</f>
        <v>8</v>
      </c>
      <c r="F417">
        <f>VLOOKUP(A417,'[1]PO Report'!$A:$Z,15,0)</f>
        <v>18.46</v>
      </c>
      <c r="H417">
        <f t="shared" si="12"/>
        <v>0</v>
      </c>
      <c r="J417">
        <f t="shared" si="13"/>
        <v>0</v>
      </c>
    </row>
    <row r="418" spans="1:10" x14ac:dyDescent="0.25">
      <c r="A418" t="s">
        <v>1314</v>
      </c>
      <c r="B418">
        <v>12</v>
      </c>
      <c r="C418">
        <f>_xlfn.XLOOKUP(Recon!A418,[1]Backup!AJ:AJ,[1]Backup!L:L)</f>
        <v>31.650000000000002</v>
      </c>
      <c r="D418">
        <f>_xlfn.XLOOKUP(Recon!A418,[1]Backup!AJ:AJ,[1]Backup!K:K)</f>
        <v>1.0761000000000001</v>
      </c>
      <c r="E418">
        <f>SUMIF('[1]PO Report'!A:A,Recon!A418,'[1]PO Report'!P:P)</f>
        <v>12</v>
      </c>
      <c r="F418">
        <f>VLOOKUP(A418,'[1]PO Report'!$A:$Z,15,0)</f>
        <v>31.65</v>
      </c>
      <c r="H418">
        <f t="shared" si="12"/>
        <v>0</v>
      </c>
      <c r="J418">
        <f t="shared" si="13"/>
        <v>0</v>
      </c>
    </row>
    <row r="419" spans="1:10" x14ac:dyDescent="0.25">
      <c r="A419" t="s">
        <v>1315</v>
      </c>
      <c r="B419">
        <v>16</v>
      </c>
      <c r="C419">
        <f>_xlfn.XLOOKUP(Recon!A419,[1]Backup!AJ:AJ,[1]Backup!L:L)</f>
        <v>11.71</v>
      </c>
      <c r="D419">
        <f>_xlfn.XLOOKUP(Recon!A419,[1]Backup!AJ:AJ,[1]Backup!K:K)</f>
        <v>0.39813999999999999</v>
      </c>
      <c r="E419">
        <f>SUMIF('[1]PO Report'!A:A,Recon!A419,'[1]PO Report'!P:P)</f>
        <v>16</v>
      </c>
      <c r="F419">
        <f>VLOOKUP(A419,'[1]PO Report'!$A:$Z,15,0)</f>
        <v>11.71</v>
      </c>
      <c r="H419">
        <f t="shared" si="12"/>
        <v>0</v>
      </c>
      <c r="J419">
        <f t="shared" si="13"/>
        <v>0</v>
      </c>
    </row>
    <row r="420" spans="1:10" x14ac:dyDescent="0.25">
      <c r="A420" t="s">
        <v>1316</v>
      </c>
      <c r="B420">
        <v>4</v>
      </c>
      <c r="C420">
        <f>_xlfn.XLOOKUP(Recon!A420,[1]Backup!AJ:AJ,[1]Backup!L:L)</f>
        <v>21.1</v>
      </c>
      <c r="D420">
        <f>_xlfn.XLOOKUP(Recon!A420,[1]Backup!AJ:AJ,[1]Backup!K:K)</f>
        <v>0.71740000000000004</v>
      </c>
      <c r="E420">
        <f>SUMIF('[1]PO Report'!A:A,Recon!A420,'[1]PO Report'!P:P)</f>
        <v>4</v>
      </c>
      <c r="F420">
        <f>VLOOKUP(A420,'[1]PO Report'!$A:$Z,15,0)</f>
        <v>21.1</v>
      </c>
      <c r="H420">
        <f t="shared" si="12"/>
        <v>0</v>
      </c>
      <c r="J420">
        <f t="shared" si="13"/>
        <v>0</v>
      </c>
    </row>
    <row r="421" spans="1:10" x14ac:dyDescent="0.25">
      <c r="A421" t="s">
        <v>1317</v>
      </c>
      <c r="B421">
        <v>64</v>
      </c>
      <c r="C421">
        <f>_xlfn.XLOOKUP(Recon!A421,[1]Backup!AJ:AJ,[1]Backup!L:L)</f>
        <v>15.82</v>
      </c>
      <c r="D421">
        <f>_xlfn.XLOOKUP(Recon!A421,[1]Backup!AJ:AJ,[1]Backup!K:K)</f>
        <v>0.53788000000000002</v>
      </c>
      <c r="E421">
        <f>SUMIF('[1]PO Report'!A:A,Recon!A421,'[1]PO Report'!P:P)</f>
        <v>64</v>
      </c>
      <c r="F421">
        <f>VLOOKUP(A421,'[1]PO Report'!$A:$Z,15,0)</f>
        <v>15.82</v>
      </c>
      <c r="H421">
        <f t="shared" si="12"/>
        <v>0</v>
      </c>
      <c r="J421">
        <f t="shared" si="13"/>
        <v>0</v>
      </c>
    </row>
    <row r="422" spans="1:10" x14ac:dyDescent="0.25">
      <c r="A422" t="s">
        <v>1318</v>
      </c>
      <c r="B422">
        <v>32</v>
      </c>
      <c r="C422">
        <f>_xlfn.XLOOKUP(Recon!A422,[1]Backup!AJ:AJ,[1]Backup!L:L)</f>
        <v>10.55</v>
      </c>
      <c r="D422">
        <f>_xlfn.XLOOKUP(Recon!A422,[1]Backup!AJ:AJ,[1]Backup!K:K)</f>
        <v>0.35870000000000002</v>
      </c>
      <c r="E422">
        <f>SUMIF('[1]PO Report'!A:A,Recon!A422,'[1]PO Report'!P:P)</f>
        <v>32</v>
      </c>
      <c r="F422">
        <f>VLOOKUP(A422,'[1]PO Report'!$A:$Z,15,0)</f>
        <v>10.55</v>
      </c>
      <c r="H422">
        <f t="shared" si="12"/>
        <v>0</v>
      </c>
      <c r="J422">
        <f t="shared" si="13"/>
        <v>0</v>
      </c>
    </row>
    <row r="423" spans="1:10" x14ac:dyDescent="0.25">
      <c r="A423" t="s">
        <v>1319</v>
      </c>
      <c r="B423">
        <v>4</v>
      </c>
      <c r="C423">
        <f>_xlfn.XLOOKUP(Recon!A423,[1]Backup!AJ:AJ,[1]Backup!L:L)</f>
        <v>78.62</v>
      </c>
      <c r="D423">
        <f>_xlfn.XLOOKUP(Recon!A423,[1]Backup!AJ:AJ,[1]Backup!K:K)</f>
        <v>2.6730800000000001</v>
      </c>
      <c r="E423">
        <f>SUMIF('[1]PO Report'!A:A,Recon!A423,'[1]PO Report'!P:P)</f>
        <v>4</v>
      </c>
      <c r="F423">
        <f>VLOOKUP(A423,'[1]PO Report'!$A:$Z,15,0)</f>
        <v>78.62</v>
      </c>
      <c r="H423">
        <f t="shared" si="12"/>
        <v>0</v>
      </c>
      <c r="J423">
        <f t="shared" si="13"/>
        <v>0</v>
      </c>
    </row>
    <row r="424" spans="1:10" x14ac:dyDescent="0.25">
      <c r="A424" t="s">
        <v>1320</v>
      </c>
      <c r="B424">
        <v>6</v>
      </c>
      <c r="C424">
        <f>_xlfn.XLOOKUP(Recon!A424,[1]Backup!AJ:AJ,[1]Backup!L:L)</f>
        <v>66.66</v>
      </c>
      <c r="D424">
        <f>_xlfn.XLOOKUP(Recon!A424,[1]Backup!AJ:AJ,[1]Backup!K:K)</f>
        <v>2.2664399999999998</v>
      </c>
      <c r="E424">
        <f>SUMIF('[1]PO Report'!A:A,Recon!A424,'[1]PO Report'!P:P)</f>
        <v>6</v>
      </c>
      <c r="F424">
        <f>VLOOKUP(A424,'[1]PO Report'!$A:$Z,15,0)</f>
        <v>66.66</v>
      </c>
      <c r="H424">
        <f t="shared" si="12"/>
        <v>0</v>
      </c>
      <c r="J424">
        <f t="shared" si="13"/>
        <v>0</v>
      </c>
    </row>
    <row r="425" spans="1:10" x14ac:dyDescent="0.25">
      <c r="A425" t="s">
        <v>1321</v>
      </c>
      <c r="B425">
        <v>4</v>
      </c>
      <c r="C425">
        <f>_xlfn.XLOOKUP(Recon!A425,[1]Backup!AJ:AJ,[1]Backup!L:L)</f>
        <v>26.37</v>
      </c>
      <c r="D425">
        <f>_xlfn.XLOOKUP(Recon!A425,[1]Backup!AJ:AJ,[1]Backup!K:K)</f>
        <v>0.89658000000000004</v>
      </c>
      <c r="E425">
        <f>SUMIF('[1]PO Report'!A:A,Recon!A425,'[1]PO Report'!P:P)</f>
        <v>4</v>
      </c>
      <c r="F425">
        <f>VLOOKUP(A425,'[1]PO Report'!$A:$Z,15,0)</f>
        <v>26.37</v>
      </c>
      <c r="H425">
        <f t="shared" si="12"/>
        <v>0</v>
      </c>
      <c r="J425">
        <f t="shared" si="13"/>
        <v>0</v>
      </c>
    </row>
    <row r="426" spans="1:10" x14ac:dyDescent="0.25">
      <c r="A426" t="s">
        <v>1322</v>
      </c>
      <c r="B426">
        <v>10</v>
      </c>
      <c r="C426">
        <f>_xlfn.XLOOKUP(Recon!A426,[1]Backup!AJ:AJ,[1]Backup!L:L)</f>
        <v>141.93</v>
      </c>
      <c r="D426">
        <f>_xlfn.XLOOKUP(Recon!A426,[1]Backup!AJ:AJ,[1]Backup!K:K)</f>
        <v>4.8256199999999998</v>
      </c>
      <c r="E426">
        <f>SUMIF('[1]PO Report'!A:A,Recon!A426,'[1]PO Report'!P:P)</f>
        <v>10</v>
      </c>
      <c r="F426">
        <f>VLOOKUP(A426,'[1]PO Report'!$A:$Z,15,0)</f>
        <v>141.93</v>
      </c>
      <c r="H426">
        <f t="shared" si="12"/>
        <v>0</v>
      </c>
      <c r="J426">
        <f t="shared" si="13"/>
        <v>0</v>
      </c>
    </row>
    <row r="427" spans="1:10" x14ac:dyDescent="0.25">
      <c r="A427" t="s">
        <v>1323</v>
      </c>
      <c r="B427">
        <v>40</v>
      </c>
      <c r="C427">
        <f>_xlfn.XLOOKUP(Recon!A427,[1]Backup!AJ:AJ,[1]Backup!L:L)</f>
        <v>47.480000000000004</v>
      </c>
      <c r="D427">
        <f>_xlfn.XLOOKUP(Recon!A427,[1]Backup!AJ:AJ,[1]Backup!K:K)</f>
        <v>1.61432</v>
      </c>
      <c r="E427">
        <f>SUMIF('[1]PO Report'!A:A,Recon!A427,'[1]PO Report'!P:P)</f>
        <v>40</v>
      </c>
      <c r="F427">
        <f>VLOOKUP(A427,'[1]PO Report'!$A:$Z,15,0)</f>
        <v>47.48</v>
      </c>
      <c r="H427">
        <f t="shared" si="12"/>
        <v>0</v>
      </c>
      <c r="J427">
        <f t="shared" si="13"/>
        <v>0</v>
      </c>
    </row>
    <row r="428" spans="1:10" x14ac:dyDescent="0.25">
      <c r="A428" t="s">
        <v>1324</v>
      </c>
      <c r="B428">
        <v>4</v>
      </c>
      <c r="C428">
        <f>_xlfn.XLOOKUP(Recon!A428,[1]Backup!AJ:AJ,[1]Backup!L:L)</f>
        <v>31.65</v>
      </c>
      <c r="D428">
        <f>_xlfn.XLOOKUP(Recon!A428,[1]Backup!AJ:AJ,[1]Backup!K:K)</f>
        <v>1.0761000000000001</v>
      </c>
      <c r="E428">
        <f>SUMIF('[1]PO Report'!A:A,Recon!A428,'[1]PO Report'!P:P)</f>
        <v>8</v>
      </c>
      <c r="F428">
        <f>VLOOKUP(A428,'[1]PO Report'!$A:$Z,15,0)</f>
        <v>31.65</v>
      </c>
      <c r="H428">
        <f t="shared" si="12"/>
        <v>-4</v>
      </c>
      <c r="J428">
        <f t="shared" si="13"/>
        <v>0</v>
      </c>
    </row>
    <row r="429" spans="1:10" x14ac:dyDescent="0.25">
      <c r="A429" t="s">
        <v>1325</v>
      </c>
      <c r="B429">
        <v>8</v>
      </c>
      <c r="C429">
        <f>_xlfn.XLOOKUP(Recon!A429,[1]Backup!AJ:AJ,[1]Backup!L:L)</f>
        <v>42.2</v>
      </c>
      <c r="D429">
        <f>_xlfn.XLOOKUP(Recon!A429,[1]Backup!AJ:AJ,[1]Backup!K:K)</f>
        <v>1.4348000000000001</v>
      </c>
      <c r="E429">
        <f>SUMIF('[1]PO Report'!A:A,Recon!A429,'[1]PO Report'!P:P)</f>
        <v>8</v>
      </c>
      <c r="F429">
        <f>VLOOKUP(A429,'[1]PO Report'!$A:$Z,15,0)</f>
        <v>42.2</v>
      </c>
      <c r="H429">
        <f t="shared" si="12"/>
        <v>0</v>
      </c>
      <c r="J429">
        <f t="shared" si="13"/>
        <v>0</v>
      </c>
    </row>
    <row r="430" spans="1:10" x14ac:dyDescent="0.25">
      <c r="A430" t="s">
        <v>1326</v>
      </c>
      <c r="B430">
        <v>16</v>
      </c>
      <c r="C430">
        <f>_xlfn.XLOOKUP(Recon!A430,[1]Backup!AJ:AJ,[1]Backup!L:L)</f>
        <v>11.02</v>
      </c>
      <c r="D430">
        <f>_xlfn.XLOOKUP(Recon!A430,[1]Backup!AJ:AJ,[1]Backup!K:K)</f>
        <v>0.37468000000000001</v>
      </c>
      <c r="E430">
        <f>SUMIF('[1]PO Report'!A:A,Recon!A430,'[1]PO Report'!P:P)</f>
        <v>16</v>
      </c>
      <c r="F430">
        <f>VLOOKUP(A430,'[1]PO Report'!$A:$Z,15,0)</f>
        <v>11.02</v>
      </c>
      <c r="H430">
        <f t="shared" si="12"/>
        <v>0</v>
      </c>
      <c r="J430">
        <f t="shared" si="13"/>
        <v>0</v>
      </c>
    </row>
    <row r="431" spans="1:10" x14ac:dyDescent="0.25">
      <c r="A431" t="s">
        <v>1327</v>
      </c>
      <c r="B431">
        <v>40</v>
      </c>
      <c r="C431">
        <f>_xlfn.XLOOKUP(Recon!A431,[1]Backup!AJ:AJ,[1]Backup!L:L)</f>
        <v>75.41</v>
      </c>
      <c r="D431">
        <f>_xlfn.XLOOKUP(Recon!A431,[1]Backup!AJ:AJ,[1]Backup!K:K)</f>
        <v>2.5639399999999997</v>
      </c>
      <c r="E431">
        <f>SUMIF('[1]PO Report'!A:A,Recon!A431,'[1]PO Report'!P:P)</f>
        <v>36</v>
      </c>
      <c r="F431">
        <f>VLOOKUP(A431,'[1]PO Report'!$A:$Z,15,0)</f>
        <v>75.41</v>
      </c>
      <c r="H431">
        <f t="shared" si="12"/>
        <v>4</v>
      </c>
      <c r="I431">
        <f>H431*D431</f>
        <v>10.255759999999999</v>
      </c>
      <c r="J431">
        <f t="shared" si="13"/>
        <v>0</v>
      </c>
    </row>
    <row r="432" spans="1:10" x14ac:dyDescent="0.25">
      <c r="A432" t="s">
        <v>1328</v>
      </c>
      <c r="B432">
        <v>4</v>
      </c>
      <c r="C432">
        <f>_xlfn.XLOOKUP(Recon!A432,[1]Backup!AJ:AJ,[1]Backup!L:L)</f>
        <v>26.37</v>
      </c>
      <c r="D432">
        <f>_xlfn.XLOOKUP(Recon!A432,[1]Backup!AJ:AJ,[1]Backup!K:K)</f>
        <v>0.89658000000000004</v>
      </c>
      <c r="E432">
        <f>SUMIF('[1]PO Report'!A:A,Recon!A432,'[1]PO Report'!P:P)</f>
        <v>4</v>
      </c>
      <c r="F432">
        <f>VLOOKUP(A432,'[1]PO Report'!$A:$Z,15,0)</f>
        <v>26.37</v>
      </c>
      <c r="H432">
        <f t="shared" si="12"/>
        <v>0</v>
      </c>
      <c r="J432">
        <f t="shared" si="13"/>
        <v>0</v>
      </c>
    </row>
    <row r="433" spans="1:10" x14ac:dyDescent="0.25">
      <c r="A433" t="s">
        <v>1329</v>
      </c>
      <c r="B433">
        <v>60</v>
      </c>
      <c r="C433">
        <f>_xlfn.XLOOKUP(Recon!A433,[1]Backup!AJ:AJ,[1]Backup!L:L)</f>
        <v>36.93</v>
      </c>
      <c r="D433">
        <f>_xlfn.XLOOKUP(Recon!A433,[1]Backup!AJ:AJ,[1]Backup!K:K)</f>
        <v>1.25562</v>
      </c>
      <c r="E433">
        <f>SUMIF('[1]PO Report'!A:A,Recon!A433,'[1]PO Report'!P:P)</f>
        <v>60</v>
      </c>
      <c r="F433">
        <f>VLOOKUP(A433,'[1]PO Report'!$A:$Z,15,0)</f>
        <v>36.93</v>
      </c>
      <c r="H433">
        <f t="shared" si="12"/>
        <v>0</v>
      </c>
      <c r="J433">
        <f t="shared" si="13"/>
        <v>0</v>
      </c>
    </row>
    <row r="434" spans="1:10" x14ac:dyDescent="0.25">
      <c r="A434" t="s">
        <v>1330</v>
      </c>
      <c r="B434">
        <v>88</v>
      </c>
      <c r="C434">
        <f>_xlfn.XLOOKUP(Recon!A434,[1]Backup!AJ:AJ,[1]Backup!L:L)</f>
        <v>75.41</v>
      </c>
      <c r="D434">
        <f>_xlfn.XLOOKUP(Recon!A434,[1]Backup!AJ:AJ,[1]Backup!K:K)</f>
        <v>2.5639400000000001</v>
      </c>
      <c r="E434">
        <f>SUMIF('[1]PO Report'!A:A,Recon!A434,'[1]PO Report'!P:P)</f>
        <v>92</v>
      </c>
      <c r="F434">
        <f>VLOOKUP(A434,'[1]PO Report'!$A:$Z,15,0)</f>
        <v>75.41</v>
      </c>
      <c r="H434">
        <f t="shared" si="12"/>
        <v>-4</v>
      </c>
      <c r="J434">
        <f t="shared" si="13"/>
        <v>0</v>
      </c>
    </row>
    <row r="435" spans="1:10" x14ac:dyDescent="0.25">
      <c r="A435" t="s">
        <v>1331</v>
      </c>
      <c r="B435">
        <v>60</v>
      </c>
      <c r="C435">
        <f>_xlfn.XLOOKUP(Recon!A435,[1]Backup!AJ:AJ,[1]Backup!L:L)</f>
        <v>5.85</v>
      </c>
      <c r="D435">
        <f>_xlfn.XLOOKUP(Recon!A435,[1]Backup!AJ:AJ,[1]Backup!K:K)</f>
        <v>0.19889999999999999</v>
      </c>
      <c r="E435">
        <f>SUMIF('[1]PO Report'!A:A,Recon!A435,'[1]PO Report'!P:P)</f>
        <v>60</v>
      </c>
      <c r="F435">
        <f>VLOOKUP(A435,'[1]PO Report'!$A:$Z,15,0)</f>
        <v>5.85</v>
      </c>
      <c r="H435">
        <f t="shared" si="12"/>
        <v>0</v>
      </c>
      <c r="J435">
        <f t="shared" si="13"/>
        <v>0</v>
      </c>
    </row>
    <row r="436" spans="1:10" x14ac:dyDescent="0.25">
      <c r="A436" t="s">
        <v>1332</v>
      </c>
      <c r="B436">
        <v>8</v>
      </c>
      <c r="C436">
        <f>_xlfn.XLOOKUP(Recon!A436,[1]Backup!AJ:AJ,[1]Backup!L:L)</f>
        <v>29.28</v>
      </c>
      <c r="D436">
        <f>_xlfn.XLOOKUP(Recon!A436,[1]Backup!AJ:AJ,[1]Backup!K:K)</f>
        <v>0.99551999999999996</v>
      </c>
      <c r="E436">
        <f>SUMIF('[1]PO Report'!A:A,Recon!A436,'[1]PO Report'!P:P)</f>
        <v>8</v>
      </c>
      <c r="F436">
        <f>VLOOKUP(A436,'[1]PO Report'!$A:$Z,15,0)</f>
        <v>29.28</v>
      </c>
      <c r="H436">
        <f t="shared" si="12"/>
        <v>0</v>
      </c>
      <c r="J436">
        <f t="shared" si="13"/>
        <v>0</v>
      </c>
    </row>
    <row r="437" spans="1:10" x14ac:dyDescent="0.25">
      <c r="A437" t="s">
        <v>1333</v>
      </c>
      <c r="B437">
        <v>40</v>
      </c>
      <c r="C437">
        <f>_xlfn.XLOOKUP(Recon!A437,[1]Backup!AJ:AJ,[1]Backup!L:L)</f>
        <v>58</v>
      </c>
      <c r="D437">
        <f>_xlfn.XLOOKUP(Recon!A437,[1]Backup!AJ:AJ,[1]Backup!K:K)</f>
        <v>1.972</v>
      </c>
      <c r="E437">
        <f>SUMIF('[1]PO Report'!A:A,Recon!A437,'[1]PO Report'!P:P)</f>
        <v>40</v>
      </c>
      <c r="F437">
        <f>VLOOKUP(A437,'[1]PO Report'!$A:$Z,15,0)</f>
        <v>58</v>
      </c>
      <c r="H437">
        <f t="shared" si="12"/>
        <v>0</v>
      </c>
      <c r="J437">
        <f t="shared" si="13"/>
        <v>0</v>
      </c>
    </row>
    <row r="438" spans="1:10" x14ac:dyDescent="0.25">
      <c r="A438" t="s">
        <v>1334</v>
      </c>
      <c r="B438">
        <v>30</v>
      </c>
      <c r="C438">
        <f>_xlfn.XLOOKUP(Recon!A438,[1]Backup!AJ:AJ,[1]Backup!L:L)</f>
        <v>58</v>
      </c>
      <c r="D438">
        <f>_xlfn.XLOOKUP(Recon!A438,[1]Backup!AJ:AJ,[1]Backup!K:K)</f>
        <v>1.972</v>
      </c>
      <c r="E438">
        <f>SUMIF('[1]PO Report'!A:A,Recon!A438,'[1]PO Report'!P:P)</f>
        <v>180</v>
      </c>
      <c r="F438">
        <f>VLOOKUP(A438,'[1]PO Report'!$A:$Z,15,0)</f>
        <v>58</v>
      </c>
      <c r="H438">
        <f t="shared" si="12"/>
        <v>-150</v>
      </c>
      <c r="J438">
        <f t="shared" si="13"/>
        <v>0</v>
      </c>
    </row>
  </sheetData>
  <autoFilter ref="A2:J438" xr:uid="{EC0AA4A3-A25E-4E95-AE47-69456601F379}"/>
  <mergeCells count="3">
    <mergeCell ref="A1:D1"/>
    <mergeCell ref="E1:F1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CF96-E665-4B90-8E5A-01E2CB565FDF}">
  <dimension ref="A2:G26"/>
  <sheetViews>
    <sheetView tabSelected="1" workbookViewId="0">
      <selection activeCell="H11" sqref="H11:H25"/>
    </sheetView>
  </sheetViews>
  <sheetFormatPr defaultRowHeight="15" x14ac:dyDescent="0.25"/>
  <sheetData>
    <row r="2" spans="1:7" x14ac:dyDescent="0.25">
      <c r="A2" t="s">
        <v>1335</v>
      </c>
    </row>
    <row r="3" spans="1:7" x14ac:dyDescent="0.25">
      <c r="A3" t="s">
        <v>1336</v>
      </c>
      <c r="B3" s="14">
        <v>0</v>
      </c>
    </row>
    <row r="4" spans="1:7" x14ac:dyDescent="0.25">
      <c r="A4" t="s">
        <v>897</v>
      </c>
      <c r="B4" s="14">
        <v>84.076559999999986</v>
      </c>
    </row>
    <row r="5" spans="1:7" x14ac:dyDescent="0.25">
      <c r="B5">
        <v>84.076559999999986</v>
      </c>
    </row>
    <row r="9" spans="1:7" x14ac:dyDescent="0.25">
      <c r="A9" t="s">
        <v>1336</v>
      </c>
    </row>
    <row r="10" spans="1:7" x14ac:dyDescent="0.25">
      <c r="A10" t="s">
        <v>1337</v>
      </c>
      <c r="B10" t="s">
        <v>1338</v>
      </c>
      <c r="C10" t="s">
        <v>1339</v>
      </c>
      <c r="D10" t="s">
        <v>1340</v>
      </c>
      <c r="E10" t="s">
        <v>886</v>
      </c>
    </row>
    <row r="11" spans="1:7" x14ac:dyDescent="0.25">
      <c r="A11" t="e">
        <v>#N/A</v>
      </c>
      <c r="B11" t="e">
        <v>#N/A</v>
      </c>
      <c r="C11" s="13" t="s">
        <v>891</v>
      </c>
      <c r="D11" s="15" t="s">
        <v>893</v>
      </c>
      <c r="E11" s="15" t="s">
        <v>895</v>
      </c>
      <c r="F11" s="13"/>
    </row>
    <row r="12" spans="1:7" x14ac:dyDescent="0.25">
      <c r="E12" s="14">
        <v>0</v>
      </c>
    </row>
    <row r="14" spans="1:7" x14ac:dyDescent="0.25">
      <c r="A14" t="s">
        <v>897</v>
      </c>
    </row>
    <row r="15" spans="1:7" x14ac:dyDescent="0.25">
      <c r="A15" t="s">
        <v>1337</v>
      </c>
      <c r="B15" t="s">
        <v>1338</v>
      </c>
      <c r="C15" t="s">
        <v>1341</v>
      </c>
      <c r="D15" t="s">
        <v>1342</v>
      </c>
      <c r="E15" t="s">
        <v>1343</v>
      </c>
      <c r="F15" t="s">
        <v>1344</v>
      </c>
      <c r="G15" t="s">
        <v>1345</v>
      </c>
    </row>
    <row r="16" spans="1:7" x14ac:dyDescent="0.25">
      <c r="A16" t="s">
        <v>63</v>
      </c>
      <c r="B16" t="s">
        <v>436</v>
      </c>
      <c r="C16">
        <v>160</v>
      </c>
      <c r="D16">
        <v>164</v>
      </c>
      <c r="E16">
        <v>4</v>
      </c>
      <c r="F16" s="14">
        <v>0.89590000000000003</v>
      </c>
      <c r="G16" s="14">
        <v>3.5836000000000001</v>
      </c>
    </row>
    <row r="17" spans="1:7" x14ac:dyDescent="0.25">
      <c r="A17" t="s">
        <v>63</v>
      </c>
      <c r="B17" t="s">
        <v>313</v>
      </c>
      <c r="C17">
        <v>8</v>
      </c>
      <c r="D17">
        <v>12</v>
      </c>
      <c r="E17">
        <v>4</v>
      </c>
      <c r="F17">
        <v>1.0761000000000001</v>
      </c>
      <c r="G17">
        <v>4.3044000000000002</v>
      </c>
    </row>
    <row r="18" spans="1:7" x14ac:dyDescent="0.25">
      <c r="A18" t="s">
        <v>63</v>
      </c>
      <c r="B18" t="s">
        <v>124</v>
      </c>
      <c r="C18">
        <v>432</v>
      </c>
      <c r="D18">
        <v>436</v>
      </c>
      <c r="E18">
        <v>4</v>
      </c>
      <c r="F18">
        <v>2.5639400000000001</v>
      </c>
      <c r="G18">
        <v>10.25576</v>
      </c>
    </row>
    <row r="19" spans="1:7" x14ac:dyDescent="0.25">
      <c r="A19" t="s">
        <v>116</v>
      </c>
      <c r="B19" t="s">
        <v>804</v>
      </c>
      <c r="C19">
        <v>245</v>
      </c>
      <c r="D19">
        <v>273</v>
      </c>
      <c r="E19">
        <v>28</v>
      </c>
      <c r="F19">
        <v>1.0761000000000001</v>
      </c>
      <c r="G19">
        <v>30.130800000000001</v>
      </c>
    </row>
    <row r="20" spans="1:7" x14ac:dyDescent="0.25">
      <c r="A20" t="s">
        <v>108</v>
      </c>
      <c r="B20" t="s">
        <v>345</v>
      </c>
      <c r="C20">
        <v>32</v>
      </c>
      <c r="D20">
        <v>40</v>
      </c>
      <c r="E20">
        <v>8</v>
      </c>
      <c r="F20">
        <v>0.59704000000000002</v>
      </c>
      <c r="G20">
        <v>4.7763200000000001</v>
      </c>
    </row>
    <row r="21" spans="1:7" x14ac:dyDescent="0.25">
      <c r="A21" t="s">
        <v>108</v>
      </c>
      <c r="B21" t="s">
        <v>632</v>
      </c>
      <c r="C21">
        <v>60</v>
      </c>
      <c r="D21">
        <v>70</v>
      </c>
      <c r="E21">
        <v>10</v>
      </c>
      <c r="F21">
        <v>0.29852000000000001</v>
      </c>
      <c r="G21">
        <v>2.9851999999999999</v>
      </c>
    </row>
    <row r="22" spans="1:7" x14ac:dyDescent="0.25">
      <c r="A22" t="s">
        <v>108</v>
      </c>
      <c r="B22" t="s">
        <v>259</v>
      </c>
      <c r="C22">
        <v>4</v>
      </c>
      <c r="D22">
        <v>8</v>
      </c>
      <c r="E22">
        <v>4</v>
      </c>
      <c r="F22">
        <v>1.0761000000000001</v>
      </c>
      <c r="G22">
        <v>4.3044000000000002</v>
      </c>
    </row>
    <row r="23" spans="1:7" x14ac:dyDescent="0.25">
      <c r="A23" t="s">
        <v>377</v>
      </c>
      <c r="B23" t="s">
        <v>488</v>
      </c>
      <c r="C23">
        <v>70</v>
      </c>
      <c r="D23">
        <v>80</v>
      </c>
      <c r="E23">
        <v>10</v>
      </c>
      <c r="F23">
        <v>0.27879999999999999</v>
      </c>
      <c r="G23">
        <v>2.7879999999999998</v>
      </c>
    </row>
    <row r="24" spans="1:7" x14ac:dyDescent="0.25">
      <c r="A24" t="s">
        <v>159</v>
      </c>
      <c r="B24" t="s">
        <v>160</v>
      </c>
      <c r="C24">
        <v>56</v>
      </c>
      <c r="D24">
        <v>60</v>
      </c>
      <c r="E24">
        <v>4</v>
      </c>
      <c r="F24">
        <v>2.6730800000000001</v>
      </c>
      <c r="G24">
        <v>10.69232</v>
      </c>
    </row>
    <row r="25" spans="1:7" x14ac:dyDescent="0.25">
      <c r="A25" t="s">
        <v>40</v>
      </c>
      <c r="B25" t="s">
        <v>242</v>
      </c>
      <c r="C25">
        <v>36</v>
      </c>
      <c r="D25">
        <v>40</v>
      </c>
      <c r="E25">
        <v>4</v>
      </c>
      <c r="F25">
        <v>2.5639399999999997</v>
      </c>
      <c r="G25">
        <v>10.255759999999999</v>
      </c>
    </row>
    <row r="26" spans="1:7" x14ac:dyDescent="0.25">
      <c r="G26" s="14">
        <v>84.076559999999986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Recon</vt:lpstr>
      <vt:lpstr>Dispute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Dileep</dc:creator>
  <cp:lastModifiedBy>Devika Dileep</cp:lastModifiedBy>
  <dcterms:created xsi:type="dcterms:W3CDTF">2025-12-04T09:52:20Z</dcterms:created>
  <dcterms:modified xsi:type="dcterms:W3CDTF">2025-12-04T09:52:21Z</dcterms:modified>
</cp:coreProperties>
</file>